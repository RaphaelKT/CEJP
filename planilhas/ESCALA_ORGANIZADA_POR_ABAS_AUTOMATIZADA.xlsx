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ALENDÁRIO" sheetId="2" state="visible" r:id="rId4"/>
    <sheet name="FOLGAS" sheetId="3" state="visible" r:id="rId5"/>
    <sheet name="NATAL" sheetId="4" state="visible" r:id="rId6"/>
    <sheet name="ANO NOVO" sheetId="5" state="visible" r:id="rId7"/>
    <sheet name="FÉRIAS" sheetId="6" state="visible" r:id="rId8"/>
    <sheet name="COMO USAR" sheetId="7" state="visible" r:id="rId9"/>
    <sheet name="LISTAS" sheetId="8" state="hidden" r:id="rId10"/>
    <sheet name="AUX" sheetId="9" state="hidden" r:id="rId11"/>
  </sheets>
  <definedNames>
    <definedName function="false" hidden="true" localSheetId="4" name="_xlnm._FilterDatabase" vbProcedure="false">'ANO NOVO'!$A$1:$F$301</definedName>
    <definedName function="false" hidden="true" localSheetId="5" name="_xlnm._FilterDatabase" vbProcedure="false">FÉRIAS!$A$1:$I$301</definedName>
    <definedName function="false" hidden="true" localSheetId="2" name="_xlnm._FilterDatabase" vbProcedure="false">FOLGAS!$A$1:$G$301</definedName>
    <definedName function="false" hidden="true" localSheetId="3" name="_xlnm._FilterDatabase" vbProcedure="false">NATAL!$A$1:$F$301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Próximo dia útil (seg–sex) após o fim das férias. Não considera feriados — confira em vésperas de feriado.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Lista oficial de nomes usada nas listas suspensas da coluna Nome. Para incluir alguém, digite o nome abaixo do último.</t>
        </r>
      </text>
    </comment>
  </commentList>
</comments>
</file>

<file path=xl/sharedStrings.xml><?xml version="1.0" encoding="utf-8"?>
<sst xmlns="http://schemas.openxmlformats.org/spreadsheetml/2006/main" count="236" uniqueCount="131">
  <si>
    <t xml:space="preserve">PAINEL DE CONTROLE — FOLGAS E FÉRIAS</t>
  </si>
  <si>
    <t xml:space="preserve">De folga hoje (inclui Natal/Ano Novo)</t>
  </si>
  <si>
    <t xml:space="preserve">Em férias hoje</t>
  </si>
  <si>
    <t xml:space="preserve">Folgas nos próx. 7 dias</t>
  </si>
  <si>
    <t xml:space="preserve">Férias começando em 30 dias</t>
  </si>
  <si>
    <t xml:space="preserve">Férias sem data definida</t>
  </si>
  <si>
    <t xml:space="preserve">Alertas em todas as abas</t>
  </si>
  <si>
    <t xml:space="preserve">Natal</t>
  </si>
  <si>
    <t xml:space="preserve">Ano Novo</t>
  </si>
  <si>
    <t xml:space="preserve">DE FOLGA HOJE</t>
  </si>
  <si>
    <t xml:space="preserve">#</t>
  </si>
  <si>
    <t xml:space="preserve">Nome</t>
  </si>
  <si>
    <t xml:space="preserve">Setor</t>
  </si>
  <si>
    <t xml:space="preserve">Origem</t>
  </si>
  <si>
    <t xml:space="preserve">Observação</t>
  </si>
  <si>
    <t xml:space="preserve">EM FÉRIAS HOJE</t>
  </si>
  <si>
    <t xml:space="preserve">Início</t>
  </si>
  <si>
    <t xml:space="preserve">Fim</t>
  </si>
  <si>
    <t xml:space="preserve">Retorno</t>
  </si>
  <si>
    <t xml:space="preserve">Dias restantes</t>
  </si>
  <si>
    <t xml:space="preserve">Status</t>
  </si>
  <si>
    <t xml:space="preserve">PRÓXIMAS FOLGAS (PRÓXIMOS 7 DIAS)</t>
  </si>
  <si>
    <t xml:space="preserve">Data</t>
  </si>
  <si>
    <t xml:space="preserve">Dia</t>
  </si>
  <si>
    <t xml:space="preserve">Faltam (dias)</t>
  </si>
  <si>
    <t xml:space="preserve">Alerta</t>
  </si>
  <si>
    <t xml:space="preserve">PRÓXIMAS FÉRIAS (PRÓXIMOS 30 DIAS)</t>
  </si>
  <si>
    <t xml:space="preserve">Total dias</t>
  </si>
  <si>
    <t xml:space="preserve">CALENDÁRIO DE AUSÊNCIAS</t>
  </si>
  <si>
    <t xml:space="preserve">QUEM ESTÁ AUSENTE NO DIA?</t>
  </si>
  <si>
    <t xml:space="preserve">Mês:</t>
  </si>
  <si>
    <t xml:space="preserve">Ano:</t>
  </si>
  <si>
    <t xml:space="preserve">← mude para ver outros meses</t>
  </si>
  <si>
    <t xml:space="preserve">Digite a data:</t>
  </si>
  <si>
    <t xml:space="preserve">Domingo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</si>
  <si>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</si>
  <si>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</si>
  <si>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</si>
  <si>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</si>
  <si>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</si>
  <si>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</si>
  <si>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Tipo</t>
  </si>
  <si>
    <t xml:space="preserve">Legenda:</t>
  </si>
  <si>
    <t xml:space="preserve">Hoje</t>
  </si>
  <si>
    <t xml:space="preserve">Dia com ausências</t>
  </si>
  <si>
    <t xml:space="preserve">Dia consultado</t>
  </si>
  <si>
    <t xml:space="preserve">Fora do mês</t>
  </si>
  <si>
    <t xml:space="preserve">“Folga” inclui as folgas da aba FOLGAS e as marcadas como FOLGA em NATAL e ANO NOVO.</t>
  </si>
  <si>
    <t xml:space="preserve">Data da Folga</t>
  </si>
  <si>
    <t xml:space="preserve">Dia da Semana</t>
  </si>
  <si>
    <t xml:space="preserve">SÉRGIO SÁ</t>
  </si>
  <si>
    <t xml:space="preserve">FISCALIZAÇÃO</t>
  </si>
  <si>
    <t xml:space="preserve">CARLOS ALEXANDRE</t>
  </si>
  <si>
    <t xml:space="preserve">BRUNA RAFAELA</t>
  </si>
  <si>
    <t xml:space="preserve">JURÍDICO</t>
  </si>
  <si>
    <t xml:space="preserve">FABIO FERREIRA</t>
  </si>
  <si>
    <t xml:space="preserve">PAULA LOBO</t>
  </si>
  <si>
    <t xml:space="preserve">RAPHAEL PINTO</t>
  </si>
  <si>
    <t xml:space="preserve">ANTONIO</t>
  </si>
  <si>
    <t xml:space="preserve">FABIO MARQUES</t>
  </si>
  <si>
    <t xml:space="preserve">MARINA</t>
  </si>
  <si>
    <t xml:space="preserve">ATENDIMENTO</t>
  </si>
  <si>
    <t xml:space="preserve">DIOGO</t>
  </si>
  <si>
    <t xml:space="preserve">DOUGLAS</t>
  </si>
  <si>
    <t xml:space="preserve">KAROLINE MANZI</t>
  </si>
  <si>
    <t xml:space="preserve">EVELYN</t>
  </si>
  <si>
    <t xml:space="preserve">JANAINA PLACIDO</t>
  </si>
  <si>
    <t xml:space="preserve">WALLACE</t>
  </si>
  <si>
    <t xml:space="preserve">ARTHUR</t>
  </si>
  <si>
    <t xml:space="preserve">FABIULA</t>
  </si>
  <si>
    <t xml:space="preserve">DAIANE</t>
  </si>
  <si>
    <t xml:space="preserve">INGRID</t>
  </si>
  <si>
    <t xml:space="preserve">Situação</t>
  </si>
  <si>
    <t xml:space="preserve">Início das Férias</t>
  </si>
  <si>
    <t xml:space="preserve">Fim das Férias</t>
  </si>
  <si>
    <t xml:space="preserve">Total de Dias</t>
  </si>
  <si>
    <t xml:space="preserve">Retorno ao Trabalho</t>
  </si>
  <si>
    <t xml:space="preserve">aux_hoje</t>
  </si>
  <si>
    <t xml:space="preserve">aux_30dias</t>
  </si>
  <si>
    <t xml:space="preserve">aux_consulta</t>
  </si>
  <si>
    <t xml:space="preserve">Possui mais 15 dias de férias a usufruir</t>
  </si>
  <si>
    <t xml:space="preserve">Possibilidade de usufruir os 15 dias restantes no período de 23/11 a 07/12.</t>
  </si>
  <si>
    <t xml:space="preserve">possui mais 10 dias de férias a usufruir </t>
  </si>
  <si>
    <t xml:space="preserve">Informa que já usufruiu 10 dias de férias e solicita os 4 dias restantes no período de 13/10 a 16/10, além de mais 15 dias posteriormente.</t>
  </si>
  <si>
    <t xml:space="preserve">BRUNO FERREIRA</t>
  </si>
  <si>
    <t xml:space="preserve">Possui mais 15 dias de férias a usufruir </t>
  </si>
  <si>
    <t xml:space="preserve">COMO USAR — RECURSOS AUTOMÁTICOS DA PLANILHA</t>
  </si>
  <si>
    <t xml:space="preserve">O que preencher</t>
  </si>
  <si>
    <t xml:space="preserve">Apenas as colunas originais: Nome, Setor, Datas, Situação e Observação. As colunas novas (Dia da Semana, Status, Alerta, Total de Dias, Retorno) são calculadas sozinhas — não digite nelas.</t>
  </si>
  <si>
    <t xml:space="preserve">Nomes</t>
  </si>
  <si>
    <t xml:space="preserve">Escolha o nome pela lista suspensa. A lista oficial fica na aba LISTAS, coluna F (Funcionários). Os alertas entre abas (férias x folga, Natal x FOLGAS) só funcionam se o nome estiver escrito igual em todas as abas. Para um funcionário novo, inclua o nome primeiro na aba LISTAS.</t>
  </si>
  <si>
    <t xml:space="preserve">PAINEL</t>
  </si>
  <si>
    <t xml:space="preserve">Primeira aba. Mostra a data de hoje, um aviso em vermelho se alguém está de folga/férias hoje (incluindo folgas de Natal e Ano Novo), indicadores e listas com os nomes.</t>
  </si>
  <si>
    <t xml:space="preserve">CALENDÁRIO</t>
  </si>
  <si>
    <t xml:space="preserve">Visão mensal com a quantidade de pessoas de folga e de férias em cada dia. Troque o Mês/Ano nas células amarelas. À direita, digite qualquer data para ver quem está ausente nela.</t>
  </si>
  <si>
    <t xml:space="preserve">FOLGAS</t>
  </si>
  <si>
    <t xml:space="preserve">Status (HOJE / AMANHÃ / Em X dias / Agendada / Realizada) e Alerta: folga duplicada, pessoa de férias na data, folga já lançada em NATAL/ANO NOVO, pessoa marcada TRABALHA em NATAL/ANO NOVO na mesma data, ou mais de uma pessoa do setor de folga no mesmo dia. Para outra folga do mesmo funcionário, use uma nova linha.</t>
  </si>
  <si>
    <t xml:space="preserve">FÉRIAS</t>
  </si>
  <si>
    <t xml:space="preserve">Total de Dias, Retorno ao Trabalho (próximo dia útil), Status e Alerta (período acima de 30 dias ou coincidência com férias de outra pessoa do mesmo setor).</t>
  </si>
  <si>
    <t xml:space="preserve">NATAL / ANO NOVO</t>
  </si>
  <si>
    <t xml:space="preserve">Use uma linha por pessoa e por data (ex.: 24/12 e 25/12 em linhas separadas). Coluna Alerta avisa: falta a data; data fora do feriado (Natal: 24 ou 25/12 · Ano Novo: 31/12 ou 01/01); nome repetido na mesma data; pessoa de férias na data; folga também lançada na aba FOLGAS (ou marcado TRABALHA tendo folga lá); ninguém do setor trabalhando na data. As folgas marcadas aqui entram no PAINEL e no CALENDÁRIO.</t>
  </si>
  <si>
    <t xml:space="preserve">Cores — Folgas</t>
  </si>
  <si>
    <t xml:space="preserve">Vermelho = folga HOJE · Amarelo = folga nos próximos 7 dias · Cinza = folga que já passou.</t>
  </si>
  <si>
    <t xml:space="preserve">Cores — Férias</t>
  </si>
  <si>
    <t xml:space="preserve">Verde = em férias hoje · Amarelo = começa nos próximos 30 dias · Cinza = concluídas · Laranja = sem data definida.</t>
  </si>
  <si>
    <t xml:space="preserve">Cores — Natal/Ano Novo</t>
  </si>
  <si>
    <t xml:space="preserve">Verde = FOLGA · Azul = TRABALHA · Laranja = nome sem situação. Em todas as abas, alertas aparecem em vermelho com fundo amarelo-claro.</t>
  </si>
  <si>
    <t xml:space="preserve">Validações</t>
  </si>
  <si>
    <t xml:space="preserve">Datas só aceitam datas válidas; fim das férias não pode ser antes do início; Nome e Setor têm lista suspensa (aceitam outro valor após um aviso); Situação só aceita TRABALHA ou FOLGA.</t>
  </si>
  <si>
    <t xml:space="preserve">Abas/colunas ocultas</t>
  </si>
  <si>
    <t xml:space="preserve">A aba AUX (oculta) junta as folgas de FOLGAS, NATAL e ANO NOVO para o painel e o calendário. FÉRIAS (K:M), PAINEL (L) e CALENDÁRIO (O:P) também têm colunas auxiliares ocultas. Não as apague.</t>
  </si>
  <si>
    <t xml:space="preserve">Limites</t>
  </si>
  <si>
    <t xml:space="preserve">As fórmulas cobrem as linhas 2 a 301 de cada aba. O painel mostra até 10 nomes por lista e a consulta do calendário até 20. O 'Retorno' ignora feriados.</t>
  </si>
  <si>
    <t xml:space="preserve">Setores</t>
  </si>
  <si>
    <t xml:space="preserve">Meses</t>
  </si>
  <si>
    <t xml:space="preserve">Funcionários</t>
  </si>
  <si>
    <t xml:space="preserve">TRABALHA</t>
  </si>
  <si>
    <t xml:space="preserve">Janeiro</t>
  </si>
  <si>
    <t xml:space="preserve">FOLGA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</si>
  <si>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</si>
  <si>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</si>
  <si>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</si>
  <si>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</si>
  <si>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</si>
  <si>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</si>
  <si>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</si>
  <si>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</si>
  <si>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</si>
  <si>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</si>
  <si>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</si>
  <si>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aux_7dias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</si>
</sst>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/mm/yyyy"/>
    <numFmt numFmtId="167" formatCode="0"/>
    <numFmt numFmtId="168" formatCode="mm/dd/yy"/>
    <numFmt numFmtId="169" formatCode="d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b val="true"/>
      <sz val="20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F4E78"/>
      <name val="Calibri"/>
      <family val="0"/>
      <charset val="1"/>
    </font>
    <font>
      <sz val="11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Arial"/>
      <family val="2"/>
    </font>
    <font>
      <b val="true"/>
      <sz val="14"/>
      <color rgb="FFFFFFFF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DBB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DBB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C00000"/>
        <bgColor rgb="FF9C0006"/>
      </patternFill>
    </fill>
    <fill>
      <patternFill patternType="solid">
        <fgColor rgb="FFD9E1F2"/>
        <bgColor rgb="FFDDEBF7"/>
      </patternFill>
    </fill>
    <fill>
      <patternFill patternType="solid">
        <fgColor rgb="FFF7F9FC"/>
        <bgColor rgb="FFFFFFFF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9C5700"/>
      </patternFill>
    </fill>
    <fill>
      <patternFill patternType="solid">
        <fgColor rgb="FFFFFF00"/>
        <bgColor rgb="FFFFEB9C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F7F9FC"/>
      </patternFill>
    </fill>
    <fill>
      <patternFill patternType="solid">
        <fgColor rgb="FFFFDBB6"/>
        <bgColor rgb="FFFCE4D6"/>
      </patternFill>
    </fill>
    <fill>
      <patternFill patternType="solid">
        <fgColor rgb="FFFFFCE6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8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8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8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1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C00000"/>
      </font>
    </dxf>
    <dxf>
      <font>
        <color rgb="FFBFBFBF"/>
      </font>
      <fill>
        <patternFill>
          <bgColor rgb="FFF2F2F2"/>
        </patternFill>
      </fill>
    </dxf>
    <dxf>
      <font>
        <b val="1"/>
        <color rgb="FF1F4E78"/>
      </font>
      <fill>
        <patternFill>
          <bgColor rgb="FFBDD7EE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FC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C00000"/>
      </font>
      <fill>
        <patternFill>
          <bgColor rgb="FFFFF2CC"/>
        </patternFill>
      </fill>
    </dxf>
    <dxf>
      <font>
        <color rgb="FF8C8C8C"/>
      </font>
    </dxf>
    <dxf>
      <font>
        <b val="1"/>
        <color rgb="FF1F4E78"/>
      </font>
      <fill>
        <patternFill>
          <bgColor rgb="FFDDEBF7"/>
        </patternFill>
      </fill>
    </dxf>
    <dxf>
      <font>
        <i val="1"/>
        <color rgb="FF833C0B"/>
      </font>
      <fill>
        <patternFill>
          <bgColor rgb="FFFCE4D6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F2F2F2"/>
      <rgbColor rgb="FF9C5700"/>
      <rgbColor rgb="FFFFFCE6"/>
      <rgbColor rgb="FFDDEBF7"/>
      <rgbColor rgb="FF660066"/>
      <rgbColor rgb="FFFF8080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FC7CE"/>
      <rgbColor rgb="FFFCE4D6"/>
      <rgbColor rgb="FFFFDBB6"/>
      <rgbColor rgb="FF3366FF"/>
      <rgbColor rgb="FF33CCCC"/>
      <rgbColor rgb="FF99CC00"/>
      <rgbColor rgb="FFF7F9FC"/>
      <rgbColor rgb="FFBF8F00"/>
      <rgbColor rgb="FFFF6600"/>
      <rgbColor rgb="FF595959"/>
      <rgbColor rgb="FF8C8C8C"/>
      <rgbColor rgb="FF003366"/>
      <rgbColor rgb="FF7F7F7F"/>
      <rgbColor rgb="FF003300"/>
      <rgbColor rgb="FF375623"/>
      <rgbColor rgb="FF833C0B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L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7" min="5" style="0" width="15"/>
    <col collapsed="false" customWidth="true" hidden="false" outlineLevel="0" max="8" min="8" style="0" width="17"/>
    <col collapsed="false" customWidth="true" hidden="false" outlineLevel="0" max="9" min="9" style="0" width="26"/>
    <col collapsed="false" customWidth="true" hidden="false" outlineLevel="0" max="10" min="10" style="0" width="2"/>
    <col collapsed="false" customWidth="true" hidden="true" outlineLevel="0" max="12" min="12" style="0" width="13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tr">
        <f aca="true">"Hoje é "&amp;CHOOSE(WEEKDAY(TODAY()),"Domingo","Segunda","Terça","Quarta","Quinta","Sexta","Sábado")&amp;", "&amp;TEXT(DAY(TODAY()),"00")&amp;"/"&amp;TEXT(MONTH(TODAY()),"00")&amp;"/"&amp;YEAR(TODAY())&amp;"  •  atualiza sozinho ao abrir a planilha"</f>
        <v>Hoje é Terça, 06/10/2026  •  atualiza sozinho ao abrir a planilha</v>
      </c>
      <c r="C3" s="2"/>
      <c r="D3" s="2"/>
      <c r="E3" s="2"/>
      <c r="F3" s="2"/>
      <c r="G3" s="2"/>
      <c r="H3" s="2"/>
      <c r="I3" s="2"/>
    </row>
    <row r="5" customFormat="false" ht="30" hidden="false" customHeight="true" outlineLevel="0" collapsed="false">
      <c r="B5" s="3" t="str">
        <f aca="false">IF(B8+E8=0,"✔ Nenhum funcionário de folga ou de férias hoje.","⚠ ATENÇÃO: hoje há "&amp;B8&amp;" funcionário(s) de FOLGA e "&amp;E8&amp;" em FÉRIAS — veja a lista abaixo.")</f>
        <v>✔ Nenhum funcionário de folga ou de férias hoje.</v>
      </c>
      <c r="C5" s="3"/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B7" s="4" t="s">
        <v>1</v>
      </c>
      <c r="C7" s="4"/>
      <c r="D7" s="4"/>
      <c r="E7" s="5" t="s">
        <v>2</v>
      </c>
      <c r="F7" s="5"/>
      <c r="G7" s="6" t="s">
        <v>3</v>
      </c>
      <c r="H7" s="6" t="s">
        <v>4</v>
      </c>
      <c r="I7" s="6"/>
    </row>
    <row r="8" customFormat="false" ht="33.75" hidden="false" customHeight="true" outlineLevel="0" collapsed="false">
      <c r="B8" s="7" t="n">
        <f aca="false">COUNT(AUX!$G$2:$G$901)</f>
        <v>0</v>
      </c>
      <c r="C8" s="7"/>
      <c r="D8" s="7"/>
      <c r="E8" s="8" t="n">
        <f aca="true">COUNTIFS(FÉRIAS!$C$2:$C$301,"&lt;="&amp;TODAY(),FÉRIAS!$D$2:$D$301,"&gt;="&amp;TODAY())</f>
        <v>0</v>
      </c>
      <c r="F8" s="8"/>
      <c r="G8" s="9" t="n">
        <f aca="false">COUNT(AUX!$H$2:$H$901)</f>
        <v>0</v>
      </c>
      <c r="H8" s="9" t="n">
        <f aca="false">COUNT(FÉRIAS!$L$2:$L$301)</f>
        <v>2</v>
      </c>
      <c r="I8" s="9"/>
    </row>
    <row r="10" customFormat="false" ht="30" hidden="false" customHeight="true" outlineLevel="0" collapsed="false">
      <c r="B10" s="10" t="s">
        <v>5</v>
      </c>
      <c r="C10" s="10"/>
      <c r="D10" s="10"/>
      <c r="E10" s="10" t="s">
        <v>6</v>
      </c>
      <c r="F10" s="10"/>
      <c r="G10" s="11" t="s">
        <v>7</v>
      </c>
      <c r="H10" s="11" t="s">
        <v>8</v>
      </c>
      <c r="I10" s="11"/>
    </row>
    <row r="11" customFormat="false" ht="33.75" hidden="false" customHeight="true" outlineLevel="0" collapsed="false">
      <c r="B11" s="12" t="n">
        <f aca="false">COUNTIFS(FÉRIAS!$A$2:$A$301,"?*",FÉRIAS!$H$2:$H$301,"Sem data definida")</f>
        <v>2</v>
      </c>
      <c r="C11" s="12"/>
      <c r="D11" s="12"/>
      <c r="E11" s="12" t="n">
        <f aca="false">COUNTIF(FOLGAS!$G$2:$G$301,"⚠*")+COUNTIF(FÉRIAS!$I$2:$I$301,"⚠*")+COUNTIF(FÉRIAS!$H$2:$H$301,"⚠*")+COUNTIF(NATAL!$F$2:$F$301,"⚠*")+COUNTIF('ANO NOVO'!$F$2:$F$301,"⚠*")</f>
        <v>2</v>
      </c>
      <c r="F11" s="12"/>
      <c r="G11" s="13" t="str">
        <f aca="false">COUNTIF(NATAL!$D$2:$D$301,"FOLGA")&amp;" folga / "&amp;COUNTIF(NATAL!$D$2:$D$301,"TRABALHA")&amp;" trab."&amp;IF(COUNTIFS(NATAL!$A$2:$A$301,"?*",NATAL!$D$2:$D$301,"")&gt;0," / "&amp;COUNTIFS(NATAL!$A$2:$A$301,"?*",NATAL!$D$2:$D$301,"")&amp;" pend.","")</f>
        <v>0 folga / 0 trab.</v>
      </c>
      <c r="H11" s="13" t="str">
        <f aca="false">COUNTIF('ANO NOVO'!$D$2:$D$301,"FOLGA")&amp;" folga / "&amp;COUNTIF('ANO NOVO'!$D$2:$D$301,"TRABALHA")&amp;" trab."&amp;IF(COUNTIFS('ANO NOVO'!$A$2:$A$301,"?*",'ANO NOVO'!$D$2:$D$301,"")&gt;0," / "&amp;COUNTIFS('ANO NOVO'!$A$2:$A$301,"?*",'ANO NOVO'!$D$2:$D$301,"")&amp;" pend.","")</f>
        <v>0 folga / 0 trab.</v>
      </c>
      <c r="I11" s="13"/>
    </row>
    <row r="13" customFormat="false" ht="24" hidden="false" customHeight="true" outlineLevel="0" collapsed="false">
      <c r="B13" s="14" t="s">
        <v>9</v>
      </c>
      <c r="C13" s="14"/>
      <c r="D13" s="14"/>
      <c r="E13" s="14"/>
      <c r="F13" s="14"/>
      <c r="G13" s="14"/>
      <c r="H13" s="14"/>
      <c r="I13" s="14"/>
    </row>
    <row r="14" customFormat="false" ht="15" hidden="false" customHeight="true" outlineLevel="0" collapsed="false">
      <c r="B14" s="15" t="s">
        <v>10</v>
      </c>
      <c r="C14" s="15" t="s">
        <v>11</v>
      </c>
      <c r="D14" s="15" t="s">
        <v>12</v>
      </c>
      <c r="E14" s="15" t="s">
        <v>13</v>
      </c>
      <c r="F14" s="15" t="s">
        <v>14</v>
      </c>
      <c r="G14" s="15"/>
      <c r="H14" s="15"/>
      <c r="I14" s="15"/>
    </row>
    <row r="15" customFormat="false" ht="15" hidden="false" customHeight="false" outlineLevel="0" collapsed="false">
      <c r="B15" s="16" t="str">
        <f aca="false">IF(L15="","",1)</f>
        <v/>
      </c>
      <c r="C15" s="17" t="str">
        <f aca="false">IF($L15="","",INDEX(AUX!$B:$B,$L15)&amp;"")</f>
        <v/>
      </c>
      <c r="D15" s="16" t="str">
        <f aca="false">IF($L15="","",INDEX(AUX!$C:$C,$L15)&amp;"")</f>
        <v/>
      </c>
      <c r="E15" s="16" t="str">
        <f aca="false">IF($L15="","",INDEX(AUX!$A:$A,$L15)&amp;"")</f>
        <v/>
      </c>
      <c r="F15" s="16" t="str">
        <f aca="false">IF($L15="","",INDEX(AUX!$E:$E,$L15)&amp;"")</f>
        <v/>
      </c>
      <c r="G15" s="16"/>
      <c r="H15" s="16"/>
      <c r="I15" s="16"/>
      <c r="L15" s="0" t="str">
        <f aca="false">IFERROR(ROUND(MOD(SMALL(AUX!$G$2:$G$901,1),1)*100000,0),"")</f>
        <v/>
      </c>
    </row>
    <row r="16" customFormat="false" ht="15" hidden="false" customHeight="false" outlineLevel="0" collapsed="false">
      <c r="B16" s="18" t="str">
        <f aca="false">IF(L16="","",2)</f>
        <v/>
      </c>
      <c r="C16" s="19" t="str">
        <f aca="false">IF($L16="","",INDEX(AUX!$B:$B,$L16)&amp;"")</f>
        <v/>
      </c>
      <c r="D16" s="18" t="str">
        <f aca="false">IF($L16="","",INDEX(AUX!$C:$C,$L16)&amp;"")</f>
        <v/>
      </c>
      <c r="E16" s="18" t="str">
        <f aca="false">IF($L16="","",INDEX(AUX!$A:$A,$L16)&amp;"")</f>
        <v/>
      </c>
      <c r="F16" s="18" t="str">
        <f aca="false">IF($L16="","",INDEX(AUX!$E:$E,$L16)&amp;"")</f>
        <v/>
      </c>
      <c r="G16" s="18"/>
      <c r="H16" s="18"/>
      <c r="I16" s="18"/>
      <c r="L16" s="0" t="str">
        <f aca="false">IFERROR(ROUND(MOD(SMALL(AUX!$G$2:$G$901,2),1)*100000,0),"")</f>
        <v/>
      </c>
    </row>
    <row r="17" customFormat="false" ht="15" hidden="false" customHeight="false" outlineLevel="0" collapsed="false">
      <c r="B17" s="16" t="str">
        <f aca="false">IF(L17="","",3)</f>
        <v/>
      </c>
      <c r="C17" s="17" t="str">
        <f aca="false">IF($L17="","",INDEX(AUX!$B:$B,$L17)&amp;"")</f>
        <v/>
      </c>
      <c r="D17" s="16" t="str">
        <f aca="false">IF($L17="","",INDEX(AUX!$C:$C,$L17)&amp;"")</f>
        <v/>
      </c>
      <c r="E17" s="16" t="str">
        <f aca="false">IF($L17="","",INDEX(AUX!$A:$A,$L17)&amp;"")</f>
        <v/>
      </c>
      <c r="F17" s="16" t="str">
        <f aca="false">IF($L17="","",INDEX(AUX!$E:$E,$L17)&amp;"")</f>
        <v/>
      </c>
      <c r="G17" s="16"/>
      <c r="H17" s="16"/>
      <c r="I17" s="16"/>
      <c r="L17" s="0" t="str">
        <f aca="false">IFERROR(ROUND(MOD(SMALL(AUX!$G$2:$G$901,3),1)*100000,0),"")</f>
        <v/>
      </c>
    </row>
    <row r="18" customFormat="false" ht="15" hidden="false" customHeight="false" outlineLevel="0" collapsed="false">
      <c r="B18" s="18" t="str">
        <f aca="false">IF(L18="","",4)</f>
        <v/>
      </c>
      <c r="C18" s="19" t="str">
        <f aca="false">IF($L18="","",INDEX(AUX!$B:$B,$L18)&amp;"")</f>
        <v/>
      </c>
      <c r="D18" s="18" t="str">
        <f aca="false">IF($L18="","",INDEX(AUX!$C:$C,$L18)&amp;"")</f>
        <v/>
      </c>
      <c r="E18" s="18" t="str">
        <f aca="false">IF($L18="","",INDEX(AUX!$A:$A,$L18)&amp;"")</f>
        <v/>
      </c>
      <c r="F18" s="18" t="str">
        <f aca="false">IF($L18="","",INDEX(AUX!$E:$E,$L18)&amp;"")</f>
        <v/>
      </c>
      <c r="G18" s="18"/>
      <c r="H18" s="18"/>
      <c r="I18" s="18"/>
      <c r="L18" s="0" t="str">
        <f aca="false">IFERROR(ROUND(MOD(SMALL(AUX!$G$2:$G$901,4),1)*100000,0),"")</f>
        <v/>
      </c>
    </row>
    <row r="19" customFormat="false" ht="15" hidden="false" customHeight="false" outlineLevel="0" collapsed="false">
      <c r="B19" s="16" t="str">
        <f aca="false">IF(L19="","",5)</f>
        <v/>
      </c>
      <c r="C19" s="17" t="str">
        <f aca="false">IF($L19="","",INDEX(AUX!$B:$B,$L19)&amp;"")</f>
        <v/>
      </c>
      <c r="D19" s="16" t="str">
        <f aca="false">IF($L19="","",INDEX(AUX!$C:$C,$L19)&amp;"")</f>
        <v/>
      </c>
      <c r="E19" s="16" t="str">
        <f aca="false">IF($L19="","",INDEX(AUX!$A:$A,$L19)&amp;"")</f>
        <v/>
      </c>
      <c r="F19" s="16" t="str">
        <f aca="false">IF($L19="","",INDEX(AUX!$E:$E,$L19)&amp;"")</f>
        <v/>
      </c>
      <c r="G19" s="16"/>
      <c r="H19" s="16"/>
      <c r="I19" s="16"/>
      <c r="L19" s="0" t="str">
        <f aca="false">IFERROR(ROUND(MOD(SMALL(AUX!$G$2:$G$901,5),1)*100000,0),"")</f>
        <v/>
      </c>
    </row>
    <row r="20" customFormat="false" ht="15" hidden="false" customHeight="false" outlineLevel="0" collapsed="false">
      <c r="B20" s="18" t="str">
        <f aca="false">IF(L20="","",6)</f>
        <v/>
      </c>
      <c r="C20" s="19" t="str">
        <f aca="false">IF($L20="","",INDEX(AUX!$B:$B,$L20)&amp;"")</f>
        <v/>
      </c>
      <c r="D20" s="18" t="str">
        <f aca="false">IF($L20="","",INDEX(AUX!$C:$C,$L20)&amp;"")</f>
        <v/>
      </c>
      <c r="E20" s="18" t="str">
        <f aca="false">IF($L20="","",INDEX(AUX!$A:$A,$L20)&amp;"")</f>
        <v/>
      </c>
      <c r="F20" s="18" t="str">
        <f aca="false">IF($L20="","",INDEX(AUX!$E:$E,$L20)&amp;"")</f>
        <v/>
      </c>
      <c r="G20" s="18"/>
      <c r="H20" s="18"/>
      <c r="I20" s="18"/>
      <c r="L20" s="0" t="str">
        <f aca="false">IFERROR(ROUND(MOD(SMALL(AUX!$G$2:$G$901,6),1)*100000,0),"")</f>
        <v/>
      </c>
    </row>
    <row r="21" customFormat="false" ht="15" hidden="false" customHeight="false" outlineLevel="0" collapsed="false">
      <c r="B21" s="16" t="str">
        <f aca="false">IF(L21="","",7)</f>
        <v/>
      </c>
      <c r="C21" s="17" t="str">
        <f aca="false">IF($L21="","",INDEX(AUX!$B:$B,$L21)&amp;"")</f>
        <v/>
      </c>
      <c r="D21" s="16" t="str">
        <f aca="false">IF($L21="","",INDEX(AUX!$C:$C,$L21)&amp;"")</f>
        <v/>
      </c>
      <c r="E21" s="16" t="str">
        <f aca="false">IF($L21="","",INDEX(AUX!$A:$A,$L21)&amp;"")</f>
        <v/>
      </c>
      <c r="F21" s="16" t="str">
        <f aca="false">IF($L21="","",INDEX(AUX!$E:$E,$L21)&amp;"")</f>
        <v/>
      </c>
      <c r="G21" s="16"/>
      <c r="H21" s="16"/>
      <c r="I21" s="16"/>
      <c r="L21" s="0" t="str">
        <f aca="false">IFERROR(ROUND(MOD(SMALL(AUX!$G$2:$G$901,7),1)*100000,0),"")</f>
        <v/>
      </c>
    </row>
    <row r="22" customFormat="false" ht="15" hidden="false" customHeight="false" outlineLevel="0" collapsed="false">
      <c r="B22" s="18" t="str">
        <f aca="false">IF(L22="","",8)</f>
        <v/>
      </c>
      <c r="C22" s="19" t="str">
        <f aca="false">IF($L22="","",INDEX(AUX!$B:$B,$L22)&amp;"")</f>
        <v/>
      </c>
      <c r="D22" s="18" t="str">
        <f aca="false">IF($L22="","",INDEX(AUX!$C:$C,$L22)&amp;"")</f>
        <v/>
      </c>
      <c r="E22" s="18" t="str">
        <f aca="false">IF($L22="","",INDEX(AUX!$A:$A,$L22)&amp;"")</f>
        <v/>
      </c>
      <c r="F22" s="18" t="str">
        <f aca="false">IF($L22="","",INDEX(AUX!$E:$E,$L22)&amp;"")</f>
        <v/>
      </c>
      <c r="G22" s="18"/>
      <c r="H22" s="18"/>
      <c r="I22" s="18"/>
      <c r="L22" s="0" t="str">
        <f aca="false">IFERROR(ROUND(MOD(SMALL(AUX!$G$2:$G$901,8),1)*100000,0),"")</f>
        <v/>
      </c>
    </row>
    <row r="23" customFormat="false" ht="15" hidden="false" customHeight="false" outlineLevel="0" collapsed="false">
      <c r="B23" s="16" t="str">
        <f aca="false">IF(L23="","",9)</f>
        <v/>
      </c>
      <c r="C23" s="17" t="str">
        <f aca="false">IF($L23="","",INDEX(AUX!$B:$B,$L23)&amp;"")</f>
        <v/>
      </c>
      <c r="D23" s="16" t="str">
        <f aca="false">IF($L23="","",INDEX(AUX!$C:$C,$L23)&amp;"")</f>
        <v/>
      </c>
      <c r="E23" s="16" t="str">
        <f aca="false">IF($L23="","",INDEX(AUX!$A:$A,$L23)&amp;"")</f>
        <v/>
      </c>
      <c r="F23" s="16" t="str">
        <f aca="false">IF($L23="","",INDEX(AUX!$E:$E,$L23)&amp;"")</f>
        <v/>
      </c>
      <c r="G23" s="16"/>
      <c r="H23" s="16"/>
      <c r="I23" s="16"/>
      <c r="L23" s="0" t="str">
        <f aca="false">IFERROR(ROUND(MOD(SMALL(AUX!$G$2:$G$901,9),1)*100000,0),"")</f>
        <v/>
      </c>
    </row>
    <row r="24" customFormat="false" ht="15" hidden="false" customHeight="false" outlineLevel="0" collapsed="false">
      <c r="B24" s="18" t="str">
        <f aca="false">IF(L24="","",10)</f>
        <v/>
      </c>
      <c r="C24" s="19" t="str">
        <f aca="false">IF($L24="","",INDEX(AUX!$B:$B,$L24)&amp;"")</f>
        <v/>
      </c>
      <c r="D24" s="18" t="str">
        <f aca="false">IF($L24="","",INDEX(AUX!$C:$C,$L24)&amp;"")</f>
        <v/>
      </c>
      <c r="E24" s="18" t="str">
        <f aca="false">IF($L24="","",INDEX(AUX!$A:$A,$L24)&amp;"")</f>
        <v/>
      </c>
      <c r="F24" s="18" t="str">
        <f aca="false">IF($L24="","",INDEX(AUX!$E:$E,$L24)&amp;"")</f>
        <v/>
      </c>
      <c r="G24" s="18"/>
      <c r="H24" s="18"/>
      <c r="I24" s="18"/>
      <c r="L24" s="0" t="str">
        <f aca="false">IFERROR(ROUND(MOD(SMALL(AUX!$G$2:$G$901,10),1)*100000,0),"")</f>
        <v/>
      </c>
    </row>
    <row r="25" customFormat="false" ht="15" hidden="false" customHeight="false" outlineLevel="0" collapsed="false">
      <c r="B25" s="20" t="str">
        <f aca="false">IF($B$8=0,"Ninguém nesta lista.",IF($B$8&gt;10,"... e mais "&amp;($B$8-10)&amp;" — veja a aba FOLGAS / NATAL / ANO NOVO.",""))</f>
        <v>Ninguém nesta lista.</v>
      </c>
      <c r="C25" s="20"/>
      <c r="D25" s="20"/>
      <c r="E25" s="20"/>
      <c r="F25" s="20"/>
      <c r="G25" s="20"/>
      <c r="H25" s="20"/>
      <c r="I25" s="20"/>
    </row>
    <row r="27" customFormat="false" ht="24" hidden="false" customHeight="true" outlineLevel="0" collapsed="false">
      <c r="B27" s="21" t="s">
        <v>15</v>
      </c>
      <c r="C27" s="21"/>
      <c r="D27" s="21"/>
      <c r="E27" s="21"/>
      <c r="F27" s="21"/>
      <c r="G27" s="21"/>
      <c r="H27" s="21"/>
      <c r="I27" s="21"/>
    </row>
    <row r="28" customFormat="false" ht="15" hidden="false" customHeight="false" outlineLevel="0" collapsed="false">
      <c r="B28" s="15" t="s">
        <v>10</v>
      </c>
      <c r="C28" s="15" t="s">
        <v>11</v>
      </c>
      <c r="D28" s="15" t="s">
        <v>12</v>
      </c>
      <c r="E28" s="15" t="s">
        <v>16</v>
      </c>
      <c r="F28" s="15" t="s">
        <v>17</v>
      </c>
      <c r="G28" s="15" t="s">
        <v>18</v>
      </c>
      <c r="H28" s="15" t="s">
        <v>19</v>
      </c>
      <c r="I28" s="15" t="s">
        <v>20</v>
      </c>
    </row>
    <row r="29" customFormat="false" ht="15" hidden="false" customHeight="false" outlineLevel="0" collapsed="false">
      <c r="B29" s="16" t="str">
        <f aca="false">IF(L29="","",1)</f>
        <v/>
      </c>
      <c r="C29" s="17" t="str">
        <f aca="false">IF($L29="","",INDEX(FÉRIAS!$A:$A,$L29)&amp;"")</f>
        <v/>
      </c>
      <c r="D29" s="16" t="str">
        <f aca="false">IF($L29="","",INDEX(FÉRIAS!$B:$B,$L29)&amp;"")</f>
        <v/>
      </c>
      <c r="E29" s="22" t="str">
        <f aca="false">IF($L29="","",INDEX(FÉRIAS!$C:$C,$L29))</f>
        <v/>
      </c>
      <c r="F29" s="22" t="str">
        <f aca="false">IF($L29="","",INDEX(FÉRIAS!$D:$D,$L29))</f>
        <v/>
      </c>
      <c r="G29" s="22" t="str">
        <f aca="false">IF($L29="","",INDEX(FÉRIAS!$G:$G,$L29))</f>
        <v/>
      </c>
      <c r="H29" s="23" t="str">
        <f aca="true">IF($L29="","",INDEX(FÉRIAS!$D:$D,$L29)-TODAY())</f>
        <v/>
      </c>
      <c r="I29" s="16" t="str">
        <f aca="false">IF($L29="","",INDEX(FÉRIAS!$H:$H,$L29)&amp;"")</f>
        <v/>
      </c>
      <c r="L29" s="0" t="str">
        <f aca="false">IFERROR(ROUND(MOD(SMALL(FÉRIAS!$K$2:$K$301,1),1)*100000,0),"")</f>
        <v/>
      </c>
    </row>
    <row r="30" customFormat="false" ht="15" hidden="false" customHeight="false" outlineLevel="0" collapsed="false">
      <c r="B30" s="18" t="str">
        <f aca="false">IF(L30="","",2)</f>
        <v/>
      </c>
      <c r="C30" s="19" t="str">
        <f aca="false">IF($L30="","",INDEX(FÉRIAS!$A:$A,$L30)&amp;"")</f>
        <v/>
      </c>
      <c r="D30" s="18" t="str">
        <f aca="false">IF($L30="","",INDEX(FÉRIAS!$B:$B,$L30)&amp;"")</f>
        <v/>
      </c>
      <c r="E30" s="24" t="str">
        <f aca="false">IF($L30="","",INDEX(FÉRIAS!$C:$C,$L30))</f>
        <v/>
      </c>
      <c r="F30" s="24" t="str">
        <f aca="false">IF($L30="","",INDEX(FÉRIAS!$D:$D,$L30))</f>
        <v/>
      </c>
      <c r="G30" s="24" t="str">
        <f aca="false">IF($L30="","",INDEX(FÉRIAS!$G:$G,$L30))</f>
        <v/>
      </c>
      <c r="H30" s="25" t="str">
        <f aca="true">IF($L30="","",INDEX(FÉRIAS!$D:$D,$L30)-TODAY())</f>
        <v/>
      </c>
      <c r="I30" s="18" t="str">
        <f aca="false">IF($L30="","",INDEX(FÉRIAS!$H:$H,$L30)&amp;"")</f>
        <v/>
      </c>
      <c r="L30" s="0" t="str">
        <f aca="false">IFERROR(ROUND(MOD(SMALL(FÉRIAS!$K$2:$K$301,2),1)*100000,0),"")</f>
        <v/>
      </c>
    </row>
    <row r="31" customFormat="false" ht="15" hidden="false" customHeight="false" outlineLevel="0" collapsed="false">
      <c r="B31" s="16" t="str">
        <f aca="false">IF(L31="","",3)</f>
        <v/>
      </c>
      <c r="C31" s="17" t="str">
        <f aca="false">IF($L31="","",INDEX(FÉRIAS!$A:$A,$L31)&amp;"")</f>
        <v/>
      </c>
      <c r="D31" s="16" t="str">
        <f aca="false">IF($L31="","",INDEX(FÉRIAS!$B:$B,$L31)&amp;"")</f>
        <v/>
      </c>
      <c r="E31" s="22" t="str">
        <f aca="false">IF($L31="","",INDEX(FÉRIAS!$C:$C,$L31))</f>
        <v/>
      </c>
      <c r="F31" s="22" t="str">
        <f aca="false">IF($L31="","",INDEX(FÉRIAS!$D:$D,$L31))</f>
        <v/>
      </c>
      <c r="G31" s="22" t="str">
        <f aca="false">IF($L31="","",INDEX(FÉRIAS!$G:$G,$L31))</f>
        <v/>
      </c>
      <c r="H31" s="23" t="str">
        <f aca="true">IF($L31="","",INDEX(FÉRIAS!$D:$D,$L31)-TODAY())</f>
        <v/>
      </c>
      <c r="I31" s="16" t="str">
        <f aca="false">IF($L31="","",INDEX(FÉRIAS!$H:$H,$L31)&amp;"")</f>
        <v/>
      </c>
      <c r="L31" s="0" t="str">
        <f aca="false">IFERROR(ROUND(MOD(SMALL(FÉRIAS!$K$2:$K$301,3),1)*100000,0),"")</f>
        <v/>
      </c>
    </row>
    <row r="32" customFormat="false" ht="15" hidden="false" customHeight="false" outlineLevel="0" collapsed="false">
      <c r="B32" s="18" t="str">
        <f aca="false">IF(L32="","",4)</f>
        <v/>
      </c>
      <c r="C32" s="19" t="str">
        <f aca="false">IF($L32="","",INDEX(FÉRIAS!$A:$A,$L32)&amp;"")</f>
        <v/>
      </c>
      <c r="D32" s="18" t="str">
        <f aca="false">IF($L32="","",INDEX(FÉRIAS!$B:$B,$L32)&amp;"")</f>
        <v/>
      </c>
      <c r="E32" s="24" t="str">
        <f aca="false">IF($L32="","",INDEX(FÉRIAS!$C:$C,$L32))</f>
        <v/>
      </c>
      <c r="F32" s="24" t="str">
        <f aca="false">IF($L32="","",INDEX(FÉRIAS!$D:$D,$L32))</f>
        <v/>
      </c>
      <c r="G32" s="24" t="str">
        <f aca="false">IF($L32="","",INDEX(FÉRIAS!$G:$G,$L32))</f>
        <v/>
      </c>
      <c r="H32" s="25" t="str">
        <f aca="true">IF($L32="","",INDEX(FÉRIAS!$D:$D,$L32)-TODAY())</f>
        <v/>
      </c>
      <c r="I32" s="18" t="str">
        <f aca="false">IF($L32="","",INDEX(FÉRIAS!$H:$H,$L32)&amp;"")</f>
        <v/>
      </c>
      <c r="L32" s="0" t="str">
        <f aca="false">IFERROR(ROUND(MOD(SMALL(FÉRIAS!$K$2:$K$301,4),1)*100000,0),"")</f>
        <v/>
      </c>
    </row>
    <row r="33" customFormat="false" ht="15" hidden="false" customHeight="false" outlineLevel="0" collapsed="false">
      <c r="B33" s="16" t="str">
        <f aca="false">IF(L33="","",5)</f>
        <v/>
      </c>
      <c r="C33" s="17" t="str">
        <f aca="false">IF($L33="","",INDEX(FÉRIAS!$A:$A,$L33)&amp;"")</f>
        <v/>
      </c>
      <c r="D33" s="16" t="str">
        <f aca="false">IF($L33="","",INDEX(FÉRIAS!$B:$B,$L33)&amp;"")</f>
        <v/>
      </c>
      <c r="E33" s="22" t="str">
        <f aca="false">IF($L33="","",INDEX(FÉRIAS!$C:$C,$L33))</f>
        <v/>
      </c>
      <c r="F33" s="22" t="str">
        <f aca="false">IF($L33="","",INDEX(FÉRIAS!$D:$D,$L33))</f>
        <v/>
      </c>
      <c r="G33" s="22" t="str">
        <f aca="false">IF($L33="","",INDEX(FÉRIAS!$G:$G,$L33))</f>
        <v/>
      </c>
      <c r="H33" s="23" t="str">
        <f aca="true">IF($L33="","",INDEX(FÉRIAS!$D:$D,$L33)-TODAY())</f>
        <v/>
      </c>
      <c r="I33" s="16" t="str">
        <f aca="false">IF($L33="","",INDEX(FÉRIAS!$H:$H,$L33)&amp;"")</f>
        <v/>
      </c>
      <c r="L33" s="0" t="str">
        <f aca="false">IFERROR(ROUND(MOD(SMALL(FÉRIAS!$K$2:$K$301,5),1)*100000,0),"")</f>
        <v/>
      </c>
    </row>
    <row r="34" customFormat="false" ht="15" hidden="false" customHeight="false" outlineLevel="0" collapsed="false">
      <c r="B34" s="18" t="str">
        <f aca="false">IF(L34="","",6)</f>
        <v/>
      </c>
      <c r="C34" s="19" t="str">
        <f aca="false">IF($L34="","",INDEX(FÉRIAS!$A:$A,$L34)&amp;"")</f>
        <v/>
      </c>
      <c r="D34" s="18" t="str">
        <f aca="false">IF($L34="","",INDEX(FÉRIAS!$B:$B,$L34)&amp;"")</f>
        <v/>
      </c>
      <c r="E34" s="24" t="str">
        <f aca="false">IF($L34="","",INDEX(FÉRIAS!$C:$C,$L34))</f>
        <v/>
      </c>
      <c r="F34" s="24" t="str">
        <f aca="false">IF($L34="","",INDEX(FÉRIAS!$D:$D,$L34))</f>
        <v/>
      </c>
      <c r="G34" s="24" t="str">
        <f aca="false">IF($L34="","",INDEX(FÉRIAS!$G:$G,$L34))</f>
        <v/>
      </c>
      <c r="H34" s="25" t="str">
        <f aca="true">IF($L34="","",INDEX(FÉRIAS!$D:$D,$L34)-TODAY())</f>
        <v/>
      </c>
      <c r="I34" s="18" t="str">
        <f aca="false">IF($L34="","",INDEX(FÉRIAS!$H:$H,$L34)&amp;"")</f>
        <v/>
      </c>
      <c r="L34" s="0" t="str">
        <f aca="false">IFERROR(ROUND(MOD(SMALL(FÉRIAS!$K$2:$K$301,6),1)*100000,0),"")</f>
        <v/>
      </c>
    </row>
    <row r="35" customFormat="false" ht="15" hidden="false" customHeight="false" outlineLevel="0" collapsed="false">
      <c r="B35" s="16" t="str">
        <f aca="false">IF(L35="","",7)</f>
        <v/>
      </c>
      <c r="C35" s="17" t="str">
        <f aca="false">IF($L35="","",INDEX(FÉRIAS!$A:$A,$L35)&amp;"")</f>
        <v/>
      </c>
      <c r="D35" s="16" t="str">
        <f aca="false">IF($L35="","",INDEX(FÉRIAS!$B:$B,$L35)&amp;"")</f>
        <v/>
      </c>
      <c r="E35" s="22" t="str">
        <f aca="false">IF($L35="","",INDEX(FÉRIAS!$C:$C,$L35))</f>
        <v/>
      </c>
      <c r="F35" s="22" t="str">
        <f aca="false">IF($L35="","",INDEX(FÉRIAS!$D:$D,$L35))</f>
        <v/>
      </c>
      <c r="G35" s="22" t="str">
        <f aca="false">IF($L35="","",INDEX(FÉRIAS!$G:$G,$L35))</f>
        <v/>
      </c>
      <c r="H35" s="23" t="str">
        <f aca="true">IF($L35="","",INDEX(FÉRIAS!$D:$D,$L35)-TODAY())</f>
        <v/>
      </c>
      <c r="I35" s="16" t="str">
        <f aca="false">IF($L35="","",INDEX(FÉRIAS!$H:$H,$L35)&amp;"")</f>
        <v/>
      </c>
      <c r="L35" s="0" t="str">
        <f aca="false">IFERROR(ROUND(MOD(SMALL(FÉRIAS!$K$2:$K$301,7),1)*100000,0),"")</f>
        <v/>
      </c>
    </row>
    <row r="36" customFormat="false" ht="15" hidden="false" customHeight="false" outlineLevel="0" collapsed="false">
      <c r="B36" s="18" t="str">
        <f aca="false">IF(L36="","",8)</f>
        <v/>
      </c>
      <c r="C36" s="19" t="str">
        <f aca="false">IF($L36="","",INDEX(FÉRIAS!$A:$A,$L36)&amp;"")</f>
        <v/>
      </c>
      <c r="D36" s="18" t="str">
        <f aca="false">IF($L36="","",INDEX(FÉRIAS!$B:$B,$L36)&amp;"")</f>
        <v/>
      </c>
      <c r="E36" s="24" t="str">
        <f aca="false">IF($L36="","",INDEX(FÉRIAS!$C:$C,$L36))</f>
        <v/>
      </c>
      <c r="F36" s="24" t="str">
        <f aca="false">IF($L36="","",INDEX(FÉRIAS!$D:$D,$L36))</f>
        <v/>
      </c>
      <c r="G36" s="24" t="str">
        <f aca="false">IF($L36="","",INDEX(FÉRIAS!$G:$G,$L36))</f>
        <v/>
      </c>
      <c r="H36" s="25" t="str">
        <f aca="true">IF($L36="","",INDEX(FÉRIAS!$D:$D,$L36)-TODAY())</f>
        <v/>
      </c>
      <c r="I36" s="18" t="str">
        <f aca="false">IF($L36="","",INDEX(FÉRIAS!$H:$H,$L36)&amp;"")</f>
        <v/>
      </c>
      <c r="L36" s="0" t="str">
        <f aca="false">IFERROR(ROUND(MOD(SMALL(FÉRIAS!$K$2:$K$301,8),1)*100000,0),"")</f>
        <v/>
      </c>
    </row>
    <row r="37" customFormat="false" ht="15" hidden="false" customHeight="false" outlineLevel="0" collapsed="false">
      <c r="B37" s="16" t="str">
        <f aca="false">IF(L37="","",9)</f>
        <v/>
      </c>
      <c r="C37" s="17" t="str">
        <f aca="false">IF($L37="","",INDEX(FÉRIAS!$A:$A,$L37)&amp;"")</f>
        <v/>
      </c>
      <c r="D37" s="16" t="str">
        <f aca="false">IF($L37="","",INDEX(FÉRIAS!$B:$B,$L37)&amp;"")</f>
        <v/>
      </c>
      <c r="E37" s="22" t="str">
        <f aca="false">IF($L37="","",INDEX(FÉRIAS!$C:$C,$L37))</f>
        <v/>
      </c>
      <c r="F37" s="22" t="str">
        <f aca="false">IF($L37="","",INDEX(FÉRIAS!$D:$D,$L37))</f>
        <v/>
      </c>
      <c r="G37" s="22" t="str">
        <f aca="false">IF($L37="","",INDEX(FÉRIAS!$G:$G,$L37))</f>
        <v/>
      </c>
      <c r="H37" s="23" t="str">
        <f aca="true">IF($L37="","",INDEX(FÉRIAS!$D:$D,$L37)-TODAY())</f>
        <v/>
      </c>
      <c r="I37" s="16" t="str">
        <f aca="false">IF($L37="","",INDEX(FÉRIAS!$H:$H,$L37)&amp;"")</f>
        <v/>
      </c>
      <c r="L37" s="0" t="str">
        <f aca="false">IFERROR(ROUND(MOD(SMALL(FÉRIAS!$K$2:$K$301,9),1)*100000,0),"")</f>
        <v/>
      </c>
    </row>
    <row r="38" customFormat="false" ht="15" hidden="false" customHeight="false" outlineLevel="0" collapsed="false">
      <c r="B38" s="18" t="str">
        <f aca="false">IF(L38="","",10)</f>
        <v/>
      </c>
      <c r="C38" s="19" t="str">
        <f aca="false">IF($L38="","",INDEX(FÉRIAS!$A:$A,$L38)&amp;"")</f>
        <v/>
      </c>
      <c r="D38" s="18" t="str">
        <f aca="false">IF($L38="","",INDEX(FÉRIAS!$B:$B,$L38)&amp;"")</f>
        <v/>
      </c>
      <c r="E38" s="24" t="str">
        <f aca="false">IF($L38="","",INDEX(FÉRIAS!$C:$C,$L38))</f>
        <v/>
      </c>
      <c r="F38" s="24" t="str">
        <f aca="false">IF($L38="","",INDEX(FÉRIAS!$D:$D,$L38))</f>
        <v/>
      </c>
      <c r="G38" s="24" t="str">
        <f aca="false">IF($L38="","",INDEX(FÉRIAS!$G:$G,$L38))</f>
        <v/>
      </c>
      <c r="H38" s="25" t="str">
        <f aca="true">IF($L38="","",INDEX(FÉRIAS!$D:$D,$L38)-TODAY())</f>
        <v/>
      </c>
      <c r="I38" s="18" t="str">
        <f aca="false">IF($L38="","",INDEX(FÉRIAS!$H:$H,$L38)&amp;"")</f>
        <v/>
      </c>
      <c r="L38" s="0" t="str">
        <f aca="false">IFERROR(ROUND(MOD(SMALL(FÉRIAS!$K$2:$K$301,10),1)*100000,0),"")</f>
        <v/>
      </c>
    </row>
    <row r="39" customFormat="false" ht="15" hidden="false" customHeight="false" outlineLevel="0" collapsed="false">
      <c r="B39" s="20" t="str">
        <f aca="false">IF($E$8=0,"Ninguém nesta lista.",IF($E$8&gt;10,"... e mais "&amp;($E$8-10)&amp;" — veja a aba FÉRIAS.",""))</f>
        <v>Ninguém nesta lista.</v>
      </c>
      <c r="C39" s="20"/>
      <c r="D39" s="20"/>
      <c r="E39" s="20"/>
      <c r="F39" s="20"/>
      <c r="G39" s="20"/>
      <c r="H39" s="20"/>
      <c r="I39" s="20"/>
    </row>
    <row r="41" customFormat="false" ht="24" hidden="false" customHeight="true" outlineLevel="0" collapsed="false">
      <c r="B41" s="26" t="s">
        <v>21</v>
      </c>
      <c r="C41" s="26"/>
      <c r="D41" s="26"/>
      <c r="E41" s="26"/>
      <c r="F41" s="26"/>
      <c r="G41" s="26"/>
      <c r="H41" s="26"/>
      <c r="I41" s="26"/>
    </row>
    <row r="42" customFormat="false" ht="15" hidden="false" customHeight="false" outlineLevel="0" collapsed="false">
      <c r="B42" s="15" t="s">
        <v>10</v>
      </c>
      <c r="C42" s="15" t="s">
        <v>11</v>
      </c>
      <c r="D42" s="15" t="s">
        <v>12</v>
      </c>
      <c r="E42" s="15" t="s">
        <v>22</v>
      </c>
      <c r="F42" s="15" t="s">
        <v>23</v>
      </c>
      <c r="G42" s="15" t="s">
        <v>24</v>
      </c>
      <c r="H42" s="15" t="s">
        <v>13</v>
      </c>
      <c r="I42" s="15" t="s">
        <v>25</v>
      </c>
    </row>
    <row r="43" customFormat="false" ht="15" hidden="false" customHeight="false" outlineLevel="0" collapsed="false">
      <c r="B43" s="16" t="str">
        <f aca="false">IF(L43="","",1)</f>
        <v/>
      </c>
      <c r="C43" s="17" t="str">
        <f aca="false">IF($L43="","",INDEX(AUX!$B:$B,$L43)&amp;"")</f>
        <v/>
      </c>
      <c r="D43" s="16" t="str">
        <f aca="false">IF($L43="","",INDEX(AUX!$C:$C,$L43)&amp;"")</f>
        <v/>
      </c>
      <c r="E43" s="22" t="str">
        <f aca="false">IF($L43="","",INDEX(AUX!$D:$D,$L43))</f>
        <v/>
      </c>
      <c r="F43" s="16" t="str">
        <f aca="false">IF($L43="","",INDEX(AUX!$J:$J,$L43)&amp;"")</f>
        <v/>
      </c>
      <c r="G43" s="23" t="str">
        <f aca="true">IF($L43="","",INDEX(AUX!$D:$D,$L43)-TODAY())</f>
        <v/>
      </c>
      <c r="H43" s="16" t="str">
        <f aca="false">IF($L43="","",INDEX(AUX!$A:$A,$L43)&amp;"")</f>
        <v/>
      </c>
      <c r="I43" s="16" t="str">
        <f aca="false">IF($L43="","",INDEX(AUX!$F:$F,$L43)&amp;"")</f>
        <v/>
      </c>
      <c r="L43" s="0" t="str">
        <f aca="false">IFERROR(ROUND(MOD(SMALL(AUX!$H$2:$H$901,1),1)*100000,0),"")</f>
        <v/>
      </c>
    </row>
    <row r="44" customFormat="false" ht="15" hidden="false" customHeight="false" outlineLevel="0" collapsed="false">
      <c r="B44" s="18" t="str">
        <f aca="false">IF(L44="","",2)</f>
        <v/>
      </c>
      <c r="C44" s="19" t="str">
        <f aca="false">IF($L44="","",INDEX(AUX!$B:$B,$L44)&amp;"")</f>
        <v/>
      </c>
      <c r="D44" s="18" t="str">
        <f aca="false">IF($L44="","",INDEX(AUX!$C:$C,$L44)&amp;"")</f>
        <v/>
      </c>
      <c r="E44" s="24" t="str">
        <f aca="false">IF($L44="","",INDEX(AUX!$D:$D,$L44))</f>
        <v/>
      </c>
      <c r="F44" s="18" t="str">
        <f aca="false">IF($L44="","",INDEX(AUX!$J:$J,$L44)&amp;"")</f>
        <v/>
      </c>
      <c r="G44" s="25" t="str">
        <f aca="true">IF($L44="","",INDEX(AUX!$D:$D,$L44)-TODAY())</f>
        <v/>
      </c>
      <c r="H44" s="18" t="str">
        <f aca="false">IF($L44="","",INDEX(AUX!$A:$A,$L44)&amp;"")</f>
        <v/>
      </c>
      <c r="I44" s="18" t="str">
        <f aca="false">IF($L44="","",INDEX(AUX!$F:$F,$L44)&amp;"")</f>
        <v/>
      </c>
      <c r="L44" s="0" t="str">
        <f aca="false">IFERROR(ROUND(MOD(SMALL(AUX!$H$2:$H$901,2),1)*100000,0),"")</f>
        <v/>
      </c>
    </row>
    <row r="45" customFormat="false" ht="15" hidden="false" customHeight="false" outlineLevel="0" collapsed="false">
      <c r="B45" s="16" t="str">
        <f aca="false">IF(L45="","",3)</f>
        <v/>
      </c>
      <c r="C45" s="17" t="str">
        <f aca="false">IF($L45="","",INDEX(AUX!$B:$B,$L45)&amp;"")</f>
        <v/>
      </c>
      <c r="D45" s="16" t="str">
        <f aca="false">IF($L45="","",INDEX(AUX!$C:$C,$L45)&amp;"")</f>
        <v/>
      </c>
      <c r="E45" s="22" t="str">
        <f aca="false">IF($L45="","",INDEX(AUX!$D:$D,$L45))</f>
        <v/>
      </c>
      <c r="F45" s="16" t="str">
        <f aca="false">IF($L45="","",INDEX(AUX!$J:$J,$L45)&amp;"")</f>
        <v/>
      </c>
      <c r="G45" s="23" t="str">
        <f aca="true">IF($L45="","",INDEX(AUX!$D:$D,$L45)-TODAY())</f>
        <v/>
      </c>
      <c r="H45" s="16" t="str">
        <f aca="false">IF($L45="","",INDEX(AUX!$A:$A,$L45)&amp;"")</f>
        <v/>
      </c>
      <c r="I45" s="16" t="str">
        <f aca="false">IF($L45="","",INDEX(AUX!$F:$F,$L45)&amp;"")</f>
        <v/>
      </c>
      <c r="L45" s="0" t="str">
        <f aca="false">IFERROR(ROUND(MOD(SMALL(AUX!$H$2:$H$901,3),1)*100000,0),"")</f>
        <v/>
      </c>
    </row>
    <row r="46" customFormat="false" ht="15" hidden="false" customHeight="false" outlineLevel="0" collapsed="false">
      <c r="B46" s="18" t="str">
        <f aca="false">IF(L46="","",4)</f>
        <v/>
      </c>
      <c r="C46" s="19" t="str">
        <f aca="false">IF($L46="","",INDEX(AUX!$B:$B,$L46)&amp;"")</f>
        <v/>
      </c>
      <c r="D46" s="18" t="str">
        <f aca="false">IF($L46="","",INDEX(AUX!$C:$C,$L46)&amp;"")</f>
        <v/>
      </c>
      <c r="E46" s="24" t="str">
        <f aca="false">IF($L46="","",INDEX(AUX!$D:$D,$L46))</f>
        <v/>
      </c>
      <c r="F46" s="18" t="str">
        <f aca="false">IF($L46="","",INDEX(AUX!$J:$J,$L46)&amp;"")</f>
        <v/>
      </c>
      <c r="G46" s="25" t="str">
        <f aca="true">IF($L46="","",INDEX(AUX!$D:$D,$L46)-TODAY())</f>
        <v/>
      </c>
      <c r="H46" s="18" t="str">
        <f aca="false">IF($L46="","",INDEX(AUX!$A:$A,$L46)&amp;"")</f>
        <v/>
      </c>
      <c r="I46" s="18" t="str">
        <f aca="false">IF($L46="","",INDEX(AUX!$F:$F,$L46)&amp;"")</f>
        <v/>
      </c>
      <c r="L46" s="0" t="str">
        <f aca="false">IFERROR(ROUND(MOD(SMALL(AUX!$H$2:$H$901,4),1)*100000,0),"")</f>
        <v/>
      </c>
    </row>
    <row r="47" customFormat="false" ht="15" hidden="false" customHeight="false" outlineLevel="0" collapsed="false">
      <c r="B47" s="16" t="str">
        <f aca="false">IF(L47="","",5)</f>
        <v/>
      </c>
      <c r="C47" s="17" t="str">
        <f aca="false">IF($L47="","",INDEX(AUX!$B:$B,$L47)&amp;"")</f>
        <v/>
      </c>
      <c r="D47" s="16" t="str">
        <f aca="false">IF($L47="","",INDEX(AUX!$C:$C,$L47)&amp;"")</f>
        <v/>
      </c>
      <c r="E47" s="22" t="str">
        <f aca="false">IF($L47="","",INDEX(AUX!$D:$D,$L47))</f>
        <v/>
      </c>
      <c r="F47" s="16" t="str">
        <f aca="false">IF($L47="","",INDEX(AUX!$J:$J,$L47)&amp;"")</f>
        <v/>
      </c>
      <c r="G47" s="23" t="str">
        <f aca="true">IF($L47="","",INDEX(AUX!$D:$D,$L47)-TODAY())</f>
        <v/>
      </c>
      <c r="H47" s="16" t="str">
        <f aca="false">IF($L47="","",INDEX(AUX!$A:$A,$L47)&amp;"")</f>
        <v/>
      </c>
      <c r="I47" s="16" t="str">
        <f aca="false">IF($L47="","",INDEX(AUX!$F:$F,$L47)&amp;"")</f>
        <v/>
      </c>
      <c r="L47" s="0" t="str">
        <f aca="false">IFERROR(ROUND(MOD(SMALL(AUX!$H$2:$H$901,5),1)*100000,0),"")</f>
        <v/>
      </c>
    </row>
    <row r="48" customFormat="false" ht="15" hidden="false" customHeight="false" outlineLevel="0" collapsed="false">
      <c r="B48" s="18" t="str">
        <f aca="false">IF(L48="","",6)</f>
        <v/>
      </c>
      <c r="C48" s="19" t="str">
        <f aca="false">IF($L48="","",INDEX(AUX!$B:$B,$L48)&amp;"")</f>
        <v/>
      </c>
      <c r="D48" s="18" t="str">
        <f aca="false">IF($L48="","",INDEX(AUX!$C:$C,$L48)&amp;"")</f>
        <v/>
      </c>
      <c r="E48" s="24" t="str">
        <f aca="false">IF($L48="","",INDEX(AUX!$D:$D,$L48))</f>
        <v/>
      </c>
      <c r="F48" s="18" t="str">
        <f aca="false">IF($L48="","",INDEX(AUX!$J:$J,$L48)&amp;"")</f>
        <v/>
      </c>
      <c r="G48" s="25" t="str">
        <f aca="true">IF($L48="","",INDEX(AUX!$D:$D,$L48)-TODAY())</f>
        <v/>
      </c>
      <c r="H48" s="18" t="str">
        <f aca="false">IF($L48="","",INDEX(AUX!$A:$A,$L48)&amp;"")</f>
        <v/>
      </c>
      <c r="I48" s="18" t="str">
        <f aca="false">IF($L48="","",INDEX(AUX!$F:$F,$L48)&amp;"")</f>
        <v/>
      </c>
      <c r="L48" s="0" t="str">
        <f aca="false">IFERROR(ROUND(MOD(SMALL(AUX!$H$2:$H$901,6),1)*100000,0),"")</f>
        <v/>
      </c>
    </row>
    <row r="49" customFormat="false" ht="15" hidden="false" customHeight="false" outlineLevel="0" collapsed="false">
      <c r="B49" s="16" t="str">
        <f aca="false">IF(L49="","",7)</f>
        <v/>
      </c>
      <c r="C49" s="17" t="str">
        <f aca="false">IF($L49="","",INDEX(AUX!$B:$B,$L49)&amp;"")</f>
        <v/>
      </c>
      <c r="D49" s="16" t="str">
        <f aca="false">IF($L49="","",INDEX(AUX!$C:$C,$L49)&amp;"")</f>
        <v/>
      </c>
      <c r="E49" s="22" t="str">
        <f aca="false">IF($L49="","",INDEX(AUX!$D:$D,$L49))</f>
        <v/>
      </c>
      <c r="F49" s="16" t="str">
        <f aca="false">IF($L49="","",INDEX(AUX!$J:$J,$L49)&amp;"")</f>
        <v/>
      </c>
      <c r="G49" s="23" t="str">
        <f aca="true">IF($L49="","",INDEX(AUX!$D:$D,$L49)-TODAY())</f>
        <v/>
      </c>
      <c r="H49" s="16" t="str">
        <f aca="false">IF($L49="","",INDEX(AUX!$A:$A,$L49)&amp;"")</f>
        <v/>
      </c>
      <c r="I49" s="16" t="str">
        <f aca="false">IF($L49="","",INDEX(AUX!$F:$F,$L49)&amp;"")</f>
        <v/>
      </c>
      <c r="L49" s="0" t="str">
        <f aca="false">IFERROR(ROUND(MOD(SMALL(AUX!$H$2:$H$901,7),1)*100000,0),"")</f>
        <v/>
      </c>
    </row>
    <row r="50" customFormat="false" ht="15" hidden="false" customHeight="false" outlineLevel="0" collapsed="false">
      <c r="B50" s="18" t="str">
        <f aca="false">IF(L50="","",8)</f>
        <v/>
      </c>
      <c r="C50" s="19" t="str">
        <f aca="false">IF($L50="","",INDEX(AUX!$B:$B,$L50)&amp;"")</f>
        <v/>
      </c>
      <c r="D50" s="18" t="str">
        <f aca="false">IF($L50="","",INDEX(AUX!$C:$C,$L50)&amp;"")</f>
        <v/>
      </c>
      <c r="E50" s="24" t="str">
        <f aca="false">IF($L50="","",INDEX(AUX!$D:$D,$L50))</f>
        <v/>
      </c>
      <c r="F50" s="18" t="str">
        <f aca="false">IF($L50="","",INDEX(AUX!$J:$J,$L50)&amp;"")</f>
        <v/>
      </c>
      <c r="G50" s="25" t="str">
        <f aca="true">IF($L50="","",INDEX(AUX!$D:$D,$L50)-TODAY())</f>
        <v/>
      </c>
      <c r="H50" s="18" t="str">
        <f aca="false">IF($L50="","",INDEX(AUX!$A:$A,$L50)&amp;"")</f>
        <v/>
      </c>
      <c r="I50" s="18" t="str">
        <f aca="false">IF($L50="","",INDEX(AUX!$F:$F,$L50)&amp;"")</f>
        <v/>
      </c>
      <c r="L50" s="0" t="str">
        <f aca="false">IFERROR(ROUND(MOD(SMALL(AUX!$H$2:$H$901,8),1)*100000,0),"")</f>
        <v/>
      </c>
    </row>
    <row r="51" customFormat="false" ht="15" hidden="false" customHeight="false" outlineLevel="0" collapsed="false">
      <c r="B51" s="16" t="str">
        <f aca="false">IF(L51="","",9)</f>
        <v/>
      </c>
      <c r="C51" s="17" t="str">
        <f aca="false">IF($L51="","",INDEX(AUX!$B:$B,$L51)&amp;"")</f>
        <v/>
      </c>
      <c r="D51" s="16" t="str">
        <f aca="false">IF($L51="","",INDEX(AUX!$C:$C,$L51)&amp;"")</f>
        <v/>
      </c>
      <c r="E51" s="22" t="str">
        <f aca="false">IF($L51="","",INDEX(AUX!$D:$D,$L51))</f>
        <v/>
      </c>
      <c r="F51" s="16" t="str">
        <f aca="false">IF($L51="","",INDEX(AUX!$J:$J,$L51)&amp;"")</f>
        <v/>
      </c>
      <c r="G51" s="23" t="str">
        <f aca="true">IF($L51="","",INDEX(AUX!$D:$D,$L51)-TODAY())</f>
        <v/>
      </c>
      <c r="H51" s="16" t="str">
        <f aca="false">IF($L51="","",INDEX(AUX!$A:$A,$L51)&amp;"")</f>
        <v/>
      </c>
      <c r="I51" s="16" t="str">
        <f aca="false">IF($L51="","",INDEX(AUX!$F:$F,$L51)&amp;"")</f>
        <v/>
      </c>
      <c r="L51" s="0" t="str">
        <f aca="false">IFERROR(ROUND(MOD(SMALL(AUX!$H$2:$H$901,9),1)*100000,0),"")</f>
        <v/>
      </c>
    </row>
    <row r="52" customFormat="false" ht="15" hidden="false" customHeight="false" outlineLevel="0" collapsed="false">
      <c r="B52" s="18" t="str">
        <f aca="false">IF(L52="","",10)</f>
        <v/>
      </c>
      <c r="C52" s="19" t="str">
        <f aca="false">IF($L52="","",INDEX(AUX!$B:$B,$L52)&amp;"")</f>
        <v/>
      </c>
      <c r="D52" s="18" t="str">
        <f aca="false">IF($L52="","",INDEX(AUX!$C:$C,$L52)&amp;"")</f>
        <v/>
      </c>
      <c r="E52" s="24" t="str">
        <f aca="false">IF($L52="","",INDEX(AUX!$D:$D,$L52))</f>
        <v/>
      </c>
      <c r="F52" s="18" t="str">
        <f aca="false">IF($L52="","",INDEX(AUX!$J:$J,$L52)&amp;"")</f>
        <v/>
      </c>
      <c r="G52" s="25" t="str">
        <f aca="true">IF($L52="","",INDEX(AUX!$D:$D,$L52)-TODAY())</f>
        <v/>
      </c>
      <c r="H52" s="18" t="str">
        <f aca="false">IF($L52="","",INDEX(AUX!$A:$A,$L52)&amp;"")</f>
        <v/>
      </c>
      <c r="I52" s="18" t="str">
        <f aca="false">IF($L52="","",INDEX(AUX!$F:$F,$L52)&amp;"")</f>
        <v/>
      </c>
      <c r="L52" s="0" t="str">
        <f aca="false">IFERROR(ROUND(MOD(SMALL(AUX!$H$2:$H$901,10),1)*100000,0),"")</f>
        <v/>
      </c>
    </row>
    <row r="53" customFormat="false" ht="15" hidden="false" customHeight="false" outlineLevel="0" collapsed="false">
      <c r="B53" s="20" t="str">
        <f aca="false">IF($G$8=0,"Ninguém nesta lista.",IF($G$8&gt;10,"... e mais "&amp;($G$8-10)&amp;" — veja a aba FOLGAS / NATAL / ANO NOVO.",""))</f>
        <v>Ninguém nesta lista.</v>
      </c>
      <c r="C53" s="20"/>
      <c r="D53" s="20"/>
      <c r="E53" s="20"/>
      <c r="F53" s="20"/>
      <c r="G53" s="20"/>
      <c r="H53" s="20"/>
      <c r="I53" s="20"/>
    </row>
    <row r="55" customFormat="false" ht="24" hidden="false" customHeight="true" outlineLevel="0" collapsed="false">
      <c r="B55" s="27" t="s">
        <v>26</v>
      </c>
      <c r="C55" s="27"/>
      <c r="D55" s="27"/>
      <c r="E55" s="27"/>
      <c r="F55" s="27"/>
      <c r="G55" s="27"/>
      <c r="H55" s="27"/>
      <c r="I55" s="27"/>
    </row>
    <row r="56" customFormat="false" ht="15" hidden="false" customHeight="false" outlineLevel="0" collapsed="false">
      <c r="B56" s="15" t="s">
        <v>10</v>
      </c>
      <c r="C56" s="15" t="s">
        <v>11</v>
      </c>
      <c r="D56" s="15" t="s">
        <v>12</v>
      </c>
      <c r="E56" s="15" t="s">
        <v>16</v>
      </c>
      <c r="F56" s="15" t="s">
        <v>17</v>
      </c>
      <c r="G56" s="15" t="s">
        <v>27</v>
      </c>
      <c r="H56" s="15" t="s">
        <v>24</v>
      </c>
      <c r="I56" s="15" t="s">
        <v>25</v>
      </c>
    </row>
    <row r="57" customFormat="false" ht="15" hidden="false" customHeight="false" outlineLevel="0" collapsed="false">
      <c r="B57" s="16" t="n">
        <f aca="false">IF(L57="","",1)</f>
        <v>1</v>
      </c>
      <c r="C57" s="17" t="str">
        <f aca="false">IF($L57="","",INDEX(FÉRIAS!$A:$A,$L57)&amp;"")</f>
        <v>SÉRGIO SÁ</v>
      </c>
      <c r="D57" s="16" t="str">
        <f aca="false">IF($L57="","",INDEX(FÉRIAS!$B:$B,$L57)&amp;"")</f>
        <v>FISCALIZAÇÃO</v>
      </c>
      <c r="E57" s="22" t="n">
        <f aca="false">IF($L57="","",INDEX(FÉRIAS!$C:$C,$L57))</f>
        <v>46308</v>
      </c>
      <c r="F57" s="22" t="n">
        <f aca="false">IF($L57="","",INDEX(FÉRIAS!$D:$D,$L57))</f>
        <v>46311</v>
      </c>
      <c r="G57" s="23" t="n">
        <f aca="false">IF($L57="","",INDEX(FÉRIAS!$F:$F,$L57))</f>
        <v>4</v>
      </c>
      <c r="H57" s="23" t="n">
        <f aca="true">IF($L57="","",INDEX(FÉRIAS!$C:$C,$L57)-TODAY())</f>
        <v>7</v>
      </c>
      <c r="I57" s="16" t="str">
        <f aca="false">IF($L57="","",INDEX(FÉRIAS!$I:$I,$L57)&amp;"")</f>
        <v/>
      </c>
      <c r="L57" s="0" t="n">
        <f aca="false">IFERROR(ROUND(MOD(SMALL(FÉRIAS!$L$2:$L$301,1),1)*100000,0),"")</f>
        <v>7</v>
      </c>
    </row>
    <row r="58" customFormat="false" ht="15" hidden="false" customHeight="false" outlineLevel="0" collapsed="false">
      <c r="B58" s="18" t="n">
        <f aca="false">IF(L58="","",2)</f>
        <v>2</v>
      </c>
      <c r="C58" s="19" t="str">
        <f aca="false">IF($L58="","",INDEX(FÉRIAS!$A:$A,$L58)&amp;"")</f>
        <v>FABIO FERREIRA</v>
      </c>
      <c r="D58" s="18" t="str">
        <f aca="false">IF($L58="","",INDEX(FÉRIAS!$B:$B,$L58)&amp;"")</f>
        <v>FISCALIZAÇÃO</v>
      </c>
      <c r="E58" s="24" t="n">
        <f aca="false">IF($L58="","",INDEX(FÉRIAS!$C:$C,$L58))</f>
        <v>46314</v>
      </c>
      <c r="F58" s="24" t="n">
        <f aca="false">IF($L58="","",INDEX(FÉRIAS!$D:$D,$L58))</f>
        <v>46328</v>
      </c>
      <c r="G58" s="25" t="n">
        <f aca="false">IF($L58="","",INDEX(FÉRIAS!$F:$F,$L58))</f>
        <v>15</v>
      </c>
      <c r="H58" s="25" t="n">
        <f aca="true">IF($L58="","",INDEX(FÉRIAS!$C:$C,$L58)-TODAY())</f>
        <v>13</v>
      </c>
      <c r="I58" s="18" t="str">
        <f aca="false">IF($L58="","",INDEX(FÉRIAS!$I:$I,$L58)&amp;"")</f>
        <v/>
      </c>
      <c r="L58" s="0" t="n">
        <f aca="false">IFERROR(ROUND(MOD(SMALL(FÉRIAS!$L$2:$L$301,2),1)*100000,0),"")</f>
        <v>4</v>
      </c>
    </row>
    <row r="59" customFormat="false" ht="15" hidden="false" customHeight="false" outlineLevel="0" collapsed="false">
      <c r="B59" s="16" t="str">
        <f aca="false">IF(L59="","",3)</f>
        <v/>
      </c>
      <c r="C59" s="17" t="str">
        <f aca="false">IF($L59="","",INDEX(FÉRIAS!$A:$A,$L59)&amp;"")</f>
        <v/>
      </c>
      <c r="D59" s="16" t="str">
        <f aca="false">IF($L59="","",INDEX(FÉRIAS!$B:$B,$L59)&amp;"")</f>
        <v/>
      </c>
      <c r="E59" s="22" t="str">
        <f aca="false">IF($L59="","",INDEX(FÉRIAS!$C:$C,$L59))</f>
        <v/>
      </c>
      <c r="F59" s="22" t="str">
        <f aca="false">IF($L59="","",INDEX(FÉRIAS!$D:$D,$L59))</f>
        <v/>
      </c>
      <c r="G59" s="23" t="str">
        <f aca="false">IF($L59="","",INDEX(FÉRIAS!$F:$F,$L59))</f>
        <v/>
      </c>
      <c r="H59" s="23" t="str">
        <f aca="true">IF($L59="","",INDEX(FÉRIAS!$C:$C,$L59)-TODAY())</f>
        <v/>
      </c>
      <c r="I59" s="16" t="str">
        <f aca="false">IF($L59="","",INDEX(FÉRIAS!$I:$I,$L59)&amp;"")</f>
        <v/>
      </c>
      <c r="L59" s="0" t="str">
        <f aca="false">IFERROR(ROUND(MOD(SMALL(FÉRIAS!$L$2:$L$301,3),1)*100000,0),"")</f>
        <v/>
      </c>
    </row>
    <row r="60" customFormat="false" ht="15" hidden="false" customHeight="false" outlineLevel="0" collapsed="false">
      <c r="B60" s="18" t="str">
        <f aca="false">IF(L60="","",4)</f>
        <v/>
      </c>
      <c r="C60" s="19" t="str">
        <f aca="false">IF($L60="","",INDEX(FÉRIAS!$A:$A,$L60)&amp;"")</f>
        <v/>
      </c>
      <c r="D60" s="18" t="str">
        <f aca="false">IF($L60="","",INDEX(FÉRIAS!$B:$B,$L60)&amp;"")</f>
        <v/>
      </c>
      <c r="E60" s="24" t="str">
        <f aca="false">IF($L60="","",INDEX(FÉRIAS!$C:$C,$L60))</f>
        <v/>
      </c>
      <c r="F60" s="24" t="str">
        <f aca="false">IF($L60="","",INDEX(FÉRIAS!$D:$D,$L60))</f>
        <v/>
      </c>
      <c r="G60" s="25" t="str">
        <f aca="false">IF($L60="","",INDEX(FÉRIAS!$F:$F,$L60))</f>
        <v/>
      </c>
      <c r="H60" s="25" t="str">
        <f aca="true">IF($L60="","",INDEX(FÉRIAS!$C:$C,$L60)-TODAY())</f>
        <v/>
      </c>
      <c r="I60" s="18" t="str">
        <f aca="false">IF($L60="","",INDEX(FÉRIAS!$I:$I,$L60)&amp;"")</f>
        <v/>
      </c>
      <c r="L60" s="0" t="str">
        <f aca="false">IFERROR(ROUND(MOD(SMALL(FÉRIAS!$L$2:$L$301,4),1)*100000,0),"")</f>
        <v/>
      </c>
    </row>
    <row r="61" customFormat="false" ht="15" hidden="false" customHeight="false" outlineLevel="0" collapsed="false">
      <c r="B61" s="16" t="str">
        <f aca="false">IF(L61="","",5)</f>
        <v/>
      </c>
      <c r="C61" s="17" t="str">
        <f aca="false">IF($L61="","",INDEX(FÉRIAS!$A:$A,$L61)&amp;"")</f>
        <v/>
      </c>
      <c r="D61" s="16" t="str">
        <f aca="false">IF($L61="","",INDEX(FÉRIAS!$B:$B,$L61)&amp;"")</f>
        <v/>
      </c>
      <c r="E61" s="22" t="str">
        <f aca="false">IF($L61="","",INDEX(FÉRIAS!$C:$C,$L61))</f>
        <v/>
      </c>
      <c r="F61" s="22" t="str">
        <f aca="false">IF($L61="","",INDEX(FÉRIAS!$D:$D,$L61))</f>
        <v/>
      </c>
      <c r="G61" s="23" t="str">
        <f aca="false">IF($L61="","",INDEX(FÉRIAS!$F:$F,$L61))</f>
        <v/>
      </c>
      <c r="H61" s="23" t="str">
        <f aca="true">IF($L61="","",INDEX(FÉRIAS!$C:$C,$L61)-TODAY())</f>
        <v/>
      </c>
      <c r="I61" s="16" t="str">
        <f aca="false">IF($L61="","",INDEX(FÉRIAS!$I:$I,$L61)&amp;"")</f>
        <v/>
      </c>
      <c r="L61" s="0" t="str">
        <f aca="false">IFERROR(ROUND(MOD(SMALL(FÉRIAS!$L$2:$L$301,5),1)*100000,0),"")</f>
        <v/>
      </c>
    </row>
    <row r="62" customFormat="false" ht="15" hidden="false" customHeight="false" outlineLevel="0" collapsed="false">
      <c r="B62" s="18" t="str">
        <f aca="false">IF(L62="","",6)</f>
        <v/>
      </c>
      <c r="C62" s="19" t="str">
        <f aca="false">IF($L62="","",INDEX(FÉRIAS!$A:$A,$L62)&amp;"")</f>
        <v/>
      </c>
      <c r="D62" s="18" t="str">
        <f aca="false">IF($L62="","",INDEX(FÉRIAS!$B:$B,$L62)&amp;"")</f>
        <v/>
      </c>
      <c r="E62" s="24" t="str">
        <f aca="false">IF($L62="","",INDEX(FÉRIAS!$C:$C,$L62))</f>
        <v/>
      </c>
      <c r="F62" s="24" t="str">
        <f aca="false">IF($L62="","",INDEX(FÉRIAS!$D:$D,$L62))</f>
        <v/>
      </c>
      <c r="G62" s="25" t="str">
        <f aca="false">IF($L62="","",INDEX(FÉRIAS!$F:$F,$L62))</f>
        <v/>
      </c>
      <c r="H62" s="25" t="str">
        <f aca="true">IF($L62="","",INDEX(FÉRIAS!$C:$C,$L62)-TODAY())</f>
        <v/>
      </c>
      <c r="I62" s="18" t="str">
        <f aca="false">IF($L62="","",INDEX(FÉRIAS!$I:$I,$L62)&amp;"")</f>
        <v/>
      </c>
      <c r="L62" s="0" t="str">
        <f aca="false">IFERROR(ROUND(MOD(SMALL(FÉRIAS!$L$2:$L$301,6),1)*100000,0),"")</f>
        <v/>
      </c>
    </row>
    <row r="63" customFormat="false" ht="15" hidden="false" customHeight="false" outlineLevel="0" collapsed="false">
      <c r="B63" s="16" t="str">
        <f aca="false">IF(L63="","",7)</f>
        <v/>
      </c>
      <c r="C63" s="17" t="str">
        <f aca="false">IF($L63="","",INDEX(FÉRIAS!$A:$A,$L63)&amp;"")</f>
        <v/>
      </c>
      <c r="D63" s="16" t="str">
        <f aca="false">IF($L63="","",INDEX(FÉRIAS!$B:$B,$L63)&amp;"")</f>
        <v/>
      </c>
      <c r="E63" s="22" t="str">
        <f aca="false">IF($L63="","",INDEX(FÉRIAS!$C:$C,$L63))</f>
        <v/>
      </c>
      <c r="F63" s="22" t="str">
        <f aca="false">IF($L63="","",INDEX(FÉRIAS!$D:$D,$L63))</f>
        <v/>
      </c>
      <c r="G63" s="23" t="str">
        <f aca="false">IF($L63="","",INDEX(FÉRIAS!$F:$F,$L63))</f>
        <v/>
      </c>
      <c r="H63" s="23" t="str">
        <f aca="true">IF($L63="","",INDEX(FÉRIAS!$C:$C,$L63)-TODAY())</f>
        <v/>
      </c>
      <c r="I63" s="16" t="str">
        <f aca="false">IF($L63="","",INDEX(FÉRIAS!$I:$I,$L63)&amp;"")</f>
        <v/>
      </c>
      <c r="L63" s="0" t="str">
        <f aca="false">IFERROR(ROUND(MOD(SMALL(FÉRIAS!$L$2:$L$301,7),1)*100000,0),"")</f>
        <v/>
      </c>
    </row>
    <row r="64" customFormat="false" ht="15" hidden="false" customHeight="false" outlineLevel="0" collapsed="false">
      <c r="B64" s="18" t="str">
        <f aca="false">IF(L64="","",8)</f>
        <v/>
      </c>
      <c r="C64" s="19" t="str">
        <f aca="false">IF($L64="","",INDEX(FÉRIAS!$A:$A,$L64)&amp;"")</f>
        <v/>
      </c>
      <c r="D64" s="18" t="str">
        <f aca="false">IF($L64="","",INDEX(FÉRIAS!$B:$B,$L64)&amp;"")</f>
        <v/>
      </c>
      <c r="E64" s="24" t="str">
        <f aca="false">IF($L64="","",INDEX(FÉRIAS!$C:$C,$L64))</f>
        <v/>
      </c>
      <c r="F64" s="24" t="str">
        <f aca="false">IF($L64="","",INDEX(FÉRIAS!$D:$D,$L64))</f>
        <v/>
      </c>
      <c r="G64" s="25" t="str">
        <f aca="false">IF($L64="","",INDEX(FÉRIAS!$F:$F,$L64))</f>
        <v/>
      </c>
      <c r="H64" s="25" t="str">
        <f aca="true">IF($L64="","",INDEX(FÉRIAS!$C:$C,$L64)-TODAY())</f>
        <v/>
      </c>
      <c r="I64" s="18" t="str">
        <f aca="false">IF($L64="","",INDEX(FÉRIAS!$I:$I,$L64)&amp;"")</f>
        <v/>
      </c>
      <c r="L64" s="0" t="str">
        <f aca="false">IFERROR(ROUND(MOD(SMALL(FÉRIAS!$L$2:$L$301,8),1)*100000,0),"")</f>
        <v/>
      </c>
    </row>
    <row r="65" customFormat="false" ht="15" hidden="false" customHeight="false" outlineLevel="0" collapsed="false">
      <c r="B65" s="16" t="str">
        <f aca="false">IF(L65="","",9)</f>
        <v/>
      </c>
      <c r="C65" s="17" t="str">
        <f aca="false">IF($L65="","",INDEX(FÉRIAS!$A:$A,$L65)&amp;"")</f>
        <v/>
      </c>
      <c r="D65" s="16" t="str">
        <f aca="false">IF($L65="","",INDEX(FÉRIAS!$B:$B,$L65)&amp;"")</f>
        <v/>
      </c>
      <c r="E65" s="22" t="str">
        <f aca="false">IF($L65="","",INDEX(FÉRIAS!$C:$C,$L65))</f>
        <v/>
      </c>
      <c r="F65" s="22" t="str">
        <f aca="false">IF($L65="","",INDEX(FÉRIAS!$D:$D,$L65))</f>
        <v/>
      </c>
      <c r="G65" s="23" t="str">
        <f aca="false">IF($L65="","",INDEX(FÉRIAS!$F:$F,$L65))</f>
        <v/>
      </c>
      <c r="H65" s="23" t="str">
        <f aca="true">IF($L65="","",INDEX(FÉRIAS!$C:$C,$L65)-TODAY())</f>
        <v/>
      </c>
      <c r="I65" s="16" t="str">
        <f aca="false">IF($L65="","",INDEX(FÉRIAS!$I:$I,$L65)&amp;"")</f>
        <v/>
      </c>
      <c r="L65" s="0" t="str">
        <f aca="false">IFERROR(ROUND(MOD(SMALL(FÉRIAS!$L$2:$L$301,9),1)*100000,0),"")</f>
        <v/>
      </c>
    </row>
    <row r="66" customFormat="false" ht="15" hidden="false" customHeight="false" outlineLevel="0" collapsed="false">
      <c r="B66" s="18" t="str">
        <f aca="false">IF(L66="","",10)</f>
        <v/>
      </c>
      <c r="C66" s="19" t="str">
        <f aca="false">IF($L66="","",INDEX(FÉRIAS!$A:$A,$L66)&amp;"")</f>
        <v/>
      </c>
      <c r="D66" s="18" t="str">
        <f aca="false">IF($L66="","",INDEX(FÉRIAS!$B:$B,$L66)&amp;"")</f>
        <v/>
      </c>
      <c r="E66" s="24" t="str">
        <f aca="false">IF($L66="","",INDEX(FÉRIAS!$C:$C,$L66))</f>
        <v/>
      </c>
      <c r="F66" s="24" t="str">
        <f aca="false">IF($L66="","",INDEX(FÉRIAS!$D:$D,$L66))</f>
        <v/>
      </c>
      <c r="G66" s="25" t="str">
        <f aca="false">IF($L66="","",INDEX(FÉRIAS!$F:$F,$L66))</f>
        <v/>
      </c>
      <c r="H66" s="25" t="str">
        <f aca="true">IF($L66="","",INDEX(FÉRIAS!$C:$C,$L66)-TODAY())</f>
        <v/>
      </c>
      <c r="I66" s="18" t="str">
        <f aca="false">IF($L66="","",INDEX(FÉRIAS!$I:$I,$L66)&amp;"")</f>
        <v/>
      </c>
      <c r="L66" s="0" t="str">
        <f aca="false">IFERROR(ROUND(MOD(SMALL(FÉRIAS!$L$2:$L$301,10),1)*100000,0),"")</f>
        <v/>
      </c>
    </row>
    <row r="67" customFormat="false" ht="15" hidden="false" customHeight="false" outlineLevel="0" collapsed="false">
      <c r="B67" s="20" t="str">
        <f aca="false">IF($H$8=0,"Ninguém nesta lista.",IF($H$8&gt;10,"... e mais "&amp;($H$8-10)&amp;" — veja a aba FÉRIAS.",""))</f>
        <v/>
      </c>
      <c r="C67" s="20"/>
      <c r="D67" s="20"/>
      <c r="E67" s="20"/>
      <c r="F67" s="20"/>
      <c r="G67" s="20"/>
      <c r="H67" s="20"/>
      <c r="I67" s="20"/>
    </row>
  </sheetData>
  <mergeCells count="34">
    <mergeCell ref="B2:I2"/>
    <mergeCell ref="B3:I3"/>
    <mergeCell ref="B5:I5"/>
    <mergeCell ref="B7:D7"/>
    <mergeCell ref="E7:F7"/>
    <mergeCell ref="H7:I7"/>
    <mergeCell ref="B8:D8"/>
    <mergeCell ref="E8:F8"/>
    <mergeCell ref="H8:I8"/>
    <mergeCell ref="B10:D10"/>
    <mergeCell ref="E10:F10"/>
    <mergeCell ref="H10:I10"/>
    <mergeCell ref="B11:D11"/>
    <mergeCell ref="E11:F11"/>
    <mergeCell ref="H11:I11"/>
    <mergeCell ref="B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B25:I25"/>
    <mergeCell ref="B27:I27"/>
    <mergeCell ref="B39:I39"/>
    <mergeCell ref="B41:I41"/>
    <mergeCell ref="B53:I53"/>
    <mergeCell ref="B55:I55"/>
    <mergeCell ref="B67:I67"/>
  </mergeCells>
  <conditionalFormatting sqref="B5:I5">
    <cfRule type="expression" priority="2" aboveAverage="0" equalAverage="0" bottom="0" percent="0" rank="0" text="" dxfId="0">
      <formula>$B$8+$E$8&gt;0</formula>
    </cfRule>
    <cfRule type="expression" priority="3" aboveAverage="0" equalAverage="0" bottom="0" percent="0" rank="0" text="" dxfId="1">
      <formula>$B$8+$E$8=0</formula>
    </cfRule>
  </conditionalFormatting>
  <conditionalFormatting sqref="E11:F11">
    <cfRule type="expression" priority="4" aboveAverage="0" equalAverage="0" bottom="0" percent="0" rank="0" text="" dxfId="2">
      <formula>$E$11&gt;0</formula>
    </cfRule>
  </conditionalFormatting>
  <conditionalFormatting sqref="I14:I69">
    <cfRule type="expression" priority="5" aboveAverage="0" equalAverage="0" bottom="0" percent="0" rank="0" text="" dxfId="2">
      <formula>LEFT(I14,1)="⚠"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2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0" min="10" style="0" width="4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true" outlineLevel="0" max="16" min="15" style="0" width="13"/>
  </cols>
  <sheetData>
    <row r="2" customFormat="false" ht="30" hidden="false" customHeight="true" outlineLevel="0" collapsed="false">
      <c r="B2" s="28" t="s">
        <v>28</v>
      </c>
      <c r="C2" s="28"/>
      <c r="D2" s="28"/>
      <c r="E2" s="28"/>
      <c r="F2" s="28"/>
      <c r="G2" s="28"/>
      <c r="H2" s="28"/>
      <c r="J2" s="29" t="s">
        <v>29</v>
      </c>
      <c r="K2" s="29"/>
      <c r="L2" s="29"/>
      <c r="M2" s="29"/>
    </row>
    <row r="3" customFormat="false" ht="15" hidden="false" customHeight="false" outlineLevel="0" collapsed="false">
      <c r="O3" s="0" t="n">
        <f aca="true">IF(AND(ISNUMBER(F4),F4&gt;=1900),F4,YEAR(TODAY()))</f>
        <v>2026</v>
      </c>
    </row>
    <row r="4" customFormat="false" ht="15" hidden="false" customHeight="false" outlineLevel="0" collapsed="false">
      <c r="B4" s="30" t="s">
        <v>30</v>
      </c>
      <c r="C4" s="31" t="str">
        <f aca="true">INDEX(LISTAS!$D$2:$D$13,MONTH(TODAY()))</f>
        <v>Outubro</v>
      </c>
      <c r="D4" s="31"/>
      <c r="E4" s="30" t="s">
        <v>31</v>
      </c>
      <c r="F4" s="32" t="n">
        <f aca="true">YEAR(TODAY())</f>
        <v>2026</v>
      </c>
      <c r="G4" s="33" t="s">
        <v>32</v>
      </c>
      <c r="J4" s="34" t="s">
        <v>33</v>
      </c>
      <c r="K4" s="34"/>
      <c r="L4" s="35" t="n">
        <f aca="true">TODAY()</f>
        <v>46301</v>
      </c>
      <c r="M4" s="36" t="str">
        <f aca="false">IF(ISNUMBER(L4),CHOOSE(WEEKDAY(L4),"Domingo","Segunda","Terça","Quarta","Quinta","Sexta","Sábado"),"")</f>
        <v>Terça</v>
      </c>
      <c r="O4" s="0" t="n">
        <f aca="true">IFERROR(MATCH(C4,LISTAS!$D$2:$D$13,0),MONTH(TODAY()))</f>
        <v>10</v>
      </c>
    </row>
    <row r="5" customFormat="false" ht="15" hidden="false" customHeight="false" outlineLevel="0" collapsed="false">
      <c r="O5" s="37" t="n">
        <f aca="false">DATE(O3,O4,1)-WEEKDAY(DATE(O3,O4,1))+1</f>
        <v>46292</v>
      </c>
    </row>
    <row r="6" customFormat="false" ht="21.75" hidden="false" customHeight="true" outlineLevel="0" collapsed="false">
      <c r="B6" s="38" t="s">
        <v>34</v>
      </c>
      <c r="C6" s="38" t="s">
        <v>35</v>
      </c>
      <c r="D6" s="38" t="s">
        <v>36</v>
      </c>
      <c r="E6" s="38" t="s">
        <v>37</v>
      </c>
      <c r="F6" s="38" t="s">
        <v>38</v>
      </c>
      <c r="G6" s="38" t="s">
        <v>39</v>
      </c>
      <c r="H6" s="38" t="s">
        <v>40</v>
      </c>
      <c r="J6" s="38" t="s">
        <v>10</v>
      </c>
      <c r="K6" s="38" t="s">
        <v>11</v>
      </c>
      <c r="L6" s="38" t="s">
        <v>12</v>
      </c>
      <c r="M6" s="38" t="s">
        <v>41</v>
      </c>
      <c r="O6" s="0" t="n">
        <f aca="false">COUNT(AUX!$I$2:$I$901)</f>
        <v>0</v>
      </c>
    </row>
    <row r="7" customFormat="false" ht="18" hidden="false" customHeight="true" outlineLevel="0" collapsed="false">
      <c r="B7" s="39" t="n">
        <f aca="false">$O$5+0</f>
        <v>46292</v>
      </c>
      <c r="C7" s="39" t="n">
        <f aca="false">$O$5+1</f>
        <v>46293</v>
      </c>
      <c r="D7" s="39" t="n">
        <f aca="false">$O$5+2</f>
        <v>46294</v>
      </c>
      <c r="E7" s="39" t="n">
        <f aca="false">$O$5+3</f>
        <v>46295</v>
      </c>
      <c r="F7" s="39" t="n">
        <f aca="false">$O$5+4</f>
        <v>46296</v>
      </c>
      <c r="G7" s="39" t="n">
        <f aca="false">$O$5+5</f>
        <v>46297</v>
      </c>
      <c r="H7" s="39" t="n">
        <f aca="false">$O$5+6</f>
        <v>46298</v>
      </c>
      <c r="J7" s="40" t="str">
        <f aca="false">IF(P7="","",1)</f>
        <v/>
      </c>
      <c r="K7" s="41" t="str">
        <f aca="false">IF(P7="","",IF(1&lt;=$O$6,INDEX(AUX!$B:$B,P7),INDEX(FÉRIAS!$A:$A,P7))&amp;"")</f>
        <v/>
      </c>
      <c r="L7" s="40" t="str">
        <f aca="false">IF(P7="","",IF(1&lt;=$O$6,INDEX(AUX!$C:$C,P7),INDEX(FÉRIAS!$B:$B,P7))&amp;"")</f>
        <v/>
      </c>
      <c r="M7" s="40" t="str">
        <f aca="false">IF(P7="","",IF(1&lt;=$O$6,INDEX(AUX!$A:$A,P7),"Férias"))</f>
        <v/>
      </c>
      <c r="O7" s="0" t="n">
        <f aca="false">COUNT(FÉRIAS!$M$2:$M$301)</f>
        <v>0</v>
      </c>
      <c r="P7" s="0" t="str">
        <f aca="false">IF(1&gt;$O$6+$O$7,"",IF(1&lt;=$O$6,SMALL(AUX!$I$2:$I$901,1),SMALL(FÉRIAS!$M$2:$M$301,1-$O$6)))</f>
        <v/>
      </c>
    </row>
    <row r="8" customFormat="false" ht="33.75" hidden="false" customHeight="true" outlineLevel="0" collapsed="false">
      <c r="B8" s="42" t="str">
        <f aca="false">IF(MONTH(B7)&lt;&gt;$O$4,"",IF(COUNTIF(AUX!$D$2:$D$901,B7)+COUNTIFS(FÉRIAS!$C$2:$C$301,"&lt;="&amp;B7,FÉRIAS!$D$2:$D$301,"&gt;="&amp;B7)=0,"",IF(COUNTIF(AUX!$D$2:$D$901,B7)&gt;0,"Folga: "&amp;COUNTIF(AUX!$D$2:$D$901,B7),"")&amp;IF(AND(COUNTIF(AUX!$D$2:$D$901,B7)&gt;0,COUNTIFS(FÉRIAS!$C$2:$C$301,"&lt;="&amp;B7,FÉRIAS!$D$2:$D$301,"&gt;="&amp;B7)&gt;0),CHAR(10),"")&amp;IF(COUNTIFS(FÉRIAS!$C$2:$C$301,"&lt;="&amp;B7,FÉRIAS!$D$2:$D$301,"&gt;="&amp;B7)&gt;0,"Férias: "&amp;COUNTIFS(FÉRIAS!$C$2:$C$301,"&lt;="&amp;B7,FÉRIAS!$D$2:$D$301,"&gt;="&amp;B7),"")))</f>
        <v/>
      </c>
      <c r="C8" s="42" t="str">
        <f aca="false">IF(MONTH(C7)&lt;&gt;$O$4,"",IF(COUNTIF(AUX!$D$2:$D$901,C7)+COUNTIFS(FÉRIAS!$C$2:$C$301,"&lt;="&amp;C7,FÉRIAS!$D$2:$D$301,"&gt;="&amp;C7)=0,"",IF(COUNTIF(AUX!$D$2:$D$901,C7)&gt;0,"Folga: "&amp;COUNTIF(AUX!$D$2:$D$901,C7),"")&amp;IF(AND(COUNTIF(AUX!$D$2:$D$901,C7)&gt;0,COUNTIFS(FÉRIAS!$C$2:$C$301,"&lt;="&amp;C7,FÉRIAS!$D$2:$D$301,"&gt;="&amp;C7)&gt;0),CHAR(10),"")&amp;IF(COUNTIFS(FÉRIAS!$C$2:$C$301,"&lt;="&amp;C7,FÉRIAS!$D$2:$D$301,"&gt;="&amp;C7)&gt;0,"Férias: "&amp;COUNTIFS(FÉRIAS!$C$2:$C$301,"&lt;="&amp;C7,FÉRIAS!$D$2:$D$301,"&gt;="&amp;C7),"")))</f>
        <v/>
      </c>
      <c r="D8" s="42" t="str">
        <f aca="false">IF(MONTH(D7)&lt;&gt;$O$4,"",IF(COUNTIF(AUX!$D$2:$D$901,D7)+COUNTIFS(FÉRIAS!$C$2:$C$301,"&lt;="&amp;D7,FÉRIAS!$D$2:$D$301,"&gt;="&amp;D7)=0,"",IF(COUNTIF(AUX!$D$2:$D$901,D7)&gt;0,"Folga: "&amp;COUNTIF(AUX!$D$2:$D$901,D7),"")&amp;IF(AND(COUNTIF(AUX!$D$2:$D$901,D7)&gt;0,COUNTIFS(FÉRIAS!$C$2:$C$301,"&lt;="&amp;D7,FÉRIAS!$D$2:$D$301,"&gt;="&amp;D7)&gt;0),CHAR(10),"")&amp;IF(COUNTIFS(FÉRIAS!$C$2:$C$301,"&lt;="&amp;D7,FÉRIAS!$D$2:$D$301,"&gt;="&amp;D7)&gt;0,"Férias: "&amp;COUNTIFS(FÉRIAS!$C$2:$C$301,"&lt;="&amp;D7,FÉRIAS!$D$2:$D$301,"&gt;="&amp;D7),"")))</f>
        <v/>
      </c>
      <c r="E8" s="42" t="str">
        <f aca="false">IF(MONTH(E7)&lt;&gt;$O$4,"",IF(COUNTIF(AUX!$D$2:$D$901,E7)+COUNTIFS(FÉRIAS!$C$2:$C$301,"&lt;="&amp;E7,FÉRIAS!$D$2:$D$301,"&gt;="&amp;E7)=0,"",IF(COUNTIF(AUX!$D$2:$D$901,E7)&gt;0,"Folga: "&amp;COUNTIF(AUX!$D$2:$D$901,E7),"")&amp;IF(AND(COUNTIF(AUX!$D$2:$D$901,E7)&gt;0,COUNTIFS(FÉRIAS!$C$2:$C$301,"&lt;="&amp;E7,FÉRIAS!$D$2:$D$301,"&gt;="&amp;E7)&gt;0),CHAR(10),"")&amp;IF(COUNTIFS(FÉRIAS!$C$2:$C$301,"&lt;="&amp;E7,FÉRIAS!$D$2:$D$301,"&gt;="&amp;E7)&gt;0,"Férias: "&amp;COUNTIFS(FÉRIAS!$C$2:$C$301,"&lt;="&amp;E7,FÉRIAS!$D$2:$D$301,"&gt;="&amp;E7),"")))</f>
        <v/>
      </c>
      <c r="F8" s="42" t="str">
        <f aca="false">IF(MONTH(F7)&lt;&gt;$O$4,"",IF(COUNTIF(AUX!$D$2:$D$901,F7)+COUNTIFS(FÉRIAS!$C$2:$C$301,"&lt;="&amp;F7,FÉRIAS!$D$2:$D$301,"&gt;="&amp;F7)=0,"",IF(COUNTIF(AUX!$D$2:$D$901,F7)&gt;0,"Folga: "&amp;COUNTIF(AUX!$D$2:$D$901,F7),"")&amp;IF(AND(COUNTIF(AUX!$D$2:$D$901,F7)&gt;0,COUNTIFS(FÉRIAS!$C$2:$C$301,"&lt;="&amp;F7,FÉRIAS!$D$2:$D$301,"&gt;="&amp;F7)&gt;0),CHAR(10),"")&amp;IF(COUNTIFS(FÉRIAS!$C$2:$C$301,"&lt;="&amp;F7,FÉRIAS!$D$2:$D$301,"&gt;="&amp;F7)&gt;0,"Férias: "&amp;COUNTIFS(FÉRIAS!$C$2:$C$301,"&lt;="&amp;F7,FÉRIAS!$D$2:$D$301,"&gt;="&amp;F7),"")))</f>
        <v/>
      </c>
      <c r="G8" s="42" t="str">
        <f aca="false">IF(MONTH(G7)&lt;&gt;$O$4,"",IF(COUNTIF(AUX!$D$2:$D$901,G7)+COUNTIFS(FÉRIAS!$C$2:$C$301,"&lt;="&amp;G7,FÉRIAS!$D$2:$D$301,"&gt;="&amp;G7)=0,"",IF(COUNTIF(AUX!$D$2:$D$901,G7)&gt;0,"Folga: "&amp;COUNTIF(AUX!$D$2:$D$901,G7),"")&amp;IF(AND(COUNTIF(AUX!$D$2:$D$901,G7)&gt;0,COUNTIFS(FÉRIAS!$C$2:$C$301,"&lt;="&amp;G7,FÉRIAS!$D$2:$D$301,"&gt;="&amp;G7)&gt;0),CHAR(10),"")&amp;IF(COUNTIFS(FÉRIAS!$C$2:$C$301,"&lt;="&amp;G7,FÉRIAS!$D$2:$D$301,"&gt;="&amp;G7)&gt;0,"Férias: "&amp;COUNTIFS(FÉRIAS!$C$2:$C$301,"&lt;="&amp;G7,FÉRIAS!$D$2:$D$301,"&gt;="&amp;G7),"")))</f>
        <v/>
      </c>
      <c r="H8" s="42" t="str">
        <f aca="false">IF(MONTH(H7)&lt;&gt;$O$4,"",IF(COUNTIF(AUX!$D$2:$D$901,H7)+COUNTIFS(FÉRIAS!$C$2:$C$301,"&lt;="&amp;H7,FÉRIAS!$D$2:$D$301,"&gt;="&amp;H7)=0,"",IF(COUNTIF(AUX!$D$2:$D$901,H7)&gt;0,"Folga: "&amp;COUNTIF(AUX!$D$2:$D$901,H7),"")&amp;IF(AND(COUNTIF(AUX!$D$2:$D$901,H7)&gt;0,COUNTIFS(FÉRIAS!$C$2:$C$301,"&lt;="&amp;H7,FÉRIAS!$D$2:$D$301,"&gt;="&amp;H7)&gt;0),CHAR(10),"")&amp;IF(COUNTIFS(FÉRIAS!$C$2:$C$301,"&lt;="&amp;H7,FÉRIAS!$D$2:$D$301,"&gt;="&amp;H7)&gt;0,"Férias: "&amp;COUNTIFS(FÉRIAS!$C$2:$C$301,"&lt;="&amp;H7,FÉRIAS!$D$2:$D$301,"&gt;="&amp;H7),"")))</f>
        <v/>
      </c>
      <c r="J8" s="40" t="str">
        <f aca="false">IF(P8="","",2)</f>
        <v/>
      </c>
      <c r="K8" s="41" t="str">
        <f aca="false">IF(P8="","",IF(2&lt;=$O$6,INDEX(AUX!$B:$B,P8),INDEX(FÉRIAS!$A:$A,P8))&amp;"")</f>
        <v/>
      </c>
      <c r="L8" s="40" t="str">
        <f aca="false">IF(P8="","",IF(2&lt;=$O$6,INDEX(AUX!$C:$C,P8),INDEX(FÉRIAS!$B:$B,P8))&amp;"")</f>
        <v/>
      </c>
      <c r="M8" s="40" t="str">
        <f aca="false">IF(P8="","",IF(2&lt;=$O$6,INDEX(AUX!$A:$A,P8),"Férias"))</f>
        <v/>
      </c>
      <c r="P8" s="0" t="str">
        <f aca="false">IF(2&gt;$O$6+$O$7,"",IF(2&lt;=$O$6,SMALL(AUX!$I$2:$I$901,2),SMALL(FÉRIAS!$M$2:$M$301,2-$O$6)))</f>
        <v/>
      </c>
    </row>
    <row r="9" customFormat="false" ht="18" hidden="false" customHeight="true" outlineLevel="0" collapsed="false">
      <c r="B9" s="39" t="n">
        <f aca="false">$O$5+7</f>
        <v>46299</v>
      </c>
      <c r="C9" s="39" t="n">
        <f aca="false">$O$5+8</f>
        <v>46300</v>
      </c>
      <c r="D9" s="39" t="n">
        <f aca="false">$O$5+9</f>
        <v>46301</v>
      </c>
      <c r="E9" s="39" t="n">
        <f aca="false">$O$5+10</f>
        <v>46302</v>
      </c>
      <c r="F9" s="39" t="n">
        <f aca="false">$O$5+11</f>
        <v>46303</v>
      </c>
      <c r="G9" s="39" t="n">
        <f aca="false">$O$5+12</f>
        <v>46304</v>
      </c>
      <c r="H9" s="39" t="n">
        <f aca="false">$O$5+13</f>
        <v>46305</v>
      </c>
      <c r="J9" s="40" t="str">
        <f aca="false">IF(P9="","",3)</f>
        <v/>
      </c>
      <c r="K9" s="41" t="str">
        <f aca="false">IF(P9="","",IF(3&lt;=$O$6,INDEX(AUX!$B:$B,P9),INDEX(FÉRIAS!$A:$A,P9))&amp;"")</f>
        <v/>
      </c>
      <c r="L9" s="40" t="str">
        <f aca="false">IF(P9="","",IF(3&lt;=$O$6,INDEX(AUX!$C:$C,P9),INDEX(FÉRIAS!$B:$B,P9))&amp;"")</f>
        <v/>
      </c>
      <c r="M9" s="40" t="str">
        <f aca="false">IF(P9="","",IF(3&lt;=$O$6,INDEX(AUX!$A:$A,P9),"Férias"))</f>
        <v/>
      </c>
      <c r="P9" s="0" t="str">
        <f aca="false">IF(3&gt;$O$6+$O$7,"",IF(3&lt;=$O$6,SMALL(AUX!$I$2:$I$901,3),SMALL(FÉRIAS!$M$2:$M$301,3-$O$6)))</f>
        <v/>
      </c>
    </row>
    <row r="10" customFormat="false" ht="33.75" hidden="false" customHeight="true" outlineLevel="0" collapsed="false">
      <c r="B10" s="42" t="str">
        <f aca="false">IF(MONTH(B9)&lt;&gt;$O$4,"",IF(COUNTIF(AUX!$D$2:$D$901,B9)+COUNTIFS(FÉRIAS!$C$2:$C$301,"&lt;="&amp;B9,FÉRIAS!$D$2:$D$301,"&gt;="&amp;B9)=0,"",IF(COUNTIF(AUX!$D$2:$D$901,B9)&gt;0,"Folga: "&amp;COUNTIF(AUX!$D$2:$D$901,B9),"")&amp;IF(AND(COUNTIF(AUX!$D$2:$D$901,B9)&gt;0,COUNTIFS(FÉRIAS!$C$2:$C$301,"&lt;="&amp;B9,FÉRIAS!$D$2:$D$301,"&gt;="&amp;B9)&gt;0),CHAR(10),"")&amp;IF(COUNTIFS(FÉRIAS!$C$2:$C$301,"&lt;="&amp;B9,FÉRIAS!$D$2:$D$301,"&gt;="&amp;B9)&gt;0,"Férias: "&amp;COUNTIFS(FÉRIAS!$C$2:$C$301,"&lt;="&amp;B9,FÉRIAS!$D$2:$D$301,"&gt;="&amp;B9),"")))</f>
        <v/>
      </c>
      <c r="C10" s="42" t="str">
        <f aca="false">IF(MONTH(C9)&lt;&gt;$O$4,"",IF(COUNTIF(AUX!$D$2:$D$901,C9)+COUNTIFS(FÉRIAS!$C$2:$C$301,"&lt;="&amp;C9,FÉRIAS!$D$2:$D$301,"&gt;="&amp;C9)=0,"",IF(COUNTIF(AUX!$D$2:$D$901,C9)&gt;0,"Folga: "&amp;COUNTIF(AUX!$D$2:$D$901,C9),"")&amp;IF(AND(COUNTIF(AUX!$D$2:$D$901,C9)&gt;0,COUNTIFS(FÉRIAS!$C$2:$C$301,"&lt;="&amp;C9,FÉRIAS!$D$2:$D$301,"&gt;="&amp;C9)&gt;0),CHAR(10),"")&amp;IF(COUNTIFS(FÉRIAS!$C$2:$C$301,"&lt;="&amp;C9,FÉRIAS!$D$2:$D$301,"&gt;="&amp;C9)&gt;0,"Férias: "&amp;COUNTIFS(FÉRIAS!$C$2:$C$301,"&lt;="&amp;C9,FÉRIAS!$D$2:$D$301,"&gt;="&amp;C9),"")))</f>
        <v/>
      </c>
      <c r="D10" s="42" t="str">
        <f aca="false">IF(MONTH(D9)&lt;&gt;$O$4,"",IF(COUNTIF(AUX!$D$2:$D$901,D9)+COUNTIFS(FÉRIAS!$C$2:$C$301,"&lt;="&amp;D9,FÉRIAS!$D$2:$D$301,"&gt;="&amp;D9)=0,"",IF(COUNTIF(AUX!$D$2:$D$901,D9)&gt;0,"Folga: "&amp;COUNTIF(AUX!$D$2:$D$901,D9),"")&amp;IF(AND(COUNTIF(AUX!$D$2:$D$901,D9)&gt;0,COUNTIFS(FÉRIAS!$C$2:$C$301,"&lt;="&amp;D9,FÉRIAS!$D$2:$D$301,"&gt;="&amp;D9)&gt;0),CHAR(10),"")&amp;IF(COUNTIFS(FÉRIAS!$C$2:$C$301,"&lt;="&amp;D9,FÉRIAS!$D$2:$D$301,"&gt;="&amp;D9)&gt;0,"Férias: "&amp;COUNTIFS(FÉRIAS!$C$2:$C$301,"&lt;="&amp;D9,FÉRIAS!$D$2:$D$301,"&gt;="&amp;D9),"")))</f>
        <v/>
      </c>
      <c r="E10" s="42" t="str">
        <f aca="false">IF(MONTH(E9)&lt;&gt;$O$4,"",IF(COUNTIF(AUX!$D$2:$D$901,E9)+COUNTIFS(FÉRIAS!$C$2:$C$301,"&lt;="&amp;E9,FÉRIAS!$D$2:$D$301,"&gt;="&amp;E9)=0,"",IF(COUNTIF(AUX!$D$2:$D$901,E9)&gt;0,"Folga: "&amp;COUNTIF(AUX!$D$2:$D$901,E9),"")&amp;IF(AND(COUNTIF(AUX!$D$2:$D$901,E9)&gt;0,COUNTIFS(FÉRIAS!$C$2:$C$301,"&lt;="&amp;E9,FÉRIAS!$D$2:$D$301,"&gt;="&amp;E9)&gt;0),CHAR(10),"")&amp;IF(COUNTIFS(FÉRIAS!$C$2:$C$301,"&lt;="&amp;E9,FÉRIAS!$D$2:$D$301,"&gt;="&amp;E9)&gt;0,"Férias: "&amp;COUNTIFS(FÉRIAS!$C$2:$C$301,"&lt;="&amp;E9,FÉRIAS!$D$2:$D$301,"&gt;="&amp;E9),"")))</f>
        <v/>
      </c>
      <c r="F10" s="42" t="str">
        <f aca="false">IF(MONTH(F9)&lt;&gt;$O$4,"",IF(COUNTIF(AUX!$D$2:$D$901,F9)+COUNTIFS(FÉRIAS!$C$2:$C$301,"&lt;="&amp;F9,FÉRIAS!$D$2:$D$301,"&gt;="&amp;F9)=0,"",IF(COUNTIF(AUX!$D$2:$D$901,F9)&gt;0,"Folga: "&amp;COUNTIF(AUX!$D$2:$D$901,F9),"")&amp;IF(AND(COUNTIF(AUX!$D$2:$D$901,F9)&gt;0,COUNTIFS(FÉRIAS!$C$2:$C$301,"&lt;="&amp;F9,FÉRIAS!$D$2:$D$301,"&gt;="&amp;F9)&gt;0),CHAR(10),"")&amp;IF(COUNTIFS(FÉRIAS!$C$2:$C$301,"&lt;="&amp;F9,FÉRIAS!$D$2:$D$301,"&gt;="&amp;F9)&gt;0,"Férias: "&amp;COUNTIFS(FÉRIAS!$C$2:$C$301,"&lt;="&amp;F9,FÉRIAS!$D$2:$D$301,"&gt;="&amp;F9),"")))</f>
        <v/>
      </c>
      <c r="G10" s="42" t="str">
        <f aca="false">IF(MONTH(G9)&lt;&gt;$O$4,"",IF(COUNTIF(AUX!$D$2:$D$901,G9)+COUNTIFS(FÉRIAS!$C$2:$C$301,"&lt;="&amp;G9,FÉRIAS!$D$2:$D$301,"&gt;="&amp;G9)=0,"",IF(COUNTIF(AUX!$D$2:$D$901,G9)&gt;0,"Folga: "&amp;COUNTIF(AUX!$D$2:$D$901,G9),"")&amp;IF(AND(COUNTIF(AUX!$D$2:$D$901,G9)&gt;0,COUNTIFS(FÉRIAS!$C$2:$C$301,"&lt;="&amp;G9,FÉRIAS!$D$2:$D$301,"&gt;="&amp;G9)&gt;0),CHAR(10),"")&amp;IF(COUNTIFS(FÉRIAS!$C$2:$C$301,"&lt;="&amp;G9,FÉRIAS!$D$2:$D$301,"&gt;="&amp;G9)&gt;0,"Férias: "&amp;COUNTIFS(FÉRIAS!$C$2:$C$301,"&lt;="&amp;G9,FÉRIAS!$D$2:$D$301,"&gt;="&amp;G9),"")))</f>
        <v/>
      </c>
      <c r="H10" s="42" t="str">
        <f aca="false">IF(MONTH(H9)&lt;&gt;$O$4,"",IF(COUNTIF(AUX!$D$2:$D$901,H9)+COUNTIFS(FÉRIAS!$C$2:$C$301,"&lt;="&amp;H9,FÉRIAS!$D$2:$D$301,"&gt;="&amp;H9)=0,"",IF(COUNTIF(AUX!$D$2:$D$901,H9)&gt;0,"Folga: "&amp;COUNTIF(AUX!$D$2:$D$901,H9),"")&amp;IF(AND(COUNTIF(AUX!$D$2:$D$901,H9)&gt;0,COUNTIFS(FÉRIAS!$C$2:$C$301,"&lt;="&amp;H9,FÉRIAS!$D$2:$D$301,"&gt;="&amp;H9)&gt;0),CHAR(10),"")&amp;IF(COUNTIFS(FÉRIAS!$C$2:$C$301,"&lt;="&amp;H9,FÉRIAS!$D$2:$D$301,"&gt;="&amp;H9)&gt;0,"Férias: "&amp;COUNTIFS(FÉRIAS!$C$2:$C$301,"&lt;="&amp;H9,FÉRIAS!$D$2:$D$301,"&gt;="&amp;H9),"")))</f>
        <v/>
      </c>
      <c r="J10" s="40" t="str">
        <f aca="false">IF(P10="","",4)</f>
        <v/>
      </c>
      <c r="K10" s="41" t="str">
        <f aca="false">IF(P10="","",IF(4&lt;=$O$6,INDEX(AUX!$B:$B,P10),INDEX(FÉRIAS!$A:$A,P10))&amp;"")</f>
        <v/>
      </c>
      <c r="L10" s="40" t="str">
        <f aca="false">IF(P10="","",IF(4&lt;=$O$6,INDEX(AUX!$C:$C,P10),INDEX(FÉRIAS!$B:$B,P10))&amp;"")</f>
        <v/>
      </c>
      <c r="M10" s="40" t="str">
        <f aca="false">IF(P10="","",IF(4&lt;=$O$6,INDEX(AUX!$A:$A,P10),"Férias"))</f>
        <v/>
      </c>
      <c r="P10" s="0" t="str">
        <f aca="false">IF(4&gt;$O$6+$O$7,"",IF(4&lt;=$O$6,SMALL(AUX!$I$2:$I$901,4),SMALL(FÉRIAS!$M$2:$M$301,4-$O$6)))</f>
        <v/>
      </c>
    </row>
    <row r="11" customFormat="false" ht="18" hidden="false" customHeight="true" outlineLevel="0" collapsed="false">
      <c r="B11" s="39" t="n">
        <f aca="false">$O$5+14</f>
        <v>46306</v>
      </c>
      <c r="C11" s="39" t="n">
        <f aca="false">$O$5+15</f>
        <v>46307</v>
      </c>
      <c r="D11" s="39" t="n">
        <f aca="false">$O$5+16</f>
        <v>46308</v>
      </c>
      <c r="E11" s="39" t="n">
        <f aca="false">$O$5+17</f>
        <v>46309</v>
      </c>
      <c r="F11" s="39" t="n">
        <f aca="false">$O$5+18</f>
        <v>46310</v>
      </c>
      <c r="G11" s="39" t="n">
        <f aca="false">$O$5+19</f>
        <v>46311</v>
      </c>
      <c r="H11" s="39" t="n">
        <f aca="false">$O$5+20</f>
        <v>46312</v>
      </c>
      <c r="J11" s="40" t="str">
        <f aca="false">IF(P11="","",5)</f>
        <v/>
      </c>
      <c r="K11" s="41" t="str">
        <f aca="false">IF(P11="","",IF(5&lt;=$O$6,INDEX(AUX!$B:$B,P11),INDEX(FÉRIAS!$A:$A,P11))&amp;"")</f>
        <v/>
      </c>
      <c r="L11" s="40" t="str">
        <f aca="false">IF(P11="","",IF(5&lt;=$O$6,INDEX(AUX!$C:$C,P11),INDEX(FÉRIAS!$B:$B,P11))&amp;"")</f>
        <v/>
      </c>
      <c r="M11" s="40" t="str">
        <f aca="false">IF(P11="","",IF(5&lt;=$O$6,INDEX(AUX!$A:$A,P11),"Férias"))</f>
        <v/>
      </c>
      <c r="P11" s="0" t="str">
        <f aca="false">IF(5&gt;$O$6+$O$7,"",IF(5&lt;=$O$6,SMALL(AUX!$I$2:$I$901,5),SMALL(FÉRIAS!$M$2:$M$301,5-$O$6)))</f>
        <v/>
      </c>
    </row>
    <row r="12" customFormat="false" ht="33.75" hidden="false" customHeight="true" outlineLevel="0" collapsed="false">
      <c r="B12" s="42" t="str">
        <f aca="false">IF(MONTH(B11)&lt;&gt;$O$4,"",IF(COUNTIF(AUX!$D$2:$D$901,B11)+COUNTIFS(FÉRIAS!$C$2:$C$301,"&lt;="&amp;B11,FÉRIAS!$D$2:$D$301,"&gt;="&amp;B11)=0,"",IF(COUNTIF(AUX!$D$2:$D$901,B11)&gt;0,"Folga: "&amp;COUNTIF(AUX!$D$2:$D$901,B11),"")&amp;IF(AND(COUNTIF(AUX!$D$2:$D$901,B11)&gt;0,COUNTIFS(FÉRIAS!$C$2:$C$301,"&lt;="&amp;B11,FÉRIAS!$D$2:$D$301,"&gt;="&amp;B11)&gt;0),CHAR(10),"")&amp;IF(COUNTIFS(FÉRIAS!$C$2:$C$301,"&lt;="&amp;B11,FÉRIAS!$D$2:$D$301,"&gt;="&amp;B11)&gt;0,"Férias: "&amp;COUNTIFS(FÉRIAS!$C$2:$C$301,"&lt;="&amp;B11,FÉRIAS!$D$2:$D$301,"&gt;="&amp;B11),"")))</f>
        <v/>
      </c>
      <c r="C12" s="42" t="str">
        <f aca="false">IF(MONTH(C11)&lt;&gt;$O$4,"",IF(COUNTIF(AUX!$D$2:$D$901,C11)+COUNTIFS(FÉRIAS!$C$2:$C$301,"&lt;="&amp;C11,FÉRIAS!$D$2:$D$301,"&gt;="&amp;C11)=0,"",IF(COUNTIF(AUX!$D$2:$D$901,C11)&gt;0,"Folga: "&amp;COUNTIF(AUX!$D$2:$D$901,C11),"")&amp;IF(AND(COUNTIF(AUX!$D$2:$D$901,C11)&gt;0,COUNTIFS(FÉRIAS!$C$2:$C$301,"&lt;="&amp;C11,FÉRIAS!$D$2:$D$301,"&gt;="&amp;C11)&gt;0),CHAR(10),"")&amp;IF(COUNTIFS(FÉRIAS!$C$2:$C$301,"&lt;="&amp;C11,FÉRIAS!$D$2:$D$301,"&gt;="&amp;C11)&gt;0,"Férias: "&amp;COUNTIFS(FÉRIAS!$C$2:$C$301,"&lt;="&amp;C11,FÉRIAS!$D$2:$D$301,"&gt;="&amp;C11),"")))</f>
        <v/>
      </c>
      <c r="D12" s="42" t="str">
        <f aca="false">IF(MONTH(D11)&lt;&gt;$O$4,"",IF(COUNTIF(AUX!$D$2:$D$901,D11)+COUNTIFS(FÉRIAS!$C$2:$C$301,"&lt;="&amp;D11,FÉRIAS!$D$2:$D$301,"&gt;="&amp;D11)=0,"",IF(COUNTIF(AUX!$D$2:$D$901,D11)&gt;0,"Folga: "&amp;COUNTIF(AUX!$D$2:$D$901,D11),"")&amp;IF(AND(COUNTIF(AUX!$D$2:$D$901,D11)&gt;0,COUNTIFS(FÉRIAS!$C$2:$C$301,"&lt;="&amp;D11,FÉRIAS!$D$2:$D$301,"&gt;="&amp;D11)&gt;0),CHAR(10),"")&amp;IF(COUNTIFS(FÉRIAS!$C$2:$C$301,"&lt;="&amp;D11,FÉRIAS!$D$2:$D$301,"&gt;="&amp;D11)&gt;0,"Férias: "&amp;COUNTIFS(FÉRIAS!$C$2:$C$301,"&lt;="&amp;D11,FÉRIAS!$D$2:$D$301,"&gt;="&amp;D11),"")))</f>
        <v>Férias: 1</v>
      </c>
      <c r="E12" s="42" t="str">
        <f aca="false">IF(MONTH(E11)&lt;&gt;$O$4,"",IF(COUNTIF(AUX!$D$2:$D$901,E11)+COUNTIFS(FÉRIAS!$C$2:$C$301,"&lt;="&amp;E11,FÉRIAS!$D$2:$D$301,"&gt;="&amp;E11)=0,"",IF(COUNTIF(AUX!$D$2:$D$901,E11)&gt;0,"Folga: "&amp;COUNTIF(AUX!$D$2:$D$901,E11),"")&amp;IF(AND(COUNTIF(AUX!$D$2:$D$901,E11)&gt;0,COUNTIFS(FÉRIAS!$C$2:$C$301,"&lt;="&amp;E11,FÉRIAS!$D$2:$D$301,"&gt;="&amp;E11)&gt;0),CHAR(10),"")&amp;IF(COUNTIFS(FÉRIAS!$C$2:$C$301,"&lt;="&amp;E11,FÉRIAS!$D$2:$D$301,"&gt;="&amp;E11)&gt;0,"Férias: "&amp;COUNTIFS(FÉRIAS!$C$2:$C$301,"&lt;="&amp;E11,FÉRIAS!$D$2:$D$301,"&gt;="&amp;E11),"")))</f>
        <v>Férias: 1</v>
      </c>
      <c r="F12" s="42" t="str">
        <f aca="false">IF(MONTH(F11)&lt;&gt;$O$4,"",IF(COUNTIF(AUX!$D$2:$D$901,F11)+COUNTIFS(FÉRIAS!$C$2:$C$301,"&lt;="&amp;F11,FÉRIAS!$D$2:$D$301,"&gt;="&amp;F11)=0,"",IF(COUNTIF(AUX!$D$2:$D$901,F11)&gt;0,"Folga: "&amp;COUNTIF(AUX!$D$2:$D$901,F11),"")&amp;IF(AND(COUNTIF(AUX!$D$2:$D$901,F11)&gt;0,COUNTIFS(FÉRIAS!$C$2:$C$301,"&lt;="&amp;F11,FÉRIAS!$D$2:$D$301,"&gt;="&amp;F11)&gt;0),CHAR(10),"")&amp;IF(COUNTIFS(FÉRIAS!$C$2:$C$301,"&lt;="&amp;F11,FÉRIAS!$D$2:$D$301,"&gt;="&amp;F11)&gt;0,"Férias: "&amp;COUNTIFS(FÉRIAS!$C$2:$C$301,"&lt;="&amp;F11,FÉRIAS!$D$2:$D$301,"&gt;="&amp;F11),"")))</f>
        <v>Férias: 1</v>
      </c>
      <c r="G12" s="42" t="str">
        <f aca="false">IF(MONTH(G11)&lt;&gt;$O$4,"",IF(COUNTIF(AUX!$D$2:$D$901,G11)+COUNTIFS(FÉRIAS!$C$2:$C$301,"&lt;="&amp;G11,FÉRIAS!$D$2:$D$301,"&gt;="&amp;G11)=0,"",IF(COUNTIF(AUX!$D$2:$D$901,G11)&gt;0,"Folga: "&amp;COUNTIF(AUX!$D$2:$D$901,G11),"")&amp;IF(AND(COUNTIF(AUX!$D$2:$D$901,G11)&gt;0,COUNTIFS(FÉRIAS!$C$2:$C$301,"&lt;="&amp;G11,FÉRIAS!$D$2:$D$301,"&gt;="&amp;G11)&gt;0),CHAR(10),"")&amp;IF(COUNTIFS(FÉRIAS!$C$2:$C$301,"&lt;="&amp;G11,FÉRIAS!$D$2:$D$301,"&gt;="&amp;G11)&gt;0,"Férias: "&amp;COUNTIFS(FÉRIAS!$C$2:$C$301,"&lt;="&amp;G11,FÉRIAS!$D$2:$D$301,"&gt;="&amp;G11),"")))</f>
        <v>Férias: 1</v>
      </c>
      <c r="H12" s="42" t="str">
        <f aca="false">IF(MONTH(H11)&lt;&gt;$O$4,"",IF(COUNTIF(AUX!$D$2:$D$901,H11)+COUNTIFS(FÉRIAS!$C$2:$C$301,"&lt;="&amp;H11,FÉRIAS!$D$2:$D$301,"&gt;="&amp;H11)=0,"",IF(COUNTIF(AUX!$D$2:$D$901,H11)&gt;0,"Folga: "&amp;COUNTIF(AUX!$D$2:$D$901,H11),"")&amp;IF(AND(COUNTIF(AUX!$D$2:$D$901,H11)&gt;0,COUNTIFS(FÉRIAS!$C$2:$C$301,"&lt;="&amp;H11,FÉRIAS!$D$2:$D$301,"&gt;="&amp;H11)&gt;0),CHAR(10),"")&amp;IF(COUNTIFS(FÉRIAS!$C$2:$C$301,"&lt;="&amp;H11,FÉRIAS!$D$2:$D$301,"&gt;="&amp;H11)&gt;0,"Férias: "&amp;COUNTIFS(FÉRIAS!$C$2:$C$301,"&lt;="&amp;H11,FÉRIAS!$D$2:$D$301,"&gt;="&amp;H11),"")))</f>
        <v/>
      </c>
      <c r="J12" s="40" t="str">
        <f aca="false">IF(P12="","",6)</f>
        <v/>
      </c>
      <c r="K12" s="41" t="str">
        <f aca="false">IF(P12="","",IF(6&lt;=$O$6,INDEX(AUX!$B:$B,P12),INDEX(FÉRIAS!$A:$A,P12))&amp;"")</f>
        <v/>
      </c>
      <c r="L12" s="40" t="str">
        <f aca="false">IF(P12="","",IF(6&lt;=$O$6,INDEX(AUX!$C:$C,P12),INDEX(FÉRIAS!$B:$B,P12))&amp;"")</f>
        <v/>
      </c>
      <c r="M12" s="40" t="str">
        <f aca="false">IF(P12="","",IF(6&lt;=$O$6,INDEX(AUX!$A:$A,P12),"Férias"))</f>
        <v/>
      </c>
      <c r="P12" s="0" t="str">
        <f aca="false">IF(6&gt;$O$6+$O$7,"",IF(6&lt;=$O$6,SMALL(AUX!$I$2:$I$901,6),SMALL(FÉRIAS!$M$2:$M$301,6-$O$6)))</f>
        <v/>
      </c>
    </row>
    <row r="13" customFormat="false" ht="18" hidden="false" customHeight="true" outlineLevel="0" collapsed="false">
      <c r="B13" s="39" t="n">
        <f aca="false">$O$5+21</f>
        <v>46313</v>
      </c>
      <c r="C13" s="39" t="n">
        <f aca="false">$O$5+22</f>
        <v>46314</v>
      </c>
      <c r="D13" s="39" t="n">
        <f aca="false">$O$5+23</f>
        <v>46315</v>
      </c>
      <c r="E13" s="39" t="n">
        <f aca="false">$O$5+24</f>
        <v>46316</v>
      </c>
      <c r="F13" s="39" t="n">
        <f aca="false">$O$5+25</f>
        <v>46317</v>
      </c>
      <c r="G13" s="39" t="n">
        <f aca="false">$O$5+26</f>
        <v>46318</v>
      </c>
      <c r="H13" s="39" t="n">
        <f aca="false">$O$5+27</f>
        <v>46319</v>
      </c>
      <c r="J13" s="40" t="str">
        <f aca="false">IF(P13="","",7)</f>
        <v/>
      </c>
      <c r="K13" s="41" t="str">
        <f aca="false">IF(P13="","",IF(7&lt;=$O$6,INDEX(AUX!$B:$B,P13),INDEX(FÉRIAS!$A:$A,P13))&amp;"")</f>
        <v/>
      </c>
      <c r="L13" s="40" t="str">
        <f aca="false">IF(P13="","",IF(7&lt;=$O$6,INDEX(AUX!$C:$C,P13),INDEX(FÉRIAS!$B:$B,P13))&amp;"")</f>
        <v/>
      </c>
      <c r="M13" s="40" t="str">
        <f aca="false">IF(P13="","",IF(7&lt;=$O$6,INDEX(AUX!$A:$A,P13),"Férias"))</f>
        <v/>
      </c>
      <c r="P13" s="0" t="str">
        <f aca="false">IF(7&gt;$O$6+$O$7,"",IF(7&lt;=$O$6,SMALL(AUX!$I$2:$I$901,7),SMALL(FÉRIAS!$M$2:$M$301,7-$O$6)))</f>
        <v/>
      </c>
    </row>
    <row r="14" customFormat="false" ht="33.75" hidden="false" customHeight="true" outlineLevel="0" collapsed="false">
      <c r="B14" s="42" t="str">
        <f aca="false">IF(MONTH(B13)&lt;&gt;$O$4,"",IF(COUNTIF(AUX!$D$2:$D$901,B13)+COUNTIFS(FÉRIAS!$C$2:$C$301,"&lt;="&amp;B13,FÉRIAS!$D$2:$D$301,"&gt;="&amp;B13)=0,"",IF(COUNTIF(AUX!$D$2:$D$901,B13)&gt;0,"Folga: "&amp;COUNTIF(AUX!$D$2:$D$901,B13),"")&amp;IF(AND(COUNTIF(AUX!$D$2:$D$901,B13)&gt;0,COUNTIFS(FÉRIAS!$C$2:$C$301,"&lt;="&amp;B13,FÉRIAS!$D$2:$D$301,"&gt;="&amp;B13)&gt;0),CHAR(10),"")&amp;IF(COUNTIFS(FÉRIAS!$C$2:$C$301,"&lt;="&amp;B13,FÉRIAS!$D$2:$D$301,"&gt;="&amp;B13)&gt;0,"Férias: "&amp;COUNTIFS(FÉRIAS!$C$2:$C$301,"&lt;="&amp;B13,FÉRIAS!$D$2:$D$301,"&gt;="&amp;B13),"")))</f>
        <v/>
      </c>
      <c r="C14" s="42" t="str">
        <f aca="false">IF(MONTH(C13)&lt;&gt;$O$4,"",IF(COUNTIF(AUX!$D$2:$D$901,C13)+COUNTIFS(FÉRIAS!$C$2:$C$301,"&lt;="&amp;C13,FÉRIAS!$D$2:$D$301,"&gt;="&amp;C13)=0,"",IF(COUNTIF(AUX!$D$2:$D$901,C13)&gt;0,"Folga: "&amp;COUNTIF(AUX!$D$2:$D$901,C13),"")&amp;IF(AND(COUNTIF(AUX!$D$2:$D$901,C13)&gt;0,COUNTIFS(FÉRIAS!$C$2:$C$301,"&lt;="&amp;C13,FÉRIAS!$D$2:$D$301,"&gt;="&amp;C13)&gt;0),CHAR(10),"")&amp;IF(COUNTIFS(FÉRIAS!$C$2:$C$301,"&lt;="&amp;C13,FÉRIAS!$D$2:$D$301,"&gt;="&amp;C13)&gt;0,"Férias: "&amp;COUNTIFS(FÉRIAS!$C$2:$C$301,"&lt;="&amp;C13,FÉRIAS!$D$2:$D$301,"&gt;="&amp;C13),"")))</f>
        <v>Férias: 1</v>
      </c>
      <c r="D14" s="42" t="str">
        <f aca="false">IF(MONTH(D13)&lt;&gt;$O$4,"",IF(COUNTIF(AUX!$D$2:$D$901,D13)+COUNTIFS(FÉRIAS!$C$2:$C$301,"&lt;="&amp;D13,FÉRIAS!$D$2:$D$301,"&gt;="&amp;D13)=0,"",IF(COUNTIF(AUX!$D$2:$D$901,D13)&gt;0,"Folga: "&amp;COUNTIF(AUX!$D$2:$D$901,D13),"")&amp;IF(AND(COUNTIF(AUX!$D$2:$D$901,D13)&gt;0,COUNTIFS(FÉRIAS!$C$2:$C$301,"&lt;="&amp;D13,FÉRIAS!$D$2:$D$301,"&gt;="&amp;D13)&gt;0),CHAR(10),"")&amp;IF(COUNTIFS(FÉRIAS!$C$2:$C$301,"&lt;="&amp;D13,FÉRIAS!$D$2:$D$301,"&gt;="&amp;D13)&gt;0,"Férias: "&amp;COUNTIFS(FÉRIAS!$C$2:$C$301,"&lt;="&amp;D13,FÉRIAS!$D$2:$D$301,"&gt;="&amp;D13),"")))</f>
        <v>Férias: 1</v>
      </c>
      <c r="E14" s="42" t="str">
        <f aca="false">IF(MONTH(E13)&lt;&gt;$O$4,"",IF(COUNTIF(AUX!$D$2:$D$901,E13)+COUNTIFS(FÉRIAS!$C$2:$C$301,"&lt;="&amp;E13,FÉRIAS!$D$2:$D$301,"&gt;="&amp;E13)=0,"",IF(COUNTIF(AUX!$D$2:$D$901,E13)&gt;0,"Folga: "&amp;COUNTIF(AUX!$D$2:$D$901,E13),"")&amp;IF(AND(COUNTIF(AUX!$D$2:$D$901,E13)&gt;0,COUNTIFS(FÉRIAS!$C$2:$C$301,"&lt;="&amp;E13,FÉRIAS!$D$2:$D$301,"&gt;="&amp;E13)&gt;0),CHAR(10),"")&amp;IF(COUNTIFS(FÉRIAS!$C$2:$C$301,"&lt;="&amp;E13,FÉRIAS!$D$2:$D$301,"&gt;="&amp;E13)&gt;0,"Férias: "&amp;COUNTIFS(FÉRIAS!$C$2:$C$301,"&lt;="&amp;E13,FÉRIAS!$D$2:$D$301,"&gt;="&amp;E13),"")))</f>
        <v>Férias: 1</v>
      </c>
      <c r="F14" s="42" t="str">
        <f aca="false">IF(MONTH(F13)&lt;&gt;$O$4,"",IF(COUNTIF(AUX!$D$2:$D$901,F13)+COUNTIFS(FÉRIAS!$C$2:$C$301,"&lt;="&amp;F13,FÉRIAS!$D$2:$D$301,"&gt;="&amp;F13)=0,"",IF(COUNTIF(AUX!$D$2:$D$901,F13)&gt;0,"Folga: "&amp;COUNTIF(AUX!$D$2:$D$901,F13),"")&amp;IF(AND(COUNTIF(AUX!$D$2:$D$901,F13)&gt;0,COUNTIFS(FÉRIAS!$C$2:$C$301,"&lt;="&amp;F13,FÉRIAS!$D$2:$D$301,"&gt;="&amp;F13)&gt;0),CHAR(10),"")&amp;IF(COUNTIFS(FÉRIAS!$C$2:$C$301,"&lt;="&amp;F13,FÉRIAS!$D$2:$D$301,"&gt;="&amp;F13)&gt;0,"Férias: "&amp;COUNTIFS(FÉRIAS!$C$2:$C$301,"&lt;="&amp;F13,FÉRIAS!$D$2:$D$301,"&gt;="&amp;F13),"")))</f>
        <v>Férias: 1</v>
      </c>
      <c r="G14" s="42" t="str">
        <f aca="false">IF(MONTH(G13)&lt;&gt;$O$4,"",IF(COUNTIF(AUX!$D$2:$D$901,G13)+COUNTIFS(FÉRIAS!$C$2:$C$301,"&lt;="&amp;G13,FÉRIAS!$D$2:$D$301,"&gt;="&amp;G13)=0,"",IF(COUNTIF(AUX!$D$2:$D$901,G13)&gt;0,"Folga: "&amp;COUNTIF(AUX!$D$2:$D$901,G13),"")&amp;IF(AND(COUNTIF(AUX!$D$2:$D$901,G13)&gt;0,COUNTIFS(FÉRIAS!$C$2:$C$301,"&lt;="&amp;G13,FÉRIAS!$D$2:$D$301,"&gt;="&amp;G13)&gt;0),CHAR(10),"")&amp;IF(COUNTIFS(FÉRIAS!$C$2:$C$301,"&lt;="&amp;G13,FÉRIAS!$D$2:$D$301,"&gt;="&amp;G13)&gt;0,"Férias: "&amp;COUNTIFS(FÉRIAS!$C$2:$C$301,"&lt;="&amp;G13,FÉRIAS!$D$2:$D$301,"&gt;="&amp;G13),"")))</f>
        <v>Férias: 1</v>
      </c>
      <c r="H14" s="42" t="str">
        <f aca="false">IF(MONTH(H13)&lt;&gt;$O$4,"",IF(COUNTIF(AUX!$D$2:$D$901,H13)+COUNTIFS(FÉRIAS!$C$2:$C$301,"&lt;="&amp;H13,FÉRIAS!$D$2:$D$301,"&gt;="&amp;H13)=0,"",IF(COUNTIF(AUX!$D$2:$D$901,H13)&gt;0,"Folga: "&amp;COUNTIF(AUX!$D$2:$D$901,H13),"")&amp;IF(AND(COUNTIF(AUX!$D$2:$D$901,H13)&gt;0,COUNTIFS(FÉRIAS!$C$2:$C$301,"&lt;="&amp;H13,FÉRIAS!$D$2:$D$301,"&gt;="&amp;H13)&gt;0),CHAR(10),"")&amp;IF(COUNTIFS(FÉRIAS!$C$2:$C$301,"&lt;="&amp;H13,FÉRIAS!$D$2:$D$301,"&gt;="&amp;H13)&gt;0,"Férias: "&amp;COUNTIFS(FÉRIAS!$C$2:$C$301,"&lt;="&amp;H13,FÉRIAS!$D$2:$D$301,"&gt;="&amp;H13),"")))</f>
        <v>Férias: 1</v>
      </c>
      <c r="J14" s="40" t="str">
        <f aca="false">IF(P14="","",8)</f>
        <v/>
      </c>
      <c r="K14" s="41" t="str">
        <f aca="false">IF(P14="","",IF(8&lt;=$O$6,INDEX(AUX!$B:$B,P14),INDEX(FÉRIAS!$A:$A,P14))&amp;"")</f>
        <v/>
      </c>
      <c r="L14" s="40" t="str">
        <f aca="false">IF(P14="","",IF(8&lt;=$O$6,INDEX(AUX!$C:$C,P14),INDEX(FÉRIAS!$B:$B,P14))&amp;"")</f>
        <v/>
      </c>
      <c r="M14" s="40" t="str">
        <f aca="false">IF(P14="","",IF(8&lt;=$O$6,INDEX(AUX!$A:$A,P14),"Férias"))</f>
        <v/>
      </c>
      <c r="P14" s="0" t="str">
        <f aca="false">IF(8&gt;$O$6+$O$7,"",IF(8&lt;=$O$6,SMALL(AUX!$I$2:$I$901,8),SMALL(FÉRIAS!$M$2:$M$301,8-$O$6)))</f>
        <v/>
      </c>
    </row>
    <row r="15" customFormat="false" ht="18" hidden="false" customHeight="true" outlineLevel="0" collapsed="false">
      <c r="B15" s="39" t="n">
        <f aca="false">$O$5+28</f>
        <v>46320</v>
      </c>
      <c r="C15" s="39" t="n">
        <f aca="false">$O$5+29</f>
        <v>46321</v>
      </c>
      <c r="D15" s="39" t="n">
        <f aca="false">$O$5+30</f>
        <v>46322</v>
      </c>
      <c r="E15" s="39" t="n">
        <f aca="false">$O$5+31</f>
        <v>46323</v>
      </c>
      <c r="F15" s="39" t="n">
        <f aca="false">$O$5+32</f>
        <v>46324</v>
      </c>
      <c r="G15" s="39" t="n">
        <f aca="false">$O$5+33</f>
        <v>46325</v>
      </c>
      <c r="H15" s="39" t="n">
        <f aca="false">$O$5+34</f>
        <v>46326</v>
      </c>
      <c r="J15" s="40" t="str">
        <f aca="false">IF(P15="","",9)</f>
        <v/>
      </c>
      <c r="K15" s="41" t="str">
        <f aca="false">IF(P15="","",IF(9&lt;=$O$6,INDEX(AUX!$B:$B,P15),INDEX(FÉRIAS!$A:$A,P15))&amp;"")</f>
        <v/>
      </c>
      <c r="L15" s="40" t="str">
        <f aca="false">IF(P15="","",IF(9&lt;=$O$6,INDEX(AUX!$C:$C,P15),INDEX(FÉRIAS!$B:$B,P15))&amp;"")</f>
        <v/>
      </c>
      <c r="M15" s="40" t="str">
        <f aca="false">IF(P15="","",IF(9&lt;=$O$6,INDEX(AUX!$A:$A,P15),"Férias"))</f>
        <v/>
      </c>
      <c r="P15" s="0" t="str">
        <f aca="false">IF(9&gt;$O$6+$O$7,"",IF(9&lt;=$O$6,SMALL(AUX!$I$2:$I$901,9),SMALL(FÉRIAS!$M$2:$M$301,9-$O$6)))</f>
        <v/>
      </c>
    </row>
    <row r="16" customFormat="false" ht="33.75" hidden="false" customHeight="true" outlineLevel="0" collapsed="false">
      <c r="B16" s="42" t="str">
        <f aca="false">IF(MONTH(B15)&lt;&gt;$O$4,"",IF(COUNTIF(AUX!$D$2:$D$901,B15)+COUNTIFS(FÉRIAS!$C$2:$C$301,"&lt;="&amp;B15,FÉRIAS!$D$2:$D$301,"&gt;="&amp;B15)=0,"",IF(COUNTIF(AUX!$D$2:$D$901,B15)&gt;0,"Folga: "&amp;COUNTIF(AUX!$D$2:$D$901,B15),"")&amp;IF(AND(COUNTIF(AUX!$D$2:$D$901,B15)&gt;0,COUNTIFS(FÉRIAS!$C$2:$C$301,"&lt;="&amp;B15,FÉRIAS!$D$2:$D$301,"&gt;="&amp;B15)&gt;0),CHAR(10),"")&amp;IF(COUNTIFS(FÉRIAS!$C$2:$C$301,"&lt;="&amp;B15,FÉRIAS!$D$2:$D$301,"&gt;="&amp;B15)&gt;0,"Férias: "&amp;COUNTIFS(FÉRIAS!$C$2:$C$301,"&lt;="&amp;B15,FÉRIAS!$D$2:$D$301,"&gt;="&amp;B15),"")))</f>
        <v>Férias: 1</v>
      </c>
      <c r="C16" s="42" t="str">
        <f aca="false">IF(MONTH(C15)&lt;&gt;$O$4,"",IF(COUNTIF(AUX!$D$2:$D$901,C15)+COUNTIFS(FÉRIAS!$C$2:$C$301,"&lt;="&amp;C15,FÉRIAS!$D$2:$D$301,"&gt;="&amp;C15)=0,"",IF(COUNTIF(AUX!$D$2:$D$901,C15)&gt;0,"Folga: "&amp;COUNTIF(AUX!$D$2:$D$901,C15),"")&amp;IF(AND(COUNTIF(AUX!$D$2:$D$901,C15)&gt;0,COUNTIFS(FÉRIAS!$C$2:$C$301,"&lt;="&amp;C15,FÉRIAS!$D$2:$D$301,"&gt;="&amp;C15)&gt;0),CHAR(10),"")&amp;IF(COUNTIFS(FÉRIAS!$C$2:$C$301,"&lt;="&amp;C15,FÉRIAS!$D$2:$D$301,"&gt;="&amp;C15)&gt;0,"Férias: "&amp;COUNTIFS(FÉRIAS!$C$2:$C$301,"&lt;="&amp;C15,FÉRIAS!$D$2:$D$301,"&gt;="&amp;C15),"")))</f>
        <v>Férias: 1</v>
      </c>
      <c r="D16" s="42" t="str">
        <f aca="false">IF(MONTH(D15)&lt;&gt;$O$4,"",IF(COUNTIF(AUX!$D$2:$D$901,D15)+COUNTIFS(FÉRIAS!$C$2:$C$301,"&lt;="&amp;D15,FÉRIAS!$D$2:$D$301,"&gt;="&amp;D15)=0,"",IF(COUNTIF(AUX!$D$2:$D$901,D15)&gt;0,"Folga: "&amp;COUNTIF(AUX!$D$2:$D$901,D15),"")&amp;IF(AND(COUNTIF(AUX!$D$2:$D$901,D15)&gt;0,COUNTIFS(FÉRIAS!$C$2:$C$301,"&lt;="&amp;D15,FÉRIAS!$D$2:$D$301,"&gt;="&amp;D15)&gt;0),CHAR(10),"")&amp;IF(COUNTIFS(FÉRIAS!$C$2:$C$301,"&lt;="&amp;D15,FÉRIAS!$D$2:$D$301,"&gt;="&amp;D15)&gt;0,"Férias: "&amp;COUNTIFS(FÉRIAS!$C$2:$C$301,"&lt;="&amp;D15,FÉRIAS!$D$2:$D$301,"&gt;="&amp;D15),"")))</f>
        <v>Férias: 1</v>
      </c>
      <c r="E16" s="42" t="str">
        <f aca="false">IF(MONTH(E15)&lt;&gt;$O$4,"",IF(COUNTIF(AUX!$D$2:$D$901,E15)+COUNTIFS(FÉRIAS!$C$2:$C$301,"&lt;="&amp;E15,FÉRIAS!$D$2:$D$301,"&gt;="&amp;E15)=0,"",IF(COUNTIF(AUX!$D$2:$D$901,E15)&gt;0,"Folga: "&amp;COUNTIF(AUX!$D$2:$D$901,E15),"")&amp;IF(AND(COUNTIF(AUX!$D$2:$D$901,E15)&gt;0,COUNTIFS(FÉRIAS!$C$2:$C$301,"&lt;="&amp;E15,FÉRIAS!$D$2:$D$301,"&gt;="&amp;E15)&gt;0),CHAR(10),"")&amp;IF(COUNTIFS(FÉRIAS!$C$2:$C$301,"&lt;="&amp;E15,FÉRIAS!$D$2:$D$301,"&gt;="&amp;E15)&gt;0,"Férias: "&amp;COUNTIFS(FÉRIAS!$C$2:$C$301,"&lt;="&amp;E15,FÉRIAS!$D$2:$D$301,"&gt;="&amp;E15),"")))</f>
        <v>Férias: 1</v>
      </c>
      <c r="F16" s="42" t="str">
        <f aca="false">IF(MONTH(F15)&lt;&gt;$O$4,"",IF(COUNTIF(AUX!$D$2:$D$901,F15)+COUNTIFS(FÉRIAS!$C$2:$C$301,"&lt;="&amp;F15,FÉRIAS!$D$2:$D$301,"&gt;="&amp;F15)=0,"",IF(COUNTIF(AUX!$D$2:$D$901,F15)&gt;0,"Folga: "&amp;COUNTIF(AUX!$D$2:$D$901,F15),"")&amp;IF(AND(COUNTIF(AUX!$D$2:$D$901,F15)&gt;0,COUNTIFS(FÉRIAS!$C$2:$C$301,"&lt;="&amp;F15,FÉRIAS!$D$2:$D$301,"&gt;="&amp;F15)&gt;0),CHAR(10),"")&amp;IF(COUNTIFS(FÉRIAS!$C$2:$C$301,"&lt;="&amp;F15,FÉRIAS!$D$2:$D$301,"&gt;="&amp;F15)&gt;0,"Férias: "&amp;COUNTIFS(FÉRIAS!$C$2:$C$301,"&lt;="&amp;F15,FÉRIAS!$D$2:$D$301,"&gt;="&amp;F15),"")))</f>
        <v>Férias: 1</v>
      </c>
      <c r="G16" s="42" t="str">
        <f aca="false">IF(MONTH(G15)&lt;&gt;$O$4,"",IF(COUNTIF(AUX!$D$2:$D$901,G15)+COUNTIFS(FÉRIAS!$C$2:$C$301,"&lt;="&amp;G15,FÉRIAS!$D$2:$D$301,"&gt;="&amp;G15)=0,"",IF(COUNTIF(AUX!$D$2:$D$901,G15)&gt;0,"Folga: "&amp;COUNTIF(AUX!$D$2:$D$901,G15),"")&amp;IF(AND(COUNTIF(AUX!$D$2:$D$901,G15)&gt;0,COUNTIFS(FÉRIAS!$C$2:$C$301,"&lt;="&amp;G15,FÉRIAS!$D$2:$D$301,"&gt;="&amp;G15)&gt;0),CHAR(10),"")&amp;IF(COUNTIFS(FÉRIAS!$C$2:$C$301,"&lt;="&amp;G15,FÉRIAS!$D$2:$D$301,"&gt;="&amp;G15)&gt;0,"Férias: "&amp;COUNTIFS(FÉRIAS!$C$2:$C$301,"&lt;="&amp;G15,FÉRIAS!$D$2:$D$301,"&gt;="&amp;G15),"")))</f>
        <v>Férias: 1</v>
      </c>
      <c r="H16" s="42" t="str">
        <f aca="false">IF(MONTH(H15)&lt;&gt;$O$4,"",IF(COUNTIF(AUX!$D$2:$D$901,H15)+COUNTIFS(FÉRIAS!$C$2:$C$301,"&lt;="&amp;H15,FÉRIAS!$D$2:$D$301,"&gt;="&amp;H15)=0,"",IF(COUNTIF(AUX!$D$2:$D$901,H15)&gt;0,"Folga: "&amp;COUNTIF(AUX!$D$2:$D$901,H15),"")&amp;IF(AND(COUNTIF(AUX!$D$2:$D$901,H15)&gt;0,COUNTIFS(FÉRIAS!$C$2:$C$301,"&lt;="&amp;H15,FÉRIAS!$D$2:$D$301,"&gt;="&amp;H15)&gt;0),CHAR(10),"")&amp;IF(COUNTIFS(FÉRIAS!$C$2:$C$301,"&lt;="&amp;H15,FÉRIAS!$D$2:$D$301,"&gt;="&amp;H15)&gt;0,"Férias: "&amp;COUNTIFS(FÉRIAS!$C$2:$C$301,"&lt;="&amp;H15,FÉRIAS!$D$2:$D$301,"&gt;="&amp;H15),"")))</f>
        <v>Férias: 1</v>
      </c>
      <c r="J16" s="40" t="str">
        <f aca="false">IF(P16="","",10)</f>
        <v/>
      </c>
      <c r="K16" s="41" t="str">
        <f aca="false">IF(P16="","",IF(10&lt;=$O$6,INDEX(AUX!$B:$B,P16),INDEX(FÉRIAS!$A:$A,P16))&amp;"")</f>
        <v/>
      </c>
      <c r="L16" s="40" t="str">
        <f aca="false">IF(P16="","",IF(10&lt;=$O$6,INDEX(AUX!$C:$C,P16),INDEX(FÉRIAS!$B:$B,P16))&amp;"")</f>
        <v/>
      </c>
      <c r="M16" s="40" t="str">
        <f aca="false">IF(P16="","",IF(10&lt;=$O$6,INDEX(AUX!$A:$A,P16),"Férias"))</f>
        <v/>
      </c>
      <c r="P16" s="0" t="str">
        <f aca="false">IF(10&gt;$O$6+$O$7,"",IF(10&lt;=$O$6,SMALL(AUX!$I$2:$I$901,10),SMALL(FÉRIAS!$M$2:$M$301,10-$O$6)))</f>
        <v/>
      </c>
    </row>
    <row r="17" customFormat="false" ht="18" hidden="false" customHeight="true" outlineLevel="0" collapsed="false">
      <c r="B17" s="39" t="n">
        <f aca="false">$O$5+35</f>
        <v>46327</v>
      </c>
      <c r="C17" s="39" t="n">
        <f aca="false">$O$5+36</f>
        <v>46328</v>
      </c>
      <c r="D17" s="39" t="n">
        <f aca="false">$O$5+37</f>
        <v>46329</v>
      </c>
      <c r="E17" s="39" t="n">
        <f aca="false">$O$5+38</f>
        <v>46330</v>
      </c>
      <c r="F17" s="39" t="n">
        <f aca="false">$O$5+39</f>
        <v>46331</v>
      </c>
      <c r="G17" s="39" t="n">
        <f aca="false">$O$5+40</f>
        <v>46332</v>
      </c>
      <c r="H17" s="39" t="n">
        <f aca="false">$O$5+41</f>
        <v>46333</v>
      </c>
      <c r="J17" s="40" t="str">
        <f aca="false">IF(P17="","",11)</f>
        <v/>
      </c>
      <c r="K17" s="41" t="str">
        <f aca="false">IF(P17="","",IF(11&lt;=$O$6,INDEX(AUX!$B:$B,P17),INDEX(FÉRIAS!$A:$A,P17))&amp;"")</f>
        <v/>
      </c>
      <c r="L17" s="40" t="str">
        <f aca="false">IF(P17="","",IF(11&lt;=$O$6,INDEX(AUX!$C:$C,P17),INDEX(FÉRIAS!$B:$B,P17))&amp;"")</f>
        <v/>
      </c>
      <c r="M17" s="40" t="str">
        <f aca="false">IF(P17="","",IF(11&lt;=$O$6,INDEX(AUX!$A:$A,P17),"Férias"))</f>
        <v/>
      </c>
      <c r="P17" s="0" t="str">
        <f aca="false">IF(11&gt;$O$6+$O$7,"",IF(11&lt;=$O$6,SMALL(AUX!$I$2:$I$901,11),SMALL(FÉRIAS!$M$2:$M$301,11-$O$6)))</f>
        <v/>
      </c>
    </row>
    <row r="18" customFormat="false" ht="33.75" hidden="false" customHeight="true" outlineLevel="0" collapsed="false">
      <c r="B18" s="42" t="str">
        <f aca="false">IF(MONTH(B17)&lt;&gt;$O$4,"",IF(COUNTIF(AUX!$D$2:$D$901,B17)+COUNTIFS(FÉRIAS!$C$2:$C$301,"&lt;="&amp;B17,FÉRIAS!$D$2:$D$301,"&gt;="&amp;B17)=0,"",IF(COUNTIF(AUX!$D$2:$D$901,B17)&gt;0,"Folga: "&amp;COUNTIF(AUX!$D$2:$D$901,B17),"")&amp;IF(AND(COUNTIF(AUX!$D$2:$D$901,B17)&gt;0,COUNTIFS(FÉRIAS!$C$2:$C$301,"&lt;="&amp;B17,FÉRIAS!$D$2:$D$301,"&gt;="&amp;B17)&gt;0),CHAR(10),"")&amp;IF(COUNTIFS(FÉRIAS!$C$2:$C$301,"&lt;="&amp;B17,FÉRIAS!$D$2:$D$301,"&gt;="&amp;B17)&gt;0,"Férias: "&amp;COUNTIFS(FÉRIAS!$C$2:$C$301,"&lt;="&amp;B17,FÉRIAS!$D$2:$D$301,"&gt;="&amp;B17),"")))</f>
        <v/>
      </c>
      <c r="C18" s="42" t="str">
        <f aca="false">IF(MONTH(C17)&lt;&gt;$O$4,"",IF(COUNTIF(AUX!$D$2:$D$901,C17)+COUNTIFS(FÉRIAS!$C$2:$C$301,"&lt;="&amp;C17,FÉRIAS!$D$2:$D$301,"&gt;="&amp;C17)=0,"",IF(COUNTIF(AUX!$D$2:$D$901,C17)&gt;0,"Folga: "&amp;COUNTIF(AUX!$D$2:$D$901,C17),"")&amp;IF(AND(COUNTIF(AUX!$D$2:$D$901,C17)&gt;0,COUNTIFS(FÉRIAS!$C$2:$C$301,"&lt;="&amp;C17,FÉRIAS!$D$2:$D$301,"&gt;="&amp;C17)&gt;0),CHAR(10),"")&amp;IF(COUNTIFS(FÉRIAS!$C$2:$C$301,"&lt;="&amp;C17,FÉRIAS!$D$2:$D$301,"&gt;="&amp;C17)&gt;0,"Férias: "&amp;COUNTIFS(FÉRIAS!$C$2:$C$301,"&lt;="&amp;C17,FÉRIAS!$D$2:$D$301,"&gt;="&amp;C17),"")))</f>
        <v/>
      </c>
      <c r="D18" s="42" t="str">
        <f aca="false">IF(MONTH(D17)&lt;&gt;$O$4,"",IF(COUNTIF(AUX!$D$2:$D$901,D17)+COUNTIFS(FÉRIAS!$C$2:$C$301,"&lt;="&amp;D17,FÉRIAS!$D$2:$D$301,"&gt;="&amp;D17)=0,"",IF(COUNTIF(AUX!$D$2:$D$901,D17)&gt;0,"Folga: "&amp;COUNTIF(AUX!$D$2:$D$901,D17),"")&amp;IF(AND(COUNTIF(AUX!$D$2:$D$901,D17)&gt;0,COUNTIFS(FÉRIAS!$C$2:$C$301,"&lt;="&amp;D17,FÉRIAS!$D$2:$D$301,"&gt;="&amp;D17)&gt;0),CHAR(10),"")&amp;IF(COUNTIFS(FÉRIAS!$C$2:$C$301,"&lt;="&amp;D17,FÉRIAS!$D$2:$D$301,"&gt;="&amp;D17)&gt;0,"Férias: "&amp;COUNTIFS(FÉRIAS!$C$2:$C$301,"&lt;="&amp;D17,FÉRIAS!$D$2:$D$301,"&gt;="&amp;D17),"")))</f>
        <v/>
      </c>
      <c r="E18" s="42" t="str">
        <f aca="false">IF(MONTH(E17)&lt;&gt;$O$4,"",IF(COUNTIF(AUX!$D$2:$D$901,E17)+COUNTIFS(FÉRIAS!$C$2:$C$301,"&lt;="&amp;E17,FÉRIAS!$D$2:$D$301,"&gt;="&amp;E17)=0,"",IF(COUNTIF(AUX!$D$2:$D$901,E17)&gt;0,"Folga: "&amp;COUNTIF(AUX!$D$2:$D$901,E17),"")&amp;IF(AND(COUNTIF(AUX!$D$2:$D$901,E17)&gt;0,COUNTIFS(FÉRIAS!$C$2:$C$301,"&lt;="&amp;E17,FÉRIAS!$D$2:$D$301,"&gt;="&amp;E17)&gt;0),CHAR(10),"")&amp;IF(COUNTIFS(FÉRIAS!$C$2:$C$301,"&lt;="&amp;E17,FÉRIAS!$D$2:$D$301,"&gt;="&amp;E17)&gt;0,"Férias: "&amp;COUNTIFS(FÉRIAS!$C$2:$C$301,"&lt;="&amp;E17,FÉRIAS!$D$2:$D$301,"&gt;="&amp;E17),"")))</f>
        <v/>
      </c>
      <c r="F18" s="42" t="str">
        <f aca="false">IF(MONTH(F17)&lt;&gt;$O$4,"",IF(COUNTIF(AUX!$D$2:$D$901,F17)+COUNTIFS(FÉRIAS!$C$2:$C$301,"&lt;="&amp;F17,FÉRIAS!$D$2:$D$301,"&gt;="&amp;F17)=0,"",IF(COUNTIF(AUX!$D$2:$D$901,F17)&gt;0,"Folga: "&amp;COUNTIF(AUX!$D$2:$D$901,F17),"")&amp;IF(AND(COUNTIF(AUX!$D$2:$D$901,F17)&gt;0,COUNTIFS(FÉRIAS!$C$2:$C$301,"&lt;="&amp;F17,FÉRIAS!$D$2:$D$301,"&gt;="&amp;F17)&gt;0),CHAR(10),"")&amp;IF(COUNTIFS(FÉRIAS!$C$2:$C$301,"&lt;="&amp;F17,FÉRIAS!$D$2:$D$301,"&gt;="&amp;F17)&gt;0,"Férias: "&amp;COUNTIFS(FÉRIAS!$C$2:$C$301,"&lt;="&amp;F17,FÉRIAS!$D$2:$D$301,"&gt;="&amp;F17),"")))</f>
        <v/>
      </c>
      <c r="G18" s="42" t="str">
        <f aca="false">IF(MONTH(G17)&lt;&gt;$O$4,"",IF(COUNTIF(AUX!$D$2:$D$901,G17)+COUNTIFS(FÉRIAS!$C$2:$C$301,"&lt;="&amp;G17,FÉRIAS!$D$2:$D$301,"&gt;="&amp;G17)=0,"",IF(COUNTIF(AUX!$D$2:$D$901,G17)&gt;0,"Folga: "&amp;COUNTIF(AUX!$D$2:$D$901,G17),"")&amp;IF(AND(COUNTIF(AUX!$D$2:$D$901,G17)&gt;0,COUNTIFS(FÉRIAS!$C$2:$C$301,"&lt;="&amp;G17,FÉRIAS!$D$2:$D$301,"&gt;="&amp;G17)&gt;0),CHAR(10),"")&amp;IF(COUNTIFS(FÉRIAS!$C$2:$C$301,"&lt;="&amp;G17,FÉRIAS!$D$2:$D$301,"&gt;="&amp;G17)&gt;0,"Férias: "&amp;COUNTIFS(FÉRIAS!$C$2:$C$301,"&lt;="&amp;G17,FÉRIAS!$D$2:$D$301,"&gt;="&amp;G17),"")))</f>
        <v/>
      </c>
      <c r="H18" s="42" t="str">
        <f aca="false">IF(MONTH(H17)&lt;&gt;$O$4,"",IF(COUNTIF(AUX!$D$2:$D$901,H17)+COUNTIFS(FÉRIAS!$C$2:$C$301,"&lt;="&amp;H17,FÉRIAS!$D$2:$D$301,"&gt;="&amp;H17)=0,"",IF(COUNTIF(AUX!$D$2:$D$901,H17)&gt;0,"Folga: "&amp;COUNTIF(AUX!$D$2:$D$901,H17),"")&amp;IF(AND(COUNTIF(AUX!$D$2:$D$901,H17)&gt;0,COUNTIFS(FÉRIAS!$C$2:$C$301,"&lt;="&amp;H17,FÉRIAS!$D$2:$D$301,"&gt;="&amp;H17)&gt;0),CHAR(10),"")&amp;IF(COUNTIFS(FÉRIAS!$C$2:$C$301,"&lt;="&amp;H17,FÉRIAS!$D$2:$D$301,"&gt;="&amp;H17)&gt;0,"Férias: "&amp;COUNTIFS(FÉRIAS!$C$2:$C$301,"&lt;="&amp;H17,FÉRIAS!$D$2:$D$301,"&gt;="&amp;H17),"")))</f>
        <v/>
      </c>
      <c r="J18" s="40" t="str">
        <f aca="false">IF(P18="","",12)</f>
        <v/>
      </c>
      <c r="K18" s="41" t="str">
        <f aca="false">IF(P18="","",IF(12&lt;=$O$6,INDEX(AUX!$B:$B,P18),INDEX(FÉRIAS!$A:$A,P18))&amp;"")</f>
        <v/>
      </c>
      <c r="L18" s="40" t="str">
        <f aca="false">IF(P18="","",IF(12&lt;=$O$6,INDEX(AUX!$C:$C,P18),INDEX(FÉRIAS!$B:$B,P18))&amp;"")</f>
        <v/>
      </c>
      <c r="M18" s="40" t="str">
        <f aca="false">IF(P18="","",IF(12&lt;=$O$6,INDEX(AUX!$A:$A,P18),"Férias"))</f>
        <v/>
      </c>
      <c r="P18" s="0" t="str">
        <f aca="false">IF(12&gt;$O$6+$O$7,"",IF(12&lt;=$O$6,SMALL(AUX!$I$2:$I$901,12),SMALL(FÉRIAS!$M$2:$M$301,12-$O$6)))</f>
        <v/>
      </c>
    </row>
    <row r="19" customFormat="false" ht="15" hidden="false" customHeight="false" outlineLevel="0" collapsed="false">
      <c r="J19" s="40" t="str">
        <f aca="false">IF(P19="","",13)</f>
        <v/>
      </c>
      <c r="K19" s="41" t="str">
        <f aca="false">IF(P19="","",IF(13&lt;=$O$6,INDEX(AUX!$B:$B,P19),INDEX(FÉRIAS!$A:$A,P19))&amp;"")</f>
        <v/>
      </c>
      <c r="L19" s="40" t="str">
        <f aca="false">IF(P19="","",IF(13&lt;=$O$6,INDEX(AUX!$C:$C,P19),INDEX(FÉRIAS!$B:$B,P19))&amp;"")</f>
        <v/>
      </c>
      <c r="M19" s="40" t="str">
        <f aca="false">IF(P19="","",IF(13&lt;=$O$6,INDEX(AUX!$A:$A,P19),"Férias"))</f>
        <v/>
      </c>
      <c r="P19" s="0" t="str">
        <f aca="false">IF(13&gt;$O$6+$O$7,"",IF(13&lt;=$O$6,SMALL(AUX!$I$2:$I$901,13),SMALL(FÉRIAS!$M$2:$M$301,13-$O$6)))</f>
        <v/>
      </c>
    </row>
    <row r="20" customFormat="false" ht="15" hidden="false" customHeight="false" outlineLevel="0" collapsed="false">
      <c r="B20" s="43" t="s">
        <v>42</v>
      </c>
      <c r="C20" s="44" t="s">
        <v>43</v>
      </c>
      <c r="D20" s="45" t="s">
        <v>44</v>
      </c>
      <c r="E20" s="46" t="s">
        <v>45</v>
      </c>
      <c r="F20" s="47" t="s">
        <v>46</v>
      </c>
      <c r="J20" s="40" t="str">
        <f aca="false">IF(P20="","",14)</f>
        <v/>
      </c>
      <c r="K20" s="41" t="str">
        <f aca="false">IF(P20="","",IF(14&lt;=$O$6,INDEX(AUX!$B:$B,P20),INDEX(FÉRIAS!$A:$A,P20))&amp;"")</f>
        <v/>
      </c>
      <c r="L20" s="40" t="str">
        <f aca="false">IF(P20="","",IF(14&lt;=$O$6,INDEX(AUX!$C:$C,P20),INDEX(FÉRIAS!$B:$B,P20))&amp;"")</f>
        <v/>
      </c>
      <c r="M20" s="40" t="str">
        <f aca="false">IF(P20="","",IF(14&lt;=$O$6,INDEX(AUX!$A:$A,P20),"Férias"))</f>
        <v/>
      </c>
      <c r="P20" s="0" t="str">
        <f aca="false">IF(14&gt;$O$6+$O$7,"",IF(14&lt;=$O$6,SMALL(AUX!$I$2:$I$901,14),SMALL(FÉRIAS!$M$2:$M$301,14-$O$6)))</f>
        <v/>
      </c>
    </row>
    <row r="21" customFormat="false" ht="15" hidden="false" customHeight="false" outlineLevel="0" collapsed="false">
      <c r="B21" s="48" t="s">
        <v>47</v>
      </c>
      <c r="C21" s="48"/>
      <c r="D21" s="48"/>
      <c r="E21" s="48"/>
      <c r="F21" s="48"/>
      <c r="G21" s="48"/>
      <c r="H21" s="48"/>
      <c r="J21" s="40" t="str">
        <f aca="false">IF(P21="","",15)</f>
        <v/>
      </c>
      <c r="K21" s="41" t="str">
        <f aca="false">IF(P21="","",IF(15&lt;=$O$6,INDEX(AUX!$B:$B,P21),INDEX(FÉRIAS!$A:$A,P21))&amp;"")</f>
        <v/>
      </c>
      <c r="L21" s="40" t="str">
        <f aca="false">IF(P21="","",IF(15&lt;=$O$6,INDEX(AUX!$C:$C,P21),INDEX(FÉRIAS!$B:$B,P21))&amp;"")</f>
        <v/>
      </c>
      <c r="M21" s="40" t="str">
        <f aca="false">IF(P21="","",IF(15&lt;=$O$6,INDEX(AUX!$A:$A,P21),"Férias"))</f>
        <v/>
      </c>
      <c r="P21" s="0" t="str">
        <f aca="false">IF(15&gt;$O$6+$O$7,"",IF(15&lt;=$O$6,SMALL(AUX!$I$2:$I$901,15),SMALL(FÉRIAS!$M$2:$M$301,15-$O$6)))</f>
        <v/>
      </c>
    </row>
    <row r="22" customFormat="false" ht="15" hidden="false" customHeight="false" outlineLevel="0" collapsed="false">
      <c r="J22" s="40" t="str">
        <f aca="false">IF(P22="","",16)</f>
        <v/>
      </c>
      <c r="K22" s="41" t="str">
        <f aca="false">IF(P22="","",IF(16&lt;=$O$6,INDEX(AUX!$B:$B,P22),INDEX(FÉRIAS!$A:$A,P22))&amp;"")</f>
        <v/>
      </c>
      <c r="L22" s="40" t="str">
        <f aca="false">IF(P22="","",IF(16&lt;=$O$6,INDEX(AUX!$C:$C,P22),INDEX(FÉRIAS!$B:$B,P22))&amp;"")</f>
        <v/>
      </c>
      <c r="M22" s="40" t="str">
        <f aca="false">IF(P22="","",IF(16&lt;=$O$6,INDEX(AUX!$A:$A,P22),"Férias"))</f>
        <v/>
      </c>
      <c r="P22" s="0" t="str">
        <f aca="false">IF(16&gt;$O$6+$O$7,"",IF(16&lt;=$O$6,SMALL(AUX!$I$2:$I$901,16),SMALL(FÉRIAS!$M$2:$M$301,16-$O$6)))</f>
        <v/>
      </c>
    </row>
    <row r="23" customFormat="false" ht="15" hidden="false" customHeight="false" outlineLevel="0" collapsed="false">
      <c r="J23" s="40" t="str">
        <f aca="false">IF(P23="","",17)</f>
        <v/>
      </c>
      <c r="K23" s="41" t="str">
        <f aca="false">IF(P23="","",IF(17&lt;=$O$6,INDEX(AUX!$B:$B,P23),INDEX(FÉRIAS!$A:$A,P23))&amp;"")</f>
        <v/>
      </c>
      <c r="L23" s="40" t="str">
        <f aca="false">IF(P23="","",IF(17&lt;=$O$6,INDEX(AUX!$C:$C,P23),INDEX(FÉRIAS!$B:$B,P23))&amp;"")</f>
        <v/>
      </c>
      <c r="M23" s="40" t="str">
        <f aca="false">IF(P23="","",IF(17&lt;=$O$6,INDEX(AUX!$A:$A,P23),"Férias"))</f>
        <v/>
      </c>
      <c r="P23" s="0" t="str">
        <f aca="false">IF(17&gt;$O$6+$O$7,"",IF(17&lt;=$O$6,SMALL(AUX!$I$2:$I$901,17),SMALL(FÉRIAS!$M$2:$M$301,17-$O$6)))</f>
        <v/>
      </c>
    </row>
    <row r="24" customFormat="false" ht="15" hidden="false" customHeight="false" outlineLevel="0" collapsed="false">
      <c r="J24" s="40" t="str">
        <f aca="false">IF(P24="","",18)</f>
        <v/>
      </c>
      <c r="K24" s="41" t="str">
        <f aca="false">IF(P24="","",IF(18&lt;=$O$6,INDEX(AUX!$B:$B,P24),INDEX(FÉRIAS!$A:$A,P24))&amp;"")</f>
        <v/>
      </c>
      <c r="L24" s="40" t="str">
        <f aca="false">IF(P24="","",IF(18&lt;=$O$6,INDEX(AUX!$C:$C,P24),INDEX(FÉRIAS!$B:$B,P24))&amp;"")</f>
        <v/>
      </c>
      <c r="M24" s="40" t="str">
        <f aca="false">IF(P24="","",IF(18&lt;=$O$6,INDEX(AUX!$A:$A,P24),"Férias"))</f>
        <v/>
      </c>
      <c r="P24" s="0" t="str">
        <f aca="false">IF(18&gt;$O$6+$O$7,"",IF(18&lt;=$O$6,SMALL(AUX!$I$2:$I$901,18),SMALL(FÉRIAS!$M$2:$M$301,18-$O$6)))</f>
        <v/>
      </c>
    </row>
    <row r="25" customFormat="false" ht="15" hidden="false" customHeight="false" outlineLevel="0" collapsed="false">
      <c r="J25" s="40" t="str">
        <f aca="false">IF(P25="","",19)</f>
        <v/>
      </c>
      <c r="K25" s="41" t="str">
        <f aca="false">IF(P25="","",IF(19&lt;=$O$6,INDEX(AUX!$B:$B,P25),INDEX(FÉRIAS!$A:$A,P25))&amp;"")</f>
        <v/>
      </c>
      <c r="L25" s="40" t="str">
        <f aca="false">IF(P25="","",IF(19&lt;=$O$6,INDEX(AUX!$C:$C,P25),INDEX(FÉRIAS!$B:$B,P25))&amp;"")</f>
        <v/>
      </c>
      <c r="M25" s="40" t="str">
        <f aca="false">IF(P25="","",IF(19&lt;=$O$6,INDEX(AUX!$A:$A,P25),"Férias"))</f>
        <v/>
      </c>
      <c r="P25" s="0" t="str">
        <f aca="false">IF(19&gt;$O$6+$O$7,"",IF(19&lt;=$O$6,SMALL(AUX!$I$2:$I$901,19),SMALL(FÉRIAS!$M$2:$M$301,19-$O$6)))</f>
        <v/>
      </c>
    </row>
    <row r="26" customFormat="false" ht="15" hidden="false" customHeight="false" outlineLevel="0" collapsed="false">
      <c r="J26" s="40" t="str">
        <f aca="false">IF(P26="","",20)</f>
        <v/>
      </c>
      <c r="K26" s="41" t="str">
        <f aca="false">IF(P26="","",IF(20&lt;=$O$6,INDEX(AUX!$B:$B,P26),INDEX(FÉRIAS!$A:$A,P26))&amp;"")</f>
        <v/>
      </c>
      <c r="L26" s="40" t="str">
        <f aca="false">IF(P26="","",IF(20&lt;=$O$6,INDEX(AUX!$C:$C,P26),INDEX(FÉRIAS!$B:$B,P26))&amp;"")</f>
        <v/>
      </c>
      <c r="M26" s="40" t="str">
        <f aca="false">IF(P26="","",IF(20&lt;=$O$6,INDEX(AUX!$A:$A,P26),"Férias"))</f>
        <v/>
      </c>
      <c r="P26" s="0" t="str">
        <f aca="false">IF(20&gt;$O$6+$O$7,"",IF(20&lt;=$O$6,SMALL(AUX!$I$2:$I$901,20),SMALL(FÉRIAS!$M$2:$M$301,20-$O$6)))</f>
        <v/>
      </c>
    </row>
    <row r="27" customFormat="false" ht="15" hidden="false" customHeight="false" outlineLevel="0" collapsed="false">
      <c r="J27" s="20" t="str">
        <f aca="false">IF($O$6+$O$7=0,"Ninguém de folga ou férias nesta data.",IF($O$6+$O$7&gt;20,"... e mais "&amp;($O$6+$O$7-20)&amp;" pessoa(s).",""))</f>
        <v>Ninguém de folga ou férias nesta data.</v>
      </c>
      <c r="K27" s="20"/>
      <c r="L27" s="20"/>
      <c r="M27" s="20"/>
    </row>
  </sheetData>
  <mergeCells count="6">
    <mergeCell ref="B2:H2"/>
    <mergeCell ref="J2:M2"/>
    <mergeCell ref="C4:D4"/>
    <mergeCell ref="J4:K4"/>
    <mergeCell ref="B21:H21"/>
    <mergeCell ref="J27:M27"/>
  </mergeCells>
  <conditionalFormatting sqref="B7:H18">
    <cfRule type="expression" priority="2" aboveAverage="0" equalAverage="0" bottom="0" percent="0" rank="0" text="" dxfId="3">
      <formula>MONTH(IF(MOD(ROW(),2)=1,B7,B6))&lt;&gt;$O$4</formula>
    </cfRule>
    <cfRule type="expression" priority="3" aboveAverage="0" equalAverage="0" bottom="0" percent="0" rank="0" text="" dxfId="4">
      <formula>IF(MOD(ROW(),2)=1,B7,B6)=TODAY()</formula>
    </cfRule>
    <cfRule type="expression" priority="4" aboveAverage="0" equalAverage="0" bottom="0" percent="0" rank="0" text="" dxfId="5">
      <formula>IF(MOD(ROW(),2)=1,B7,B6)=$L$4</formula>
    </cfRule>
  </conditionalFormatting>
  <conditionalFormatting sqref="B8:H18">
    <cfRule type="expression" priority="5" aboveAverage="0" equalAverage="0" bottom="0" percent="0" rank="0" text="" dxfId="6">
      <formula>B8&lt;&gt;""</formula>
    </cfRule>
  </conditionalFormatting>
  <conditionalFormatting sqref="B7:H17">
    <cfRule type="expression" priority="6" aboveAverage="0" equalAverage="0" bottom="0" percent="0" rank="0" text="" dxfId="7">
      <formula>AND(MOD(ROW(),2)=1,B8&lt;&gt;"")</formula>
    </cfRule>
  </conditionalFormatting>
  <conditionalFormatting sqref="M7:M26">
    <cfRule type="expression" priority="7" aboveAverage="0" equalAverage="0" bottom="0" percent="0" rank="0" text="" dxfId="0">
      <formula>LEFT(M7,5)="Folga"</formula>
    </cfRule>
    <cfRule type="expression" priority="8" aboveAverage="0" equalAverage="0" bottom="0" percent="0" rank="0" text="" dxfId="1">
      <formula>M7="Férias"</formula>
    </cfRule>
  </conditionalFormatting>
  <dataValidations count="3">
    <dataValidation allowBlank="false" errorStyle="stop" operator="between" prompt="Escolha o mês para visualizar. Para voltar ao mês atual, digite: =ÍNDICE(LISTAS!$D$2:$D$13;MÊS(HOJE()))" promptTitle="Mês" showDropDown="false" showErrorMessage="false" showInputMessage="true" sqref="C4" type="list">
      <formula1>LISTAS!$D$2:$D$13</formula1>
      <formula2>0</formula2>
    </dataValidation>
    <dataValidation allowBlank="false" errorStyle="stop" operator="between" prompt="Digite o ano (ex.: 2026). Padrão: ano atual." promptTitle="Ano" showDropDown="false" showErrorMessage="false" showInputMessage="true" sqref="F4" type="whole">
      <formula1>2020</formula1>
      <formula2>2100</formula2>
    </dataValidation>
    <dataValidation allowBlank="true" error="Digite uma data válida no formato dd/mm/aaaa." errorStyle="stop" errorTitle="Data inválida" operator="between" prompt="Digite a data a consultar (dd/mm/aaaa). Para voltar a 'hoje', digite =HOJE()" promptTitle="Data" showDropDown="false" showErrorMessage="true" showInputMessage="true" sqref="L4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0" activeCellId="0" sqref="D20"/>
    </sheetView>
  </sheetViews>
  <sheetFormatPr defaultColWidth="8.6953125" defaultRowHeight="15" zeroHeight="false" outlineLevelRow="0" outlineLevelCol="0"/>
  <cols>
    <col collapsed="false" customWidth="true" hidden="false" outlineLevel="0" max="1" min="1" style="49" width="32"/>
    <col collapsed="false" customWidth="true" hidden="false" outlineLevel="0" max="2" min="2" style="49" width="24"/>
    <col collapsed="false" customWidth="true" hidden="false" outlineLevel="0" max="3" min="3" style="49" width="19.99"/>
    <col collapsed="false" customWidth="true" hidden="false" outlineLevel="0" max="4" min="4" style="49" width="44.9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50" t="s">
        <v>11</v>
      </c>
      <c r="B1" s="50" t="s">
        <v>12</v>
      </c>
      <c r="C1" s="50" t="s">
        <v>48</v>
      </c>
      <c r="D1" s="50" t="s">
        <v>14</v>
      </c>
      <c r="E1" s="50" t="s">
        <v>49</v>
      </c>
      <c r="F1" s="50" t="s">
        <v>20</v>
      </c>
      <c r="G1" s="50" t="s">
        <v>25</v>
      </c>
    </row>
    <row r="2" customFormat="false" ht="13.5" hidden="false" customHeight="true" outlineLevel="0" collapsed="false">
      <c r="A2" s="51" t="s">
        <v>50</v>
      </c>
      <c r="B2" s="52" t="s">
        <v>51</v>
      </c>
      <c r="C2" s="53"/>
      <c r="D2" s="54"/>
      <c r="E2" s="55" t="str">
        <f aca="false">IF(ISNUMBER(C2),CHOOSE(WEEKDAY(C2),"Domingo","Segunda","Terça","Quarta","Quinta","Sexta","Sábado"),"")</f>
        <v/>
      </c>
      <c r="F2" s="55" t="str">
        <f aca="true">IF(NOT(ISNUMBER(C2)),"",IF(C2=TODAY(),"HOJE",IF(C2=TODAY()+1,"AMANHÃ",IF(C2&lt;TODAY(),"Realizada",IF(C2-TODAY()&lt;=7,"Em "&amp;(C2-TODAY())&amp;" dias","Agendada")))))</f>
        <v/>
      </c>
      <c r="G2" s="55" t="str">
        <f aca="false">IF(OR(A2="",NOT(ISNUMBER(C2))),"",IF(COUNTIFS($A$2:$A$301,A2,$C$2:$C$301,C2)&gt;1,"⚠ Folga duplicada",IF(COUNTIFS(FÉRIAS!$A$2:$A$301,A2,FÉRIAS!$C$2:$C$301,"&lt;="&amp;C2,FÉRIAS!$D$2:$D$301,"&gt;="&amp;C2)&gt;0,"⚠ Está de férias nesta data",IF(COUNTIFS(NATAL!$A$2:$A$301,A2,NATAL!$C$2:$C$301,C2,NATAL!$D$2:$D$301,"FOLGA")+COUNTIFS('ANO NOVO'!$A$2:$A$301,A2,'ANO NOVO'!$C$2:$C$301,C2,'ANO NOVO'!$D$2:$D$301,"FOLGA")&gt;0,"⚠ Folga já lançada em NATAL/ANO NOVO",IF(COUNTIFS(NATAL!$A$2:$A$301,A2,NATAL!$C$2:$C$301,C2,NATAL!$D$2:$D$301,"TRABALHA")+COUNTIFS('ANO NOVO'!$A$2:$A$301,A2,'ANO NOVO'!$C$2:$C$301,C2,'ANO NOVO'!$D$2:$D$301,"TRABALHA")&gt;0,"⚠ Marcado TRABALHA em NATAL/ANO NOVO",IF(COUNTIFS($B$2:$B$301,B2,$C$2:$C$301,C2)&gt;1,"⚠ "&amp;COUNTIFS($B$2:$B$301,B2,$C$2:$C$301,C2)&amp;" pessoas do setor de folga no dia",""))))))</f>
        <v/>
      </c>
    </row>
    <row r="3" customFormat="false" ht="13.5" hidden="false" customHeight="true" outlineLevel="0" collapsed="false">
      <c r="A3" s="51" t="s">
        <v>52</v>
      </c>
      <c r="B3" s="52" t="s">
        <v>51</v>
      </c>
      <c r="C3" s="53"/>
      <c r="D3" s="54"/>
      <c r="E3" s="55" t="str">
        <f aca="false">IF(ISNUMBER(C3),CHOOSE(WEEKDAY(C3),"Domingo","Segunda","Terça","Quarta","Quinta","Sexta","Sábado"),"")</f>
        <v/>
      </c>
      <c r="F3" s="55" t="str">
        <f aca="true">IF(NOT(ISNUMBER(C3)),"",IF(C3=TODAY(),"HOJE",IF(C3=TODAY()+1,"AMANHÃ",IF(C3&lt;TODAY(),"Realizada",IF(C3-TODAY()&lt;=7,"Em "&amp;(C3-TODAY())&amp;" dias","Agendada")))))</f>
        <v/>
      </c>
      <c r="G3" s="55" t="str">
        <f aca="false">IF(OR(A3="",NOT(ISNUMBER(C3))),"",IF(COUNTIFS($A$2:$A$301,A3,$C$2:$C$301,C3)&gt;1,"⚠ Folga duplicada",IF(COUNTIFS(FÉRIAS!$A$2:$A$301,A3,FÉRIAS!$C$2:$C$301,"&lt;="&amp;C3,FÉRIAS!$D$2:$D$301,"&gt;="&amp;C3)&gt;0,"⚠ Está de férias nesta data",IF(COUNTIFS(NATAL!$A$2:$A$301,A3,NATAL!$C$2:$C$301,C3,NATAL!$D$2:$D$301,"FOLGA")+COUNTIFS('ANO NOVO'!$A$2:$A$301,A3,'ANO NOVO'!$C$2:$C$301,C3,'ANO NOVO'!$D$2:$D$301,"FOLGA")&gt;0,"⚠ Folga já lançada em NATAL/ANO NOVO",IF(COUNTIFS(NATAL!$A$2:$A$301,A3,NATAL!$C$2:$C$301,C3,NATAL!$D$2:$D$301,"TRABALHA")+COUNTIFS('ANO NOVO'!$A$2:$A$301,A3,'ANO NOVO'!$C$2:$C$301,C3,'ANO NOVO'!$D$2:$D$301,"TRABALHA")&gt;0,"⚠ Marcado TRABALHA em NATAL/ANO NOVO",IF(COUNTIFS($B$2:$B$301,B3,$C$2:$C$301,C3)&gt;1,"⚠ "&amp;COUNTIFS($B$2:$B$301,B3,$C$2:$C$301,C3)&amp;" pessoas do setor de folga no dia",""))))))</f>
        <v/>
      </c>
    </row>
    <row r="4" customFormat="false" ht="13.5" hidden="false" customHeight="true" outlineLevel="0" collapsed="false">
      <c r="A4" s="51" t="s">
        <v>53</v>
      </c>
      <c r="B4" s="52" t="s">
        <v>54</v>
      </c>
      <c r="C4" s="53"/>
      <c r="D4" s="54"/>
      <c r="E4" s="55" t="str">
        <f aca="false">IF(ISNUMBER(C4),CHOOSE(WEEKDAY(C4),"Domingo","Segunda","Terça","Quarta","Quinta","Sexta","Sábado"),"")</f>
        <v/>
      </c>
      <c r="F4" s="55" t="str">
        <f aca="true">IF(NOT(ISNUMBER(C4)),"",IF(C4=TODAY(),"HOJE",IF(C4=TODAY()+1,"AMANHÃ",IF(C4&lt;TODAY(),"Realizada",IF(C4-TODAY()&lt;=7,"Em "&amp;(C4-TODAY())&amp;" dias","Agendada")))))</f>
        <v/>
      </c>
      <c r="G4" s="55" t="str">
        <f aca="false">IF(OR(A4="",NOT(ISNUMBER(C4))),"",IF(COUNTIFS($A$2:$A$301,A4,$C$2:$C$301,C4)&gt;1,"⚠ Folga duplicada",IF(COUNTIFS(FÉRIAS!$A$2:$A$301,A4,FÉRIAS!$C$2:$C$301,"&lt;="&amp;C4,FÉRIAS!$D$2:$D$301,"&gt;="&amp;C4)&gt;0,"⚠ Está de férias nesta data",IF(COUNTIFS(NATAL!$A$2:$A$301,A4,NATAL!$C$2:$C$301,C4,NATAL!$D$2:$D$301,"FOLGA")+COUNTIFS('ANO NOVO'!$A$2:$A$301,A4,'ANO NOVO'!$C$2:$C$301,C4,'ANO NOVO'!$D$2:$D$301,"FOLGA")&gt;0,"⚠ Folga já lançada em NATAL/ANO NOVO",IF(COUNTIFS(NATAL!$A$2:$A$301,A4,NATAL!$C$2:$C$301,C4,NATAL!$D$2:$D$301,"TRABALHA")+COUNTIFS('ANO NOVO'!$A$2:$A$301,A4,'ANO NOVO'!$C$2:$C$301,C4,'ANO NOVO'!$D$2:$D$301,"TRABALHA")&gt;0,"⚠ Marcado TRABALHA em NATAL/ANO NOVO",IF(COUNTIFS($B$2:$B$301,B4,$C$2:$C$301,C4)&gt;1,"⚠ "&amp;COUNTIFS($B$2:$B$301,B4,$C$2:$C$301,C4)&amp;" pessoas do setor de folga no dia",""))))))</f>
        <v/>
      </c>
    </row>
    <row r="5" customFormat="false" ht="13.5" hidden="false" customHeight="true" outlineLevel="0" collapsed="false">
      <c r="A5" s="51" t="s">
        <v>55</v>
      </c>
      <c r="B5" s="52" t="s">
        <v>51</v>
      </c>
      <c r="C5" s="53"/>
      <c r="D5" s="54"/>
      <c r="E5" s="55" t="str">
        <f aca="false">IF(ISNUMBER(C5),CHOOSE(WEEKDAY(C5),"Domingo","Segunda","Terça","Quarta","Quinta","Sexta","Sábado"),"")</f>
        <v/>
      </c>
      <c r="F5" s="55" t="str">
        <f aca="true">IF(NOT(ISNUMBER(C5)),"",IF(C5=TODAY(),"HOJE",IF(C5=TODAY()+1,"AMANHÃ",IF(C5&lt;TODAY(),"Realizada",IF(C5-TODAY()&lt;=7,"Em "&amp;(C5-TODAY())&amp;" dias","Agendada")))))</f>
        <v/>
      </c>
      <c r="G5" s="55" t="str">
        <f aca="false">IF(OR(A5="",NOT(ISNUMBER(C5))),"",IF(COUNTIFS($A$2:$A$301,A5,$C$2:$C$301,C5)&gt;1,"⚠ Folga duplicada",IF(COUNTIFS(FÉRIAS!$A$2:$A$301,A5,FÉRIAS!$C$2:$C$301,"&lt;="&amp;C5,FÉRIAS!$D$2:$D$301,"&gt;="&amp;C5)&gt;0,"⚠ Está de férias nesta data",IF(COUNTIFS(NATAL!$A$2:$A$301,A5,NATAL!$C$2:$C$301,C5,NATAL!$D$2:$D$301,"FOLGA")+COUNTIFS('ANO NOVO'!$A$2:$A$301,A5,'ANO NOVO'!$C$2:$C$301,C5,'ANO NOVO'!$D$2:$D$301,"FOLGA")&gt;0,"⚠ Folga já lançada em NATAL/ANO NOVO",IF(COUNTIFS(NATAL!$A$2:$A$301,A5,NATAL!$C$2:$C$301,C5,NATAL!$D$2:$D$301,"TRABALHA")+COUNTIFS('ANO NOVO'!$A$2:$A$301,A5,'ANO NOVO'!$C$2:$C$301,C5,'ANO NOVO'!$D$2:$D$301,"TRABALHA")&gt;0,"⚠ Marcado TRABALHA em NATAL/ANO NOVO",IF(COUNTIFS($B$2:$B$301,B5,$C$2:$C$301,C5)&gt;1,"⚠ "&amp;COUNTIFS($B$2:$B$301,B5,$C$2:$C$301,C5)&amp;" pessoas do setor de folga no dia",""))))))</f>
        <v/>
      </c>
    </row>
    <row r="6" customFormat="false" ht="13.5" hidden="false" customHeight="true" outlineLevel="0" collapsed="false">
      <c r="A6" s="51" t="s">
        <v>56</v>
      </c>
      <c r="B6" s="52" t="s">
        <v>54</v>
      </c>
      <c r="C6" s="53"/>
      <c r="D6" s="54"/>
      <c r="E6" s="55" t="str">
        <f aca="false">IF(ISNUMBER(C6),CHOOSE(WEEKDAY(C6),"Domingo","Segunda","Terça","Quarta","Quinta","Sexta","Sábado"),"")</f>
        <v/>
      </c>
      <c r="F6" s="55" t="str">
        <f aca="true">IF(NOT(ISNUMBER(C6)),"",IF(C6=TODAY(),"HOJE",IF(C6=TODAY()+1,"AMANHÃ",IF(C6&lt;TODAY(),"Realizada",IF(C6-TODAY()&lt;=7,"Em "&amp;(C6-TODAY())&amp;" dias","Agendada")))))</f>
        <v/>
      </c>
      <c r="G6" s="55" t="str">
        <f aca="false">IF(OR(A6="",NOT(ISNUMBER(C6))),"",IF(COUNTIFS($A$2:$A$301,A6,$C$2:$C$301,C6)&gt;1,"⚠ Folga duplicada",IF(COUNTIFS(FÉRIAS!$A$2:$A$301,A6,FÉRIAS!$C$2:$C$301,"&lt;="&amp;C6,FÉRIAS!$D$2:$D$301,"&gt;="&amp;C6)&gt;0,"⚠ Está de férias nesta data",IF(COUNTIFS(NATAL!$A$2:$A$301,A6,NATAL!$C$2:$C$301,C6,NATAL!$D$2:$D$301,"FOLGA")+COUNTIFS('ANO NOVO'!$A$2:$A$301,A6,'ANO NOVO'!$C$2:$C$301,C6,'ANO NOVO'!$D$2:$D$301,"FOLGA")&gt;0,"⚠ Folga já lançada em NATAL/ANO NOVO",IF(COUNTIFS(NATAL!$A$2:$A$301,A6,NATAL!$C$2:$C$301,C6,NATAL!$D$2:$D$301,"TRABALHA")+COUNTIFS('ANO NOVO'!$A$2:$A$301,A6,'ANO NOVO'!$C$2:$C$301,C6,'ANO NOVO'!$D$2:$D$301,"TRABALHA")&gt;0,"⚠ Marcado TRABALHA em NATAL/ANO NOVO",IF(COUNTIFS($B$2:$B$301,B6,$C$2:$C$301,C6)&gt;1,"⚠ "&amp;COUNTIFS($B$2:$B$301,B6,$C$2:$C$301,C6)&amp;" pessoas do setor de folga no dia",""))))))</f>
        <v/>
      </c>
    </row>
    <row r="7" customFormat="false" ht="13.5" hidden="false" customHeight="true" outlineLevel="0" collapsed="false">
      <c r="A7" s="51" t="s">
        <v>57</v>
      </c>
      <c r="B7" s="52" t="s">
        <v>54</v>
      </c>
      <c r="C7" s="53"/>
      <c r="D7" s="54"/>
      <c r="E7" s="55" t="str">
        <f aca="false">IF(ISNUMBER(C7),CHOOSE(WEEKDAY(C7),"Domingo","Segunda","Terça","Quarta","Quinta","Sexta","Sábado"),"")</f>
        <v/>
      </c>
      <c r="F7" s="55" t="str">
        <f aca="true">IF(NOT(ISNUMBER(C7)),"",IF(C7=TODAY(),"HOJE",IF(C7=TODAY()+1,"AMANHÃ",IF(C7&lt;TODAY(),"Realizada",IF(C7-TODAY()&lt;=7,"Em "&amp;(C7-TODAY())&amp;" dias","Agendada")))))</f>
        <v/>
      </c>
      <c r="G7" s="55" t="str">
        <f aca="false">IF(OR(A7="",NOT(ISNUMBER(C7))),"",IF(COUNTIFS($A$2:$A$301,A7,$C$2:$C$301,C7)&gt;1,"⚠ Folga duplicada",IF(COUNTIFS(FÉRIAS!$A$2:$A$301,A7,FÉRIAS!$C$2:$C$301,"&lt;="&amp;C7,FÉRIAS!$D$2:$D$301,"&gt;="&amp;C7)&gt;0,"⚠ Está de férias nesta data",IF(COUNTIFS(NATAL!$A$2:$A$301,A7,NATAL!$C$2:$C$301,C7,NATAL!$D$2:$D$301,"FOLGA")+COUNTIFS('ANO NOVO'!$A$2:$A$301,A7,'ANO NOVO'!$C$2:$C$301,C7,'ANO NOVO'!$D$2:$D$301,"FOLGA")&gt;0,"⚠ Folga já lançada em NATAL/ANO NOVO",IF(COUNTIFS(NATAL!$A$2:$A$301,A7,NATAL!$C$2:$C$301,C7,NATAL!$D$2:$D$301,"TRABALHA")+COUNTIFS('ANO NOVO'!$A$2:$A$301,A7,'ANO NOVO'!$C$2:$C$301,C7,'ANO NOVO'!$D$2:$D$301,"TRABALHA")&gt;0,"⚠ Marcado TRABALHA em NATAL/ANO NOVO",IF(COUNTIFS($B$2:$B$301,B7,$C$2:$C$301,C7)&gt;1,"⚠ "&amp;COUNTIFS($B$2:$B$301,B7,$C$2:$C$301,C7)&amp;" pessoas do setor de folga no dia",""))))))</f>
        <v/>
      </c>
    </row>
    <row r="8" customFormat="false" ht="13.5" hidden="false" customHeight="true" outlineLevel="0" collapsed="false">
      <c r="A8" s="51" t="s">
        <v>58</v>
      </c>
      <c r="B8" s="52" t="s">
        <v>51</v>
      </c>
      <c r="C8" s="53"/>
      <c r="D8" s="54"/>
      <c r="E8" s="55" t="str">
        <f aca="false">IF(ISNUMBER(C8),CHOOSE(WEEKDAY(C8),"Domingo","Segunda","Terça","Quarta","Quinta","Sexta","Sábado"),"")</f>
        <v/>
      </c>
      <c r="F8" s="55" t="str">
        <f aca="true">IF(NOT(ISNUMBER(C8)),"",IF(C8=TODAY(),"HOJE",IF(C8=TODAY()+1,"AMANHÃ",IF(C8&lt;TODAY(),"Realizada",IF(C8-TODAY()&lt;=7,"Em "&amp;(C8-TODAY())&amp;" dias","Agendada")))))</f>
        <v/>
      </c>
      <c r="G8" s="55" t="str">
        <f aca="false">IF(OR(A8="",NOT(ISNUMBER(C8))),"",IF(COUNTIFS($A$2:$A$301,A8,$C$2:$C$301,C8)&gt;1,"⚠ Folga duplicada",IF(COUNTIFS(FÉRIAS!$A$2:$A$301,A8,FÉRIAS!$C$2:$C$301,"&lt;="&amp;C8,FÉRIAS!$D$2:$D$301,"&gt;="&amp;C8)&gt;0,"⚠ Está de férias nesta data",IF(COUNTIFS(NATAL!$A$2:$A$301,A8,NATAL!$C$2:$C$301,C8,NATAL!$D$2:$D$301,"FOLGA")+COUNTIFS('ANO NOVO'!$A$2:$A$301,A8,'ANO NOVO'!$C$2:$C$301,C8,'ANO NOVO'!$D$2:$D$301,"FOLGA")&gt;0,"⚠ Folga já lançada em NATAL/ANO NOVO",IF(COUNTIFS(NATAL!$A$2:$A$301,A8,NATAL!$C$2:$C$301,C8,NATAL!$D$2:$D$301,"TRABALHA")+COUNTIFS('ANO NOVO'!$A$2:$A$301,A8,'ANO NOVO'!$C$2:$C$301,C8,'ANO NOVO'!$D$2:$D$301,"TRABALHA")&gt;0,"⚠ Marcado TRABALHA em NATAL/ANO NOVO",IF(COUNTIFS($B$2:$B$301,B8,$C$2:$C$301,C8)&gt;1,"⚠ "&amp;COUNTIFS($B$2:$B$301,B8,$C$2:$C$301,C8)&amp;" pessoas do setor de folga no dia",""))))))</f>
        <v/>
      </c>
    </row>
    <row r="9" customFormat="false" ht="13.5" hidden="false" customHeight="true" outlineLevel="0" collapsed="false">
      <c r="A9" s="51" t="s">
        <v>59</v>
      </c>
      <c r="B9" s="52" t="s">
        <v>51</v>
      </c>
      <c r="C9" s="53"/>
      <c r="D9" s="54"/>
      <c r="E9" s="55" t="str">
        <f aca="false">IF(ISNUMBER(C9),CHOOSE(WEEKDAY(C9),"Domingo","Segunda","Terça","Quarta","Quinta","Sexta","Sábado"),"")</f>
        <v/>
      </c>
      <c r="F9" s="55" t="str">
        <f aca="true">IF(NOT(ISNUMBER(C9)),"",IF(C9=TODAY(),"HOJE",IF(C9=TODAY()+1,"AMANHÃ",IF(C9&lt;TODAY(),"Realizada",IF(C9-TODAY()&lt;=7,"Em "&amp;(C9-TODAY())&amp;" dias","Agendada")))))</f>
        <v/>
      </c>
      <c r="G9" s="55" t="str">
        <f aca="false">IF(OR(A9="",NOT(ISNUMBER(C9))),"",IF(COUNTIFS($A$2:$A$301,A9,$C$2:$C$301,C9)&gt;1,"⚠ Folga duplicada",IF(COUNTIFS(FÉRIAS!$A$2:$A$301,A9,FÉRIAS!$C$2:$C$301,"&lt;="&amp;C9,FÉRIAS!$D$2:$D$301,"&gt;="&amp;C9)&gt;0,"⚠ Está de férias nesta data",IF(COUNTIFS(NATAL!$A$2:$A$301,A9,NATAL!$C$2:$C$301,C9,NATAL!$D$2:$D$301,"FOLGA")+COUNTIFS('ANO NOVO'!$A$2:$A$301,A9,'ANO NOVO'!$C$2:$C$301,C9,'ANO NOVO'!$D$2:$D$301,"FOLGA")&gt;0,"⚠ Folga já lançada em NATAL/ANO NOVO",IF(COUNTIFS(NATAL!$A$2:$A$301,A9,NATAL!$C$2:$C$301,C9,NATAL!$D$2:$D$301,"TRABALHA")+COUNTIFS('ANO NOVO'!$A$2:$A$301,A9,'ANO NOVO'!$C$2:$C$301,C9,'ANO NOVO'!$D$2:$D$301,"TRABALHA")&gt;0,"⚠ Marcado TRABALHA em NATAL/ANO NOVO",IF(COUNTIFS($B$2:$B$301,B9,$C$2:$C$301,C9)&gt;1,"⚠ "&amp;COUNTIFS($B$2:$B$301,B9,$C$2:$C$301,C9)&amp;" pessoas do setor de folga no dia",""))))))</f>
        <v/>
      </c>
    </row>
    <row r="10" customFormat="false" ht="15" hidden="false" customHeight="true" outlineLevel="0" collapsed="false">
      <c r="A10" s="56" t="s">
        <v>60</v>
      </c>
      <c r="B10" s="52" t="s">
        <v>61</v>
      </c>
      <c r="C10" s="53"/>
      <c r="D10" s="54"/>
      <c r="E10" s="55" t="str">
        <f aca="false">IF(ISNUMBER(C10),CHOOSE(WEEKDAY(C10),"Domingo","Segunda","Terça","Quarta","Quinta","Sexta","Sábado"),"")</f>
        <v/>
      </c>
      <c r="F10" s="55" t="str">
        <f aca="true">IF(NOT(ISNUMBER(C10)),"",IF(C10=TODAY(),"HOJE",IF(C10=TODAY()+1,"AMANHÃ",IF(C10&lt;TODAY(),"Realizada",IF(C10-TODAY()&lt;=7,"Em "&amp;(C10-TODAY())&amp;" dias","Agendada")))))</f>
        <v/>
      </c>
      <c r="G10" s="55" t="str">
        <f aca="false">IF(OR(A10="",NOT(ISNUMBER(C10))),"",IF(COUNTIFS($A$2:$A$301,A10,$C$2:$C$301,C10)&gt;1,"⚠ Folga duplicada",IF(COUNTIFS(FÉRIAS!$A$2:$A$301,A10,FÉRIAS!$C$2:$C$301,"&lt;="&amp;C10,FÉRIAS!$D$2:$D$301,"&gt;="&amp;C10)&gt;0,"⚠ Está de férias nesta data",IF(COUNTIFS(NATAL!$A$2:$A$301,A10,NATAL!$C$2:$C$301,C10,NATAL!$D$2:$D$301,"FOLGA")+COUNTIFS('ANO NOVO'!$A$2:$A$301,A10,'ANO NOVO'!$C$2:$C$301,C10,'ANO NOVO'!$D$2:$D$301,"FOLGA")&gt;0,"⚠ Folga já lançada em NATAL/ANO NOVO",IF(COUNTIFS(NATAL!$A$2:$A$301,A10,NATAL!$C$2:$C$301,C10,NATAL!$D$2:$D$301,"TRABALHA")+COUNTIFS('ANO NOVO'!$A$2:$A$301,A10,'ANO NOVO'!$C$2:$C$301,C10,'ANO NOVO'!$D$2:$D$301,"TRABALHA")&gt;0,"⚠ Marcado TRABALHA em NATAL/ANO NOVO",IF(COUNTIFS($B$2:$B$301,B10,$C$2:$C$301,C10)&gt;1,"⚠ "&amp;COUNTIFS($B$2:$B$301,B10,$C$2:$C$301,C10)&amp;" pessoas do setor de folga no dia",""))))))</f>
        <v/>
      </c>
    </row>
    <row r="11" customFormat="false" ht="15" hidden="false" customHeight="true" outlineLevel="0" collapsed="false">
      <c r="A11" s="57" t="s">
        <v>62</v>
      </c>
      <c r="B11" s="52" t="s">
        <v>61</v>
      </c>
      <c r="C11" s="53"/>
      <c r="D11" s="54"/>
      <c r="E11" s="55" t="str">
        <f aca="false">IF(ISNUMBER(C11),CHOOSE(WEEKDAY(C11),"Domingo","Segunda","Terça","Quarta","Quinta","Sexta","Sábado"),"")</f>
        <v/>
      </c>
      <c r="F11" s="55" t="str">
        <f aca="true">IF(NOT(ISNUMBER(C11)),"",IF(C11=TODAY(),"HOJE",IF(C11=TODAY()+1,"AMANHÃ",IF(C11&lt;TODAY(),"Realizada",IF(C11-TODAY()&lt;=7,"Em "&amp;(C11-TODAY())&amp;" dias","Agendada")))))</f>
        <v/>
      </c>
      <c r="G11" s="55" t="str">
        <f aca="false">IF(OR(A11="",NOT(ISNUMBER(C11))),"",IF(COUNTIFS($A$2:$A$301,A11,$C$2:$C$301,C11)&gt;1,"⚠ Folga duplicada",IF(COUNTIFS(FÉRIAS!$A$2:$A$301,A11,FÉRIAS!$C$2:$C$301,"&lt;="&amp;C11,FÉRIAS!$D$2:$D$301,"&gt;="&amp;C11)&gt;0,"⚠ Está de férias nesta data",IF(COUNTIFS(NATAL!$A$2:$A$301,A11,NATAL!$C$2:$C$301,C11,NATAL!$D$2:$D$301,"FOLGA")+COUNTIFS('ANO NOVO'!$A$2:$A$301,A11,'ANO NOVO'!$C$2:$C$301,C11,'ANO NOVO'!$D$2:$D$301,"FOLGA")&gt;0,"⚠ Folga já lançada em NATAL/ANO NOVO",IF(COUNTIFS(NATAL!$A$2:$A$301,A11,NATAL!$C$2:$C$301,C11,NATAL!$D$2:$D$301,"TRABALHA")+COUNTIFS('ANO NOVO'!$A$2:$A$301,A11,'ANO NOVO'!$C$2:$C$301,C11,'ANO NOVO'!$D$2:$D$301,"TRABALHA")&gt;0,"⚠ Marcado TRABALHA em NATAL/ANO NOVO",IF(COUNTIFS($B$2:$B$301,B11,$C$2:$C$301,C11)&gt;1,"⚠ "&amp;COUNTIFS($B$2:$B$301,B11,$C$2:$C$301,C11)&amp;" pessoas do setor de folga no dia",""))))))</f>
        <v/>
      </c>
    </row>
    <row r="12" customFormat="false" ht="15" hidden="false" customHeight="true" outlineLevel="0" collapsed="false">
      <c r="A12" s="57" t="s">
        <v>63</v>
      </c>
      <c r="B12" s="52" t="s">
        <v>61</v>
      </c>
      <c r="C12" s="53"/>
      <c r="D12" s="54"/>
      <c r="E12" s="55" t="str">
        <f aca="false">IF(ISNUMBER(C12),CHOOSE(WEEKDAY(C12),"Domingo","Segunda","Terça","Quarta","Quinta","Sexta","Sábado"),"")</f>
        <v/>
      </c>
      <c r="F12" s="55" t="str">
        <f aca="true">IF(NOT(ISNUMBER(C12)),"",IF(C12=TODAY(),"HOJE",IF(C12=TODAY()+1,"AMANHÃ",IF(C12&lt;TODAY(),"Realizada",IF(C12-TODAY()&lt;=7,"Em "&amp;(C12-TODAY())&amp;" dias","Agendada")))))</f>
        <v/>
      </c>
      <c r="G12" s="55" t="str">
        <f aca="false">IF(OR(A12="",NOT(ISNUMBER(C12))),"",IF(COUNTIFS($A$2:$A$301,A12,$C$2:$C$301,C12)&gt;1,"⚠ Folga duplicada",IF(COUNTIFS(FÉRIAS!$A$2:$A$301,A12,FÉRIAS!$C$2:$C$301,"&lt;="&amp;C12,FÉRIAS!$D$2:$D$301,"&gt;="&amp;C12)&gt;0,"⚠ Está de férias nesta data",IF(COUNTIFS(NATAL!$A$2:$A$301,A12,NATAL!$C$2:$C$301,C12,NATAL!$D$2:$D$301,"FOLGA")+COUNTIFS('ANO NOVO'!$A$2:$A$301,A12,'ANO NOVO'!$C$2:$C$301,C12,'ANO NOVO'!$D$2:$D$301,"FOLGA")&gt;0,"⚠ Folga já lançada em NATAL/ANO NOVO",IF(COUNTIFS(NATAL!$A$2:$A$301,A12,NATAL!$C$2:$C$301,C12,NATAL!$D$2:$D$301,"TRABALHA")+COUNTIFS('ANO NOVO'!$A$2:$A$301,A12,'ANO NOVO'!$C$2:$C$301,C12,'ANO NOVO'!$D$2:$D$301,"TRABALHA")&gt;0,"⚠ Marcado TRABALHA em NATAL/ANO NOVO",IF(COUNTIFS($B$2:$B$301,B12,$C$2:$C$301,C12)&gt;1,"⚠ "&amp;COUNTIFS($B$2:$B$301,B12,$C$2:$C$301,C12)&amp;" pessoas do setor de folga no dia",""))))))</f>
        <v/>
      </c>
    </row>
    <row r="13" customFormat="false" ht="15" hidden="false" customHeight="true" outlineLevel="0" collapsed="false">
      <c r="A13" s="57" t="s">
        <v>64</v>
      </c>
      <c r="B13" s="52" t="s">
        <v>61</v>
      </c>
      <c r="C13" s="53"/>
      <c r="D13" s="54"/>
      <c r="E13" s="55" t="str">
        <f aca="false">IF(ISNUMBER(C13),CHOOSE(WEEKDAY(C13),"Domingo","Segunda","Terça","Quarta","Quinta","Sexta","Sábado"),"")</f>
        <v/>
      </c>
      <c r="F13" s="55" t="str">
        <f aca="true">IF(NOT(ISNUMBER(C13)),"",IF(C13=TODAY(),"HOJE",IF(C13=TODAY()+1,"AMANHÃ",IF(C13&lt;TODAY(),"Realizada",IF(C13-TODAY()&lt;=7,"Em "&amp;(C13-TODAY())&amp;" dias","Agendada")))))</f>
        <v/>
      </c>
      <c r="G13" s="55" t="str">
        <f aca="false">IF(OR(A13="",NOT(ISNUMBER(C13))),"",IF(COUNTIFS($A$2:$A$301,A13,$C$2:$C$301,C13)&gt;1,"⚠ Folga duplicada",IF(COUNTIFS(FÉRIAS!$A$2:$A$301,A13,FÉRIAS!$C$2:$C$301,"&lt;="&amp;C13,FÉRIAS!$D$2:$D$301,"&gt;="&amp;C13)&gt;0,"⚠ Está de férias nesta data",IF(COUNTIFS(NATAL!$A$2:$A$301,A13,NATAL!$C$2:$C$301,C13,NATAL!$D$2:$D$301,"FOLGA")+COUNTIFS('ANO NOVO'!$A$2:$A$301,A13,'ANO NOVO'!$C$2:$C$301,C13,'ANO NOVO'!$D$2:$D$301,"FOLGA")&gt;0,"⚠ Folga já lançada em NATAL/ANO NOVO",IF(COUNTIFS(NATAL!$A$2:$A$301,A13,NATAL!$C$2:$C$301,C13,NATAL!$D$2:$D$301,"TRABALHA")+COUNTIFS('ANO NOVO'!$A$2:$A$301,A13,'ANO NOVO'!$C$2:$C$301,C13,'ANO NOVO'!$D$2:$D$301,"TRABALHA")&gt;0,"⚠ Marcado TRABALHA em NATAL/ANO NOVO",IF(COUNTIFS($B$2:$B$301,B13,$C$2:$C$301,C13)&gt;1,"⚠ "&amp;COUNTIFS($B$2:$B$301,B13,$C$2:$C$301,C13)&amp;" pessoas do setor de folga no dia",""))))))</f>
        <v/>
      </c>
    </row>
    <row r="14" customFormat="false" ht="15" hidden="false" customHeight="true" outlineLevel="0" collapsed="false">
      <c r="A14" s="57" t="s">
        <v>65</v>
      </c>
      <c r="B14" s="52" t="s">
        <v>61</v>
      </c>
      <c r="C14" s="53"/>
      <c r="D14" s="54"/>
      <c r="E14" s="55" t="str">
        <f aca="false">IF(ISNUMBER(C14),CHOOSE(WEEKDAY(C14),"Domingo","Segunda","Terça","Quarta","Quinta","Sexta","Sábado"),"")</f>
        <v/>
      </c>
      <c r="F14" s="55" t="str">
        <f aca="true">IF(NOT(ISNUMBER(C14)),"",IF(C14=TODAY(),"HOJE",IF(C14=TODAY()+1,"AMANHÃ",IF(C14&lt;TODAY(),"Realizada",IF(C14-TODAY()&lt;=7,"Em "&amp;(C14-TODAY())&amp;" dias","Agendada")))))</f>
        <v/>
      </c>
      <c r="G14" s="55" t="str">
        <f aca="false">IF(OR(A14="",NOT(ISNUMBER(C14))),"",IF(COUNTIFS($A$2:$A$301,A14,$C$2:$C$301,C14)&gt;1,"⚠ Folga duplicada",IF(COUNTIFS(FÉRIAS!$A$2:$A$301,A14,FÉRIAS!$C$2:$C$301,"&lt;="&amp;C14,FÉRIAS!$D$2:$D$301,"&gt;="&amp;C14)&gt;0,"⚠ Está de férias nesta data",IF(COUNTIFS(NATAL!$A$2:$A$301,A14,NATAL!$C$2:$C$301,C14,NATAL!$D$2:$D$301,"FOLGA")+COUNTIFS('ANO NOVO'!$A$2:$A$301,A14,'ANO NOVO'!$C$2:$C$301,C14,'ANO NOVO'!$D$2:$D$301,"FOLGA")&gt;0,"⚠ Folga já lançada em NATAL/ANO NOVO",IF(COUNTIFS(NATAL!$A$2:$A$301,A14,NATAL!$C$2:$C$301,C14,NATAL!$D$2:$D$301,"TRABALHA")+COUNTIFS('ANO NOVO'!$A$2:$A$301,A14,'ANO NOVO'!$C$2:$C$301,C14,'ANO NOVO'!$D$2:$D$301,"TRABALHA")&gt;0,"⚠ Marcado TRABALHA em NATAL/ANO NOVO",IF(COUNTIFS($B$2:$B$301,B14,$C$2:$C$301,C14)&gt;1,"⚠ "&amp;COUNTIFS($B$2:$B$301,B14,$C$2:$C$301,C14)&amp;" pessoas do setor de folga no dia",""))))))</f>
        <v/>
      </c>
    </row>
    <row r="15" customFormat="false" ht="15" hidden="false" customHeight="true" outlineLevel="0" collapsed="false">
      <c r="A15" s="57" t="s">
        <v>66</v>
      </c>
      <c r="B15" s="52" t="s">
        <v>61</v>
      </c>
      <c r="C15" s="53"/>
      <c r="D15" s="54"/>
      <c r="E15" s="55" t="str">
        <f aca="false">IF(ISNUMBER(C15),CHOOSE(WEEKDAY(C15),"Domingo","Segunda","Terça","Quarta","Quinta","Sexta","Sábado"),"")</f>
        <v/>
      </c>
      <c r="F15" s="55" t="str">
        <f aca="true">IF(NOT(ISNUMBER(C15)),"",IF(C15=TODAY(),"HOJE",IF(C15=TODAY()+1,"AMANHÃ",IF(C15&lt;TODAY(),"Realizada",IF(C15-TODAY()&lt;=7,"Em "&amp;(C15-TODAY())&amp;" dias","Agendada")))))</f>
        <v/>
      </c>
      <c r="G15" s="55" t="str">
        <f aca="false">IF(OR(A15="",NOT(ISNUMBER(C15))),"",IF(COUNTIFS($A$2:$A$301,A15,$C$2:$C$301,C15)&gt;1,"⚠ Folga duplicada",IF(COUNTIFS(FÉRIAS!$A$2:$A$301,A15,FÉRIAS!$C$2:$C$301,"&lt;="&amp;C15,FÉRIAS!$D$2:$D$301,"&gt;="&amp;C15)&gt;0,"⚠ Está de férias nesta data",IF(COUNTIFS(NATAL!$A$2:$A$301,A15,NATAL!$C$2:$C$301,C15,NATAL!$D$2:$D$301,"FOLGA")+COUNTIFS('ANO NOVO'!$A$2:$A$301,A15,'ANO NOVO'!$C$2:$C$301,C15,'ANO NOVO'!$D$2:$D$301,"FOLGA")&gt;0,"⚠ Folga já lançada em NATAL/ANO NOVO",IF(COUNTIFS(NATAL!$A$2:$A$301,A15,NATAL!$C$2:$C$301,C15,NATAL!$D$2:$D$301,"TRABALHA")+COUNTIFS('ANO NOVO'!$A$2:$A$301,A15,'ANO NOVO'!$C$2:$C$301,C15,'ANO NOVO'!$D$2:$D$301,"TRABALHA")&gt;0,"⚠ Marcado TRABALHA em NATAL/ANO NOVO",IF(COUNTIFS($B$2:$B$301,B15,$C$2:$C$301,C15)&gt;1,"⚠ "&amp;COUNTIFS($B$2:$B$301,B15,$C$2:$C$301,C15)&amp;" pessoas do setor de folga no dia",""))))))</f>
        <v/>
      </c>
    </row>
    <row r="16" customFormat="false" ht="15" hidden="false" customHeight="true" outlineLevel="0" collapsed="false">
      <c r="A16" s="57" t="s">
        <v>67</v>
      </c>
      <c r="B16" s="52" t="s">
        <v>61</v>
      </c>
      <c r="C16" s="53"/>
      <c r="D16" s="54"/>
      <c r="E16" s="55" t="str">
        <f aca="false">IF(ISNUMBER(C16),CHOOSE(WEEKDAY(C16),"Domingo","Segunda","Terça","Quarta","Quinta","Sexta","Sábado"),"")</f>
        <v/>
      </c>
      <c r="F16" s="55" t="str">
        <f aca="true">IF(NOT(ISNUMBER(C16)),"",IF(C16=TODAY(),"HOJE",IF(C16=TODAY()+1,"AMANHÃ",IF(C16&lt;TODAY(),"Realizada",IF(C16-TODAY()&lt;=7,"Em "&amp;(C16-TODAY())&amp;" dias","Agendada")))))</f>
        <v/>
      </c>
      <c r="G16" s="55" t="str">
        <f aca="false">IF(OR(A16="",NOT(ISNUMBER(C16))),"",IF(COUNTIFS($A$2:$A$301,A16,$C$2:$C$301,C16)&gt;1,"⚠ Folga duplicada",IF(COUNTIFS(FÉRIAS!$A$2:$A$301,A16,FÉRIAS!$C$2:$C$301,"&lt;="&amp;C16,FÉRIAS!$D$2:$D$301,"&gt;="&amp;C16)&gt;0,"⚠ Está de férias nesta data",IF(COUNTIFS(NATAL!$A$2:$A$301,A16,NATAL!$C$2:$C$301,C16,NATAL!$D$2:$D$301,"FOLGA")+COUNTIFS('ANO NOVO'!$A$2:$A$301,A16,'ANO NOVO'!$C$2:$C$301,C16,'ANO NOVO'!$D$2:$D$301,"FOLGA")&gt;0,"⚠ Folga já lançada em NATAL/ANO NOVO",IF(COUNTIFS(NATAL!$A$2:$A$301,A16,NATAL!$C$2:$C$301,C16,NATAL!$D$2:$D$301,"TRABALHA")+COUNTIFS('ANO NOVO'!$A$2:$A$301,A16,'ANO NOVO'!$C$2:$C$301,C16,'ANO NOVO'!$D$2:$D$301,"TRABALHA")&gt;0,"⚠ Marcado TRABALHA em NATAL/ANO NOVO",IF(COUNTIFS($B$2:$B$301,B16,$C$2:$C$301,C16)&gt;1,"⚠ "&amp;COUNTIFS($B$2:$B$301,B16,$C$2:$C$301,C16)&amp;" pessoas do setor de folga no dia",""))))))</f>
        <v/>
      </c>
    </row>
    <row r="17" customFormat="false" ht="15" hidden="false" customHeight="true" outlineLevel="0" collapsed="false">
      <c r="A17" s="57" t="s">
        <v>68</v>
      </c>
      <c r="B17" s="52" t="s">
        <v>61</v>
      </c>
      <c r="C17" s="53"/>
      <c r="D17" s="54"/>
      <c r="E17" s="55" t="str">
        <f aca="false">IF(ISNUMBER(C17),CHOOSE(WEEKDAY(C17),"Domingo","Segunda","Terça","Quarta","Quinta","Sexta","Sábado"),"")</f>
        <v/>
      </c>
      <c r="F17" s="55" t="str">
        <f aca="true">IF(NOT(ISNUMBER(C17)),"",IF(C17=TODAY(),"HOJE",IF(C17=TODAY()+1,"AMANHÃ",IF(C17&lt;TODAY(),"Realizada",IF(C17-TODAY()&lt;=7,"Em "&amp;(C17-TODAY())&amp;" dias","Agendada")))))</f>
        <v/>
      </c>
      <c r="G17" s="55" t="str">
        <f aca="false">IF(OR(A17="",NOT(ISNUMBER(C17))),"",IF(COUNTIFS($A$2:$A$301,A17,$C$2:$C$301,C17)&gt;1,"⚠ Folga duplicada",IF(COUNTIFS(FÉRIAS!$A$2:$A$301,A17,FÉRIAS!$C$2:$C$301,"&lt;="&amp;C17,FÉRIAS!$D$2:$D$301,"&gt;="&amp;C17)&gt;0,"⚠ Está de férias nesta data",IF(COUNTIFS(NATAL!$A$2:$A$301,A17,NATAL!$C$2:$C$301,C17,NATAL!$D$2:$D$301,"FOLGA")+COUNTIFS('ANO NOVO'!$A$2:$A$301,A17,'ANO NOVO'!$C$2:$C$301,C17,'ANO NOVO'!$D$2:$D$301,"FOLGA")&gt;0,"⚠ Folga já lançada em NATAL/ANO NOVO",IF(COUNTIFS(NATAL!$A$2:$A$301,A17,NATAL!$C$2:$C$301,C17,NATAL!$D$2:$D$301,"TRABALHA")+COUNTIFS('ANO NOVO'!$A$2:$A$301,A17,'ANO NOVO'!$C$2:$C$301,C17,'ANO NOVO'!$D$2:$D$301,"TRABALHA")&gt;0,"⚠ Marcado TRABALHA em NATAL/ANO NOVO",IF(COUNTIFS($B$2:$B$301,B17,$C$2:$C$301,C17)&gt;1,"⚠ "&amp;COUNTIFS($B$2:$B$301,B17,$C$2:$C$301,C17)&amp;" pessoas do setor de folga no dia",""))))))</f>
        <v/>
      </c>
    </row>
    <row r="18" customFormat="false" ht="15" hidden="false" customHeight="true" outlineLevel="0" collapsed="false">
      <c r="A18" s="57" t="s">
        <v>69</v>
      </c>
      <c r="B18" s="52" t="s">
        <v>61</v>
      </c>
      <c r="C18" s="53"/>
      <c r="D18" s="54"/>
      <c r="E18" s="55" t="str">
        <f aca="false">IF(ISNUMBER(C18),CHOOSE(WEEKDAY(C18),"Domingo","Segunda","Terça","Quarta","Quinta","Sexta","Sábado"),"")</f>
        <v/>
      </c>
      <c r="F18" s="55" t="str">
        <f aca="true">IF(NOT(ISNUMBER(C18)),"",IF(C18=TODAY(),"HOJE",IF(C18=TODAY()+1,"AMANHÃ",IF(C18&lt;TODAY(),"Realizada",IF(C18-TODAY()&lt;=7,"Em "&amp;(C18-TODAY())&amp;" dias","Agendada")))))</f>
        <v/>
      </c>
      <c r="G18" s="55" t="str">
        <f aca="false">IF(OR(A18="",NOT(ISNUMBER(C18))),"",IF(COUNTIFS($A$2:$A$301,A18,$C$2:$C$301,C18)&gt;1,"⚠ Folga duplicada",IF(COUNTIFS(FÉRIAS!$A$2:$A$301,A18,FÉRIAS!$C$2:$C$301,"&lt;="&amp;C18,FÉRIAS!$D$2:$D$301,"&gt;="&amp;C18)&gt;0,"⚠ Está de férias nesta data",IF(COUNTIFS(NATAL!$A$2:$A$301,A18,NATAL!$C$2:$C$301,C18,NATAL!$D$2:$D$301,"FOLGA")+COUNTIFS('ANO NOVO'!$A$2:$A$301,A18,'ANO NOVO'!$C$2:$C$301,C18,'ANO NOVO'!$D$2:$D$301,"FOLGA")&gt;0,"⚠ Folga já lançada em NATAL/ANO NOVO",IF(COUNTIFS(NATAL!$A$2:$A$301,A18,NATAL!$C$2:$C$301,C18,NATAL!$D$2:$D$301,"TRABALHA")+COUNTIFS('ANO NOVO'!$A$2:$A$301,A18,'ANO NOVO'!$C$2:$C$301,C18,'ANO NOVO'!$D$2:$D$301,"TRABALHA")&gt;0,"⚠ Marcado TRABALHA em NATAL/ANO NOVO",IF(COUNTIFS($B$2:$B$301,B18,$C$2:$C$301,C18)&gt;1,"⚠ "&amp;COUNTIFS($B$2:$B$301,B18,$C$2:$C$301,C18)&amp;" pessoas do setor de folga no dia",""))))))</f>
        <v/>
      </c>
    </row>
    <row r="19" customFormat="false" ht="15" hidden="false" customHeight="true" outlineLevel="0" collapsed="false">
      <c r="A19" s="57" t="s">
        <v>70</v>
      </c>
      <c r="B19" s="52" t="s">
        <v>61</v>
      </c>
      <c r="C19" s="53"/>
      <c r="D19" s="54"/>
      <c r="E19" s="55" t="str">
        <f aca="false">IF(ISNUMBER(C19),CHOOSE(WEEKDAY(C19),"Domingo","Segunda","Terça","Quarta","Quinta","Sexta","Sábado"),"")</f>
        <v/>
      </c>
      <c r="F19" s="55" t="str">
        <f aca="true">IF(NOT(ISNUMBER(C19)),"",IF(C19=TODAY(),"HOJE",IF(C19=TODAY()+1,"AMANHÃ",IF(C19&lt;TODAY(),"Realizada",IF(C19-TODAY()&lt;=7,"Em "&amp;(C19-TODAY())&amp;" dias","Agendada")))))</f>
        <v/>
      </c>
      <c r="G19" s="55" t="str">
        <f aca="false">IF(OR(A19="",NOT(ISNUMBER(C19))),"",IF(COUNTIFS($A$2:$A$301,A19,$C$2:$C$301,C19)&gt;1,"⚠ Folga duplicada",IF(COUNTIFS(FÉRIAS!$A$2:$A$301,A19,FÉRIAS!$C$2:$C$301,"&lt;="&amp;C19,FÉRIAS!$D$2:$D$301,"&gt;="&amp;C19)&gt;0,"⚠ Está de férias nesta data",IF(COUNTIFS(NATAL!$A$2:$A$301,A19,NATAL!$C$2:$C$301,C19,NATAL!$D$2:$D$301,"FOLGA")+COUNTIFS('ANO NOVO'!$A$2:$A$301,A19,'ANO NOVO'!$C$2:$C$301,C19,'ANO NOVO'!$D$2:$D$301,"FOLGA")&gt;0,"⚠ Folga já lançada em NATAL/ANO NOVO",IF(COUNTIFS(NATAL!$A$2:$A$301,A19,NATAL!$C$2:$C$301,C19,NATAL!$D$2:$D$301,"TRABALHA")+COUNTIFS('ANO NOVO'!$A$2:$A$301,A19,'ANO NOVO'!$C$2:$C$301,C19,'ANO NOVO'!$D$2:$D$301,"TRABALHA")&gt;0,"⚠ Marcado TRABALHA em NATAL/ANO NOVO",IF(COUNTIFS($B$2:$B$301,B19,$C$2:$C$301,C19)&gt;1,"⚠ "&amp;COUNTIFS($B$2:$B$301,B19,$C$2:$C$301,C19)&amp;" pessoas do setor de folga no dia",""))))))</f>
        <v/>
      </c>
    </row>
    <row r="20" customFormat="false" ht="15" hidden="false" customHeight="true" outlineLevel="0" collapsed="false">
      <c r="A20" s="57" t="s">
        <v>71</v>
      </c>
      <c r="B20" s="52" t="s">
        <v>61</v>
      </c>
      <c r="C20" s="53"/>
      <c r="D20" s="54"/>
      <c r="E20" s="55" t="str">
        <f aca="false">IF(ISNUMBER(C20),CHOOSE(WEEKDAY(C20),"Domingo","Segunda","Terça","Quarta","Quinta","Sexta","Sábado"),"")</f>
        <v/>
      </c>
      <c r="F20" s="55" t="str">
        <f aca="true">IF(NOT(ISNUMBER(C20)),"",IF(C20=TODAY(),"HOJE",IF(C20=TODAY()+1,"AMANHÃ",IF(C20&lt;TODAY(),"Realizada",IF(C20-TODAY()&lt;=7,"Em "&amp;(C20-TODAY())&amp;" dias","Agendada")))))</f>
        <v/>
      </c>
      <c r="G20" s="55" t="str">
        <f aca="false">IF(OR(A20="",NOT(ISNUMBER(C20))),"",IF(COUNTIFS($A$2:$A$301,A20,$C$2:$C$301,C20)&gt;1,"⚠ Folga duplicada",IF(COUNTIFS(FÉRIAS!$A$2:$A$301,A20,FÉRIAS!$C$2:$C$301,"&lt;="&amp;C20,FÉRIAS!$D$2:$D$301,"&gt;="&amp;C20)&gt;0,"⚠ Está de férias nesta data",IF(COUNTIFS(NATAL!$A$2:$A$301,A20,NATAL!$C$2:$C$301,C20,NATAL!$D$2:$D$301,"FOLGA")+COUNTIFS('ANO NOVO'!$A$2:$A$301,A20,'ANO NOVO'!$C$2:$C$301,C20,'ANO NOVO'!$D$2:$D$301,"FOLGA")&gt;0,"⚠ Folga já lançada em NATAL/ANO NOVO",IF(COUNTIFS(NATAL!$A$2:$A$301,A20,NATAL!$C$2:$C$301,C20,NATAL!$D$2:$D$301,"TRABALHA")+COUNTIFS('ANO NOVO'!$A$2:$A$301,A20,'ANO NOVO'!$C$2:$C$301,C20,'ANO NOVO'!$D$2:$D$301,"TRABALHA")&gt;0,"⚠ Marcado TRABALHA em NATAL/ANO NOVO",IF(COUNTIFS($B$2:$B$301,B20,$C$2:$C$301,C20)&gt;1,"⚠ "&amp;COUNTIFS($B$2:$B$301,B20,$C$2:$C$301,C20)&amp;" pessoas do setor de folga no dia",""))))))</f>
        <v/>
      </c>
    </row>
    <row r="21" customFormat="false" ht="13.5" hidden="false" customHeight="true" outlineLevel="0" collapsed="false">
      <c r="A21" s="51"/>
      <c r="B21" s="58"/>
      <c r="C21" s="53"/>
      <c r="D21" s="54"/>
      <c r="E21" s="55" t="str">
        <f aca="false">IF(ISNUMBER(C21),CHOOSE(WEEKDAY(C21),"Domingo","Segunda","Terça","Quarta","Quinta","Sexta","Sábado"),"")</f>
        <v/>
      </c>
      <c r="F21" s="55" t="str">
        <f aca="true">IF(NOT(ISNUMBER(C21)),"",IF(C21=TODAY(),"HOJE",IF(C21=TODAY()+1,"AMANHÃ",IF(C21&lt;TODAY(),"Realizada",IF(C21-TODAY()&lt;=7,"Em "&amp;(C21-TODAY())&amp;" dias","Agendada")))))</f>
        <v/>
      </c>
      <c r="G21" s="55" t="str">
        <f aca="false">IF(OR(A21="",NOT(ISNUMBER(C21))),"",IF(COUNTIFS($A$2:$A$301,A21,$C$2:$C$301,C21)&gt;1,"⚠ Folga duplicada",IF(COUNTIFS(FÉRIAS!$A$2:$A$301,A21,FÉRIAS!$C$2:$C$301,"&lt;="&amp;C21,FÉRIAS!$D$2:$D$301,"&gt;="&amp;C21)&gt;0,"⚠ Está de férias nesta data",IF(COUNTIFS(NATAL!$A$2:$A$301,A21,NATAL!$C$2:$C$301,C21,NATAL!$D$2:$D$301,"FOLGA")+COUNTIFS('ANO NOVO'!$A$2:$A$301,A21,'ANO NOVO'!$C$2:$C$301,C21,'ANO NOVO'!$D$2:$D$301,"FOLGA")&gt;0,"⚠ Folga já lançada em NATAL/ANO NOVO",IF(COUNTIFS(NATAL!$A$2:$A$301,A21,NATAL!$C$2:$C$301,C21,NATAL!$D$2:$D$301,"TRABALHA")+COUNTIFS('ANO NOVO'!$A$2:$A$301,A21,'ANO NOVO'!$C$2:$C$301,C21,'ANO NOVO'!$D$2:$D$301,"TRABALHA")&gt;0,"⚠ Marcado TRABALHA em NATAL/ANO NOVO",IF(COUNTIFS($B$2:$B$301,B21,$C$2:$C$301,C21)&gt;1,"⚠ "&amp;COUNTIFS($B$2:$B$301,B21,$C$2:$C$301,C21)&amp;" pessoas do setor de folga no dia",""))))))</f>
        <v/>
      </c>
    </row>
    <row r="22" customFormat="false" ht="15" hidden="false" customHeight="true" outlineLevel="0" collapsed="false">
      <c r="A22" s="59"/>
      <c r="B22" s="59"/>
      <c r="C22" s="53"/>
      <c r="D22" s="54"/>
      <c r="E22" s="55" t="str">
        <f aca="false">IF(ISNUMBER(C22),CHOOSE(WEEKDAY(C22),"Domingo","Segunda","Terça","Quarta","Quinta","Sexta","Sábado"),"")</f>
        <v/>
      </c>
      <c r="F22" s="55" t="str">
        <f aca="true">IF(NOT(ISNUMBER(C22)),"",IF(C22=TODAY(),"HOJE",IF(C22=TODAY()+1,"AMANHÃ",IF(C22&lt;TODAY(),"Realizada",IF(C22-TODAY()&lt;=7,"Em "&amp;(C22-TODAY())&amp;" dias","Agendada")))))</f>
        <v/>
      </c>
      <c r="G22" s="55" t="str">
        <f aca="false">IF(OR(A22="",NOT(ISNUMBER(C22))),"",IF(COUNTIFS($A$2:$A$301,A22,$C$2:$C$301,C22)&gt;1,"⚠ Folga duplicada",IF(COUNTIFS(FÉRIAS!$A$2:$A$301,A22,FÉRIAS!$C$2:$C$301,"&lt;="&amp;C22,FÉRIAS!$D$2:$D$301,"&gt;="&amp;C22)&gt;0,"⚠ Está de férias nesta data",IF(COUNTIFS(NATAL!$A$2:$A$301,A22,NATAL!$C$2:$C$301,C22,NATAL!$D$2:$D$301,"FOLGA")+COUNTIFS('ANO NOVO'!$A$2:$A$301,A22,'ANO NOVO'!$C$2:$C$301,C22,'ANO NOVO'!$D$2:$D$301,"FOLGA")&gt;0,"⚠ Folga já lançada em NATAL/ANO NOVO",IF(COUNTIFS(NATAL!$A$2:$A$301,A22,NATAL!$C$2:$C$301,C22,NATAL!$D$2:$D$301,"TRABALHA")+COUNTIFS('ANO NOVO'!$A$2:$A$301,A22,'ANO NOVO'!$C$2:$C$301,C22,'ANO NOVO'!$D$2:$D$301,"TRABALHA")&gt;0,"⚠ Marcado TRABALHA em NATAL/ANO NOVO",IF(COUNTIFS($B$2:$B$301,B22,$C$2:$C$301,C22)&gt;1,"⚠ "&amp;COUNTIFS($B$2:$B$301,B22,$C$2:$C$301,C22)&amp;" pessoas do setor de folga no dia",""))))))</f>
        <v/>
      </c>
    </row>
    <row r="23" customFormat="false" ht="15" hidden="false" customHeight="true" outlineLevel="0" collapsed="false">
      <c r="A23" s="59"/>
      <c r="B23" s="59"/>
      <c r="C23" s="53"/>
      <c r="D23" s="54"/>
      <c r="E23" s="55" t="str">
        <f aca="false">IF(ISNUMBER(C23),CHOOSE(WEEKDAY(C23),"Domingo","Segunda","Terça","Quarta","Quinta","Sexta","Sábado"),"")</f>
        <v/>
      </c>
      <c r="F23" s="55" t="str">
        <f aca="true">IF(NOT(ISNUMBER(C23)),"",IF(C23=TODAY(),"HOJE",IF(C23=TODAY()+1,"AMANHÃ",IF(C23&lt;TODAY(),"Realizada",IF(C23-TODAY()&lt;=7,"Em "&amp;(C23-TODAY())&amp;" dias","Agendada")))))</f>
        <v/>
      </c>
      <c r="G23" s="55" t="str">
        <f aca="false">IF(OR(A23="",NOT(ISNUMBER(C23))),"",IF(COUNTIFS($A$2:$A$301,A23,$C$2:$C$301,C23)&gt;1,"⚠ Folga duplicada",IF(COUNTIFS(FÉRIAS!$A$2:$A$301,A23,FÉRIAS!$C$2:$C$301,"&lt;="&amp;C23,FÉRIAS!$D$2:$D$301,"&gt;="&amp;C23)&gt;0,"⚠ Está de férias nesta data",IF(COUNTIFS(NATAL!$A$2:$A$301,A23,NATAL!$C$2:$C$301,C23,NATAL!$D$2:$D$301,"FOLGA")+COUNTIFS('ANO NOVO'!$A$2:$A$301,A23,'ANO NOVO'!$C$2:$C$301,C23,'ANO NOVO'!$D$2:$D$301,"FOLGA")&gt;0,"⚠ Folga já lançada em NATAL/ANO NOVO",IF(COUNTIFS(NATAL!$A$2:$A$301,A23,NATAL!$C$2:$C$301,C23,NATAL!$D$2:$D$301,"TRABALHA")+COUNTIFS('ANO NOVO'!$A$2:$A$301,A23,'ANO NOVO'!$C$2:$C$301,C23,'ANO NOVO'!$D$2:$D$301,"TRABALHA")&gt;0,"⚠ Marcado TRABALHA em NATAL/ANO NOVO",IF(COUNTIFS($B$2:$B$301,B23,$C$2:$C$301,C23)&gt;1,"⚠ "&amp;COUNTIFS($B$2:$B$301,B23,$C$2:$C$301,C23)&amp;" pessoas do setor de folga no dia",""))))))</f>
        <v/>
      </c>
    </row>
    <row r="24" customFormat="false" ht="15" hidden="false" customHeight="true" outlineLevel="0" collapsed="false">
      <c r="A24" s="59"/>
      <c r="B24" s="59"/>
      <c r="C24" s="53"/>
      <c r="D24" s="54"/>
      <c r="E24" s="55" t="str">
        <f aca="false">IF(ISNUMBER(C24),CHOOSE(WEEKDAY(C24),"Domingo","Segunda","Terça","Quarta","Quinta","Sexta","Sábado"),"")</f>
        <v/>
      </c>
      <c r="F24" s="55" t="str">
        <f aca="true">IF(NOT(ISNUMBER(C24)),"",IF(C24=TODAY(),"HOJE",IF(C24=TODAY()+1,"AMANHÃ",IF(C24&lt;TODAY(),"Realizada",IF(C24-TODAY()&lt;=7,"Em "&amp;(C24-TODAY())&amp;" dias","Agendada")))))</f>
        <v/>
      </c>
      <c r="G24" s="55" t="str">
        <f aca="false">IF(OR(A24="",NOT(ISNUMBER(C24))),"",IF(COUNTIFS($A$2:$A$301,A24,$C$2:$C$301,C24)&gt;1,"⚠ Folga duplicada",IF(COUNTIFS(FÉRIAS!$A$2:$A$301,A24,FÉRIAS!$C$2:$C$301,"&lt;="&amp;C24,FÉRIAS!$D$2:$D$301,"&gt;="&amp;C24)&gt;0,"⚠ Está de férias nesta data",IF(COUNTIFS(NATAL!$A$2:$A$301,A24,NATAL!$C$2:$C$301,C24,NATAL!$D$2:$D$301,"FOLGA")+COUNTIFS('ANO NOVO'!$A$2:$A$301,A24,'ANO NOVO'!$C$2:$C$301,C24,'ANO NOVO'!$D$2:$D$301,"FOLGA")&gt;0,"⚠ Folga já lançada em NATAL/ANO NOVO",IF(COUNTIFS(NATAL!$A$2:$A$301,A24,NATAL!$C$2:$C$301,C24,NATAL!$D$2:$D$301,"TRABALHA")+COUNTIFS('ANO NOVO'!$A$2:$A$301,A24,'ANO NOVO'!$C$2:$C$301,C24,'ANO NOVO'!$D$2:$D$301,"TRABALHA")&gt;0,"⚠ Marcado TRABALHA em NATAL/ANO NOVO",IF(COUNTIFS($B$2:$B$301,B24,$C$2:$C$301,C24)&gt;1,"⚠ "&amp;COUNTIFS($B$2:$B$301,B24,$C$2:$C$301,C24)&amp;" pessoas do setor de folga no dia",""))))))</f>
        <v/>
      </c>
    </row>
    <row r="25" customFormat="false" ht="15" hidden="false" customHeight="true" outlineLevel="0" collapsed="false">
      <c r="A25" s="59"/>
      <c r="B25" s="59"/>
      <c r="C25" s="53"/>
      <c r="D25" s="54"/>
      <c r="E25" s="55" t="str">
        <f aca="false">IF(ISNUMBER(C25),CHOOSE(WEEKDAY(C25),"Domingo","Segunda","Terça","Quarta","Quinta","Sexta","Sábado"),"")</f>
        <v/>
      </c>
      <c r="F25" s="55" t="str">
        <f aca="true">IF(NOT(ISNUMBER(C25)),"",IF(C25=TODAY(),"HOJE",IF(C25=TODAY()+1,"AMANHÃ",IF(C25&lt;TODAY(),"Realizada",IF(C25-TODAY()&lt;=7,"Em "&amp;(C25-TODAY())&amp;" dias","Agendada")))))</f>
        <v/>
      </c>
      <c r="G25" s="55" t="str">
        <f aca="false">IF(OR(A25="",NOT(ISNUMBER(C25))),"",IF(COUNTIFS($A$2:$A$301,A25,$C$2:$C$301,C25)&gt;1,"⚠ Folga duplicada",IF(COUNTIFS(FÉRIAS!$A$2:$A$301,A25,FÉRIAS!$C$2:$C$301,"&lt;="&amp;C25,FÉRIAS!$D$2:$D$301,"&gt;="&amp;C25)&gt;0,"⚠ Está de férias nesta data",IF(COUNTIFS(NATAL!$A$2:$A$301,A25,NATAL!$C$2:$C$301,C25,NATAL!$D$2:$D$301,"FOLGA")+COUNTIFS('ANO NOVO'!$A$2:$A$301,A25,'ANO NOVO'!$C$2:$C$301,C25,'ANO NOVO'!$D$2:$D$301,"FOLGA")&gt;0,"⚠ Folga já lançada em NATAL/ANO NOVO",IF(COUNTIFS(NATAL!$A$2:$A$301,A25,NATAL!$C$2:$C$301,C25,NATAL!$D$2:$D$301,"TRABALHA")+COUNTIFS('ANO NOVO'!$A$2:$A$301,A25,'ANO NOVO'!$C$2:$C$301,C25,'ANO NOVO'!$D$2:$D$301,"TRABALHA")&gt;0,"⚠ Marcado TRABALHA em NATAL/ANO NOVO",IF(COUNTIFS($B$2:$B$301,B25,$C$2:$C$301,C25)&gt;1,"⚠ "&amp;COUNTIFS($B$2:$B$301,B25,$C$2:$C$301,C25)&amp;" pessoas do setor de folga no dia",""))))))</f>
        <v/>
      </c>
    </row>
    <row r="26" customFormat="false" ht="15" hidden="false" customHeight="true" outlineLevel="0" collapsed="false">
      <c r="A26" s="54"/>
      <c r="B26" s="54"/>
      <c r="C26" s="53"/>
      <c r="D26" s="54"/>
      <c r="E26" s="55" t="str">
        <f aca="false">IF(ISNUMBER(C26),CHOOSE(WEEKDAY(C26),"Domingo","Segunda","Terça","Quarta","Quinta","Sexta","Sábado"),"")</f>
        <v/>
      </c>
      <c r="F26" s="55" t="str">
        <f aca="true">IF(NOT(ISNUMBER(C26)),"",IF(C26=TODAY(),"HOJE",IF(C26=TODAY()+1,"AMANHÃ",IF(C26&lt;TODAY(),"Realizada",IF(C26-TODAY()&lt;=7,"Em "&amp;(C26-TODAY())&amp;" dias","Agendada")))))</f>
        <v/>
      </c>
      <c r="G26" s="55" t="str">
        <f aca="false">IF(OR(A26="",NOT(ISNUMBER(C26))),"",IF(COUNTIFS($A$2:$A$301,A26,$C$2:$C$301,C26)&gt;1,"⚠ Folga duplicada",IF(COUNTIFS(FÉRIAS!$A$2:$A$301,A26,FÉRIAS!$C$2:$C$301,"&lt;="&amp;C26,FÉRIAS!$D$2:$D$301,"&gt;="&amp;C26)&gt;0,"⚠ Está de férias nesta data",IF(COUNTIFS(NATAL!$A$2:$A$301,A26,NATAL!$C$2:$C$301,C26,NATAL!$D$2:$D$301,"FOLGA")+COUNTIFS('ANO NOVO'!$A$2:$A$301,A26,'ANO NOVO'!$C$2:$C$301,C26,'ANO NOVO'!$D$2:$D$301,"FOLGA")&gt;0,"⚠ Folga já lançada em NATAL/ANO NOVO",IF(COUNTIFS(NATAL!$A$2:$A$301,A26,NATAL!$C$2:$C$301,C26,NATAL!$D$2:$D$301,"TRABALHA")+COUNTIFS('ANO NOVO'!$A$2:$A$301,A26,'ANO NOVO'!$C$2:$C$301,C26,'ANO NOVO'!$D$2:$D$301,"TRABALHA")&gt;0,"⚠ Marcado TRABALHA em NATAL/ANO NOVO",IF(COUNTIFS($B$2:$B$301,B26,$C$2:$C$301,C26)&gt;1,"⚠ "&amp;COUNTIFS($B$2:$B$301,B26,$C$2:$C$301,C26)&amp;" pessoas do setor de folga no dia",""))))))</f>
        <v/>
      </c>
    </row>
    <row r="27" customFormat="false" ht="15" hidden="false" customHeight="true" outlineLevel="0" collapsed="false">
      <c r="A27" s="54"/>
      <c r="B27" s="54"/>
      <c r="C27" s="53"/>
      <c r="D27" s="54"/>
      <c r="E27" s="55" t="str">
        <f aca="false">IF(ISNUMBER(C27),CHOOSE(WEEKDAY(C27),"Domingo","Segunda","Terça","Quarta","Quinta","Sexta","Sábado"),"")</f>
        <v/>
      </c>
      <c r="F27" s="55" t="str">
        <f aca="true">IF(NOT(ISNUMBER(C27)),"",IF(C27=TODAY(),"HOJE",IF(C27=TODAY()+1,"AMANHÃ",IF(C27&lt;TODAY(),"Realizada",IF(C27-TODAY()&lt;=7,"Em "&amp;(C27-TODAY())&amp;" dias","Agendada")))))</f>
        <v/>
      </c>
      <c r="G27" s="55" t="str">
        <f aca="false">IF(OR(A27="",NOT(ISNUMBER(C27))),"",IF(COUNTIFS($A$2:$A$301,A27,$C$2:$C$301,C27)&gt;1,"⚠ Folga duplicada",IF(COUNTIFS(FÉRIAS!$A$2:$A$301,A27,FÉRIAS!$C$2:$C$301,"&lt;="&amp;C27,FÉRIAS!$D$2:$D$301,"&gt;="&amp;C27)&gt;0,"⚠ Está de férias nesta data",IF(COUNTIFS(NATAL!$A$2:$A$301,A27,NATAL!$C$2:$C$301,C27,NATAL!$D$2:$D$301,"FOLGA")+COUNTIFS('ANO NOVO'!$A$2:$A$301,A27,'ANO NOVO'!$C$2:$C$301,C27,'ANO NOVO'!$D$2:$D$301,"FOLGA")&gt;0,"⚠ Folga já lançada em NATAL/ANO NOVO",IF(COUNTIFS(NATAL!$A$2:$A$301,A27,NATAL!$C$2:$C$301,C27,NATAL!$D$2:$D$301,"TRABALHA")+COUNTIFS('ANO NOVO'!$A$2:$A$301,A27,'ANO NOVO'!$C$2:$C$301,C27,'ANO NOVO'!$D$2:$D$301,"TRABALHA")&gt;0,"⚠ Marcado TRABALHA em NATAL/ANO NOVO",IF(COUNTIFS($B$2:$B$301,B27,$C$2:$C$301,C27)&gt;1,"⚠ "&amp;COUNTIFS($B$2:$B$301,B27,$C$2:$C$301,C27)&amp;" pessoas do setor de folga no dia",""))))))</f>
        <v/>
      </c>
    </row>
    <row r="28" customFormat="false" ht="15" hidden="false" customHeight="true" outlineLevel="0" collapsed="false">
      <c r="A28" s="54"/>
      <c r="B28" s="54"/>
      <c r="C28" s="53"/>
      <c r="D28" s="54"/>
      <c r="E28" s="55" t="str">
        <f aca="false">IF(ISNUMBER(C28),CHOOSE(WEEKDAY(C28),"Domingo","Segunda","Terça","Quarta","Quinta","Sexta","Sábado"),"")</f>
        <v/>
      </c>
      <c r="F28" s="55" t="str">
        <f aca="true">IF(NOT(ISNUMBER(C28)),"",IF(C28=TODAY(),"HOJE",IF(C28=TODAY()+1,"AMANHÃ",IF(C28&lt;TODAY(),"Realizada",IF(C28-TODAY()&lt;=7,"Em "&amp;(C28-TODAY())&amp;" dias","Agendada")))))</f>
        <v/>
      </c>
      <c r="G28" s="55" t="str">
        <f aca="false">IF(OR(A28="",NOT(ISNUMBER(C28))),"",IF(COUNTIFS($A$2:$A$301,A28,$C$2:$C$301,C28)&gt;1,"⚠ Folga duplicada",IF(COUNTIFS(FÉRIAS!$A$2:$A$301,A28,FÉRIAS!$C$2:$C$301,"&lt;="&amp;C28,FÉRIAS!$D$2:$D$301,"&gt;="&amp;C28)&gt;0,"⚠ Está de férias nesta data",IF(COUNTIFS(NATAL!$A$2:$A$301,A28,NATAL!$C$2:$C$301,C28,NATAL!$D$2:$D$301,"FOLGA")+COUNTIFS('ANO NOVO'!$A$2:$A$301,A28,'ANO NOVO'!$C$2:$C$301,C28,'ANO NOVO'!$D$2:$D$301,"FOLGA")&gt;0,"⚠ Folga já lançada em NATAL/ANO NOVO",IF(COUNTIFS(NATAL!$A$2:$A$301,A28,NATAL!$C$2:$C$301,C28,NATAL!$D$2:$D$301,"TRABALHA")+COUNTIFS('ANO NOVO'!$A$2:$A$301,A28,'ANO NOVO'!$C$2:$C$301,C28,'ANO NOVO'!$D$2:$D$301,"TRABALHA")&gt;0,"⚠ Marcado TRABALHA em NATAL/ANO NOVO",IF(COUNTIFS($B$2:$B$301,B28,$C$2:$C$301,C28)&gt;1,"⚠ "&amp;COUNTIFS($B$2:$B$301,B28,$C$2:$C$301,C28)&amp;" pessoas do setor de folga no dia",""))))))</f>
        <v/>
      </c>
    </row>
    <row r="29" customFormat="false" ht="15" hidden="false" customHeight="true" outlineLevel="0" collapsed="false">
      <c r="A29" s="54"/>
      <c r="B29" s="54"/>
      <c r="C29" s="53"/>
      <c r="D29" s="54"/>
      <c r="E29" s="55" t="str">
        <f aca="false">IF(ISNUMBER(C29),CHOOSE(WEEKDAY(C29),"Domingo","Segunda","Terça","Quarta","Quinta","Sexta","Sábado"),"")</f>
        <v/>
      </c>
      <c r="F29" s="55" t="str">
        <f aca="true">IF(NOT(ISNUMBER(C29)),"",IF(C29=TODAY(),"HOJE",IF(C29=TODAY()+1,"AMANHÃ",IF(C29&lt;TODAY(),"Realizada",IF(C29-TODAY()&lt;=7,"Em "&amp;(C29-TODAY())&amp;" dias","Agendada")))))</f>
        <v/>
      </c>
      <c r="G29" s="55" t="str">
        <f aca="false">IF(OR(A29="",NOT(ISNUMBER(C29))),"",IF(COUNTIFS($A$2:$A$301,A29,$C$2:$C$301,C29)&gt;1,"⚠ Folga duplicada",IF(COUNTIFS(FÉRIAS!$A$2:$A$301,A29,FÉRIAS!$C$2:$C$301,"&lt;="&amp;C29,FÉRIAS!$D$2:$D$301,"&gt;="&amp;C29)&gt;0,"⚠ Está de férias nesta data",IF(COUNTIFS(NATAL!$A$2:$A$301,A29,NATAL!$C$2:$C$301,C29,NATAL!$D$2:$D$301,"FOLGA")+COUNTIFS('ANO NOVO'!$A$2:$A$301,A29,'ANO NOVO'!$C$2:$C$301,C29,'ANO NOVO'!$D$2:$D$301,"FOLGA")&gt;0,"⚠ Folga já lançada em NATAL/ANO NOVO",IF(COUNTIFS(NATAL!$A$2:$A$301,A29,NATAL!$C$2:$C$301,C29,NATAL!$D$2:$D$301,"TRABALHA")+COUNTIFS('ANO NOVO'!$A$2:$A$301,A29,'ANO NOVO'!$C$2:$C$301,C29,'ANO NOVO'!$D$2:$D$301,"TRABALHA")&gt;0,"⚠ Marcado TRABALHA em NATAL/ANO NOVO",IF(COUNTIFS($B$2:$B$301,B29,$C$2:$C$301,C29)&gt;1,"⚠ "&amp;COUNTIFS($B$2:$B$301,B29,$C$2:$C$301,C29)&amp;" pessoas do setor de folga no dia",""))))))</f>
        <v/>
      </c>
    </row>
    <row r="30" customFormat="false" ht="15" hidden="false" customHeight="true" outlineLevel="0" collapsed="false">
      <c r="A30" s="54"/>
      <c r="B30" s="54"/>
      <c r="C30" s="53"/>
      <c r="D30" s="54"/>
      <c r="E30" s="55" t="str">
        <f aca="false">IF(ISNUMBER(C30),CHOOSE(WEEKDAY(C30),"Domingo","Segunda","Terça","Quarta","Quinta","Sexta","Sábado"),"")</f>
        <v/>
      </c>
      <c r="F30" s="55" t="str">
        <f aca="true">IF(NOT(ISNUMBER(C30)),"",IF(C30=TODAY(),"HOJE",IF(C30=TODAY()+1,"AMANHÃ",IF(C30&lt;TODAY(),"Realizada",IF(C30-TODAY()&lt;=7,"Em "&amp;(C30-TODAY())&amp;" dias","Agendada")))))</f>
        <v/>
      </c>
      <c r="G30" s="55" t="str">
        <f aca="false">IF(OR(A30="",NOT(ISNUMBER(C30))),"",IF(COUNTIFS($A$2:$A$301,A30,$C$2:$C$301,C30)&gt;1,"⚠ Folga duplicada",IF(COUNTIFS(FÉRIAS!$A$2:$A$301,A30,FÉRIAS!$C$2:$C$301,"&lt;="&amp;C30,FÉRIAS!$D$2:$D$301,"&gt;="&amp;C30)&gt;0,"⚠ Está de férias nesta data",IF(COUNTIFS(NATAL!$A$2:$A$301,A30,NATAL!$C$2:$C$301,C30,NATAL!$D$2:$D$301,"FOLGA")+COUNTIFS('ANO NOVO'!$A$2:$A$301,A30,'ANO NOVO'!$C$2:$C$301,C30,'ANO NOVO'!$D$2:$D$301,"FOLGA")&gt;0,"⚠ Folga já lançada em NATAL/ANO NOVO",IF(COUNTIFS(NATAL!$A$2:$A$301,A30,NATAL!$C$2:$C$301,C30,NATAL!$D$2:$D$301,"TRABALHA")+COUNTIFS('ANO NOVO'!$A$2:$A$301,A30,'ANO NOVO'!$C$2:$C$301,C30,'ANO NOVO'!$D$2:$D$301,"TRABALHA")&gt;0,"⚠ Marcado TRABALHA em NATAL/ANO NOVO",IF(COUNTIFS($B$2:$B$301,B30,$C$2:$C$301,C30)&gt;1,"⚠ "&amp;COUNTIFS($B$2:$B$301,B30,$C$2:$C$301,C30)&amp;" pessoas do setor de folga no dia",""))))))</f>
        <v/>
      </c>
    </row>
    <row r="31" customFormat="false" ht="15" hidden="false" customHeight="true" outlineLevel="0" collapsed="false">
      <c r="A31" s="54"/>
      <c r="B31" s="54"/>
      <c r="C31" s="53"/>
      <c r="D31" s="54"/>
      <c r="E31" s="55" t="str">
        <f aca="false">IF(ISNUMBER(C31),CHOOSE(WEEKDAY(C31),"Domingo","Segunda","Terça","Quarta","Quinta","Sexta","Sábado"),"")</f>
        <v/>
      </c>
      <c r="F31" s="55" t="str">
        <f aca="true">IF(NOT(ISNUMBER(C31)),"",IF(C31=TODAY(),"HOJE",IF(C31=TODAY()+1,"AMANHÃ",IF(C31&lt;TODAY(),"Realizada",IF(C31-TODAY()&lt;=7,"Em "&amp;(C31-TODAY())&amp;" dias","Agendada")))))</f>
        <v/>
      </c>
      <c r="G31" s="55" t="str">
        <f aca="false">IF(OR(A31="",NOT(ISNUMBER(C31))),"",IF(COUNTIFS($A$2:$A$301,A31,$C$2:$C$301,C31)&gt;1,"⚠ Folga duplicada",IF(COUNTIFS(FÉRIAS!$A$2:$A$301,A31,FÉRIAS!$C$2:$C$301,"&lt;="&amp;C31,FÉRIAS!$D$2:$D$301,"&gt;="&amp;C31)&gt;0,"⚠ Está de férias nesta data",IF(COUNTIFS(NATAL!$A$2:$A$301,A31,NATAL!$C$2:$C$301,C31,NATAL!$D$2:$D$301,"FOLGA")+COUNTIFS('ANO NOVO'!$A$2:$A$301,A31,'ANO NOVO'!$C$2:$C$301,C31,'ANO NOVO'!$D$2:$D$301,"FOLGA")&gt;0,"⚠ Folga já lançada em NATAL/ANO NOVO",IF(COUNTIFS(NATAL!$A$2:$A$301,A31,NATAL!$C$2:$C$301,C31,NATAL!$D$2:$D$301,"TRABALHA")+COUNTIFS('ANO NOVO'!$A$2:$A$301,A31,'ANO NOVO'!$C$2:$C$301,C31,'ANO NOVO'!$D$2:$D$301,"TRABALHA")&gt;0,"⚠ Marcado TRABALHA em NATAL/ANO NOVO",IF(COUNTIFS($B$2:$B$301,B31,$C$2:$C$301,C31)&gt;1,"⚠ "&amp;COUNTIFS($B$2:$B$301,B31,$C$2:$C$301,C31)&amp;" pessoas do setor de folga no dia",""))))))</f>
        <v/>
      </c>
    </row>
    <row r="32" customFormat="false" ht="15" hidden="false" customHeight="true" outlineLevel="0" collapsed="false">
      <c r="A32" s="54"/>
      <c r="B32" s="54"/>
      <c r="C32" s="53"/>
      <c r="D32" s="54"/>
      <c r="E32" s="55" t="str">
        <f aca="false">IF(ISNUMBER(C32),CHOOSE(WEEKDAY(C32),"Domingo","Segunda","Terça","Quarta","Quinta","Sexta","Sábado"),"")</f>
        <v/>
      </c>
      <c r="F32" s="55" t="str">
        <f aca="true">IF(NOT(ISNUMBER(C32)),"",IF(C32=TODAY(),"HOJE",IF(C32=TODAY()+1,"AMANHÃ",IF(C32&lt;TODAY(),"Realizada",IF(C32-TODAY()&lt;=7,"Em "&amp;(C32-TODAY())&amp;" dias","Agendada")))))</f>
        <v/>
      </c>
      <c r="G32" s="55" t="str">
        <f aca="false">IF(OR(A32="",NOT(ISNUMBER(C32))),"",IF(COUNTIFS($A$2:$A$301,A32,$C$2:$C$301,C32)&gt;1,"⚠ Folga duplicada",IF(COUNTIFS(FÉRIAS!$A$2:$A$301,A32,FÉRIAS!$C$2:$C$301,"&lt;="&amp;C32,FÉRIAS!$D$2:$D$301,"&gt;="&amp;C32)&gt;0,"⚠ Está de férias nesta data",IF(COUNTIFS(NATAL!$A$2:$A$301,A32,NATAL!$C$2:$C$301,C32,NATAL!$D$2:$D$301,"FOLGA")+COUNTIFS('ANO NOVO'!$A$2:$A$301,A32,'ANO NOVO'!$C$2:$C$301,C32,'ANO NOVO'!$D$2:$D$301,"FOLGA")&gt;0,"⚠ Folga já lançada em NATAL/ANO NOVO",IF(COUNTIFS(NATAL!$A$2:$A$301,A32,NATAL!$C$2:$C$301,C32,NATAL!$D$2:$D$301,"TRABALHA")+COUNTIFS('ANO NOVO'!$A$2:$A$301,A32,'ANO NOVO'!$C$2:$C$301,C32,'ANO NOVO'!$D$2:$D$301,"TRABALHA")&gt;0,"⚠ Marcado TRABALHA em NATAL/ANO NOVO",IF(COUNTIFS($B$2:$B$301,B32,$C$2:$C$301,C32)&gt;1,"⚠ "&amp;COUNTIFS($B$2:$B$301,B32,$C$2:$C$301,C32)&amp;" pessoas do setor de folga no dia",""))))))</f>
        <v/>
      </c>
    </row>
    <row r="33" customFormat="false" ht="15" hidden="false" customHeight="true" outlineLevel="0" collapsed="false">
      <c r="A33" s="54"/>
      <c r="B33" s="54"/>
      <c r="C33" s="53"/>
      <c r="D33" s="54"/>
      <c r="E33" s="55" t="str">
        <f aca="false">IF(ISNUMBER(C33),CHOOSE(WEEKDAY(C33),"Domingo","Segunda","Terça","Quarta","Quinta","Sexta","Sábado"),"")</f>
        <v/>
      </c>
      <c r="F33" s="55" t="str">
        <f aca="true">IF(NOT(ISNUMBER(C33)),"",IF(C33=TODAY(),"HOJE",IF(C33=TODAY()+1,"AMANHÃ",IF(C33&lt;TODAY(),"Realizada",IF(C33-TODAY()&lt;=7,"Em "&amp;(C33-TODAY())&amp;" dias","Agendada")))))</f>
        <v/>
      </c>
      <c r="G33" s="55" t="str">
        <f aca="false">IF(OR(A33="",NOT(ISNUMBER(C33))),"",IF(COUNTIFS($A$2:$A$301,A33,$C$2:$C$301,C33)&gt;1,"⚠ Folga duplicada",IF(COUNTIFS(FÉRIAS!$A$2:$A$301,A33,FÉRIAS!$C$2:$C$301,"&lt;="&amp;C33,FÉRIAS!$D$2:$D$301,"&gt;="&amp;C33)&gt;0,"⚠ Está de férias nesta data",IF(COUNTIFS(NATAL!$A$2:$A$301,A33,NATAL!$C$2:$C$301,C33,NATAL!$D$2:$D$301,"FOLGA")+COUNTIFS('ANO NOVO'!$A$2:$A$301,A33,'ANO NOVO'!$C$2:$C$301,C33,'ANO NOVO'!$D$2:$D$301,"FOLGA")&gt;0,"⚠ Folga já lançada em NATAL/ANO NOVO",IF(COUNTIFS(NATAL!$A$2:$A$301,A33,NATAL!$C$2:$C$301,C33,NATAL!$D$2:$D$301,"TRABALHA")+COUNTIFS('ANO NOVO'!$A$2:$A$301,A33,'ANO NOVO'!$C$2:$C$301,C33,'ANO NOVO'!$D$2:$D$301,"TRABALHA")&gt;0,"⚠ Marcado TRABALHA em NATAL/ANO NOVO",IF(COUNTIFS($B$2:$B$301,B33,$C$2:$C$301,C33)&gt;1,"⚠ "&amp;COUNTIFS($B$2:$B$301,B33,$C$2:$C$301,C33)&amp;" pessoas do setor de folga no dia",""))))))</f>
        <v/>
      </c>
    </row>
    <row r="34" customFormat="false" ht="15" hidden="false" customHeight="true" outlineLevel="0" collapsed="false">
      <c r="A34" s="54"/>
      <c r="B34" s="54"/>
      <c r="C34" s="53"/>
      <c r="D34" s="54"/>
      <c r="E34" s="55" t="str">
        <f aca="false">IF(ISNUMBER(C34),CHOOSE(WEEKDAY(C34),"Domingo","Segunda","Terça","Quarta","Quinta","Sexta","Sábado"),"")</f>
        <v/>
      </c>
      <c r="F34" s="55" t="str">
        <f aca="true">IF(NOT(ISNUMBER(C34)),"",IF(C34=TODAY(),"HOJE",IF(C34=TODAY()+1,"AMANHÃ",IF(C34&lt;TODAY(),"Realizada",IF(C34-TODAY()&lt;=7,"Em "&amp;(C34-TODAY())&amp;" dias","Agendada")))))</f>
        <v/>
      </c>
      <c r="G34" s="55" t="str">
        <f aca="false">IF(OR(A34="",NOT(ISNUMBER(C34))),"",IF(COUNTIFS($A$2:$A$301,A34,$C$2:$C$301,C34)&gt;1,"⚠ Folga duplicada",IF(COUNTIFS(FÉRIAS!$A$2:$A$301,A34,FÉRIAS!$C$2:$C$301,"&lt;="&amp;C34,FÉRIAS!$D$2:$D$301,"&gt;="&amp;C34)&gt;0,"⚠ Está de férias nesta data",IF(COUNTIFS(NATAL!$A$2:$A$301,A34,NATAL!$C$2:$C$301,C34,NATAL!$D$2:$D$301,"FOLGA")+COUNTIFS('ANO NOVO'!$A$2:$A$301,A34,'ANO NOVO'!$C$2:$C$301,C34,'ANO NOVO'!$D$2:$D$301,"FOLGA")&gt;0,"⚠ Folga já lançada em NATAL/ANO NOVO",IF(COUNTIFS(NATAL!$A$2:$A$301,A34,NATAL!$C$2:$C$301,C34,NATAL!$D$2:$D$301,"TRABALHA")+COUNTIFS('ANO NOVO'!$A$2:$A$301,A34,'ANO NOVO'!$C$2:$C$301,C34,'ANO NOVO'!$D$2:$D$301,"TRABALHA")&gt;0,"⚠ Marcado TRABALHA em NATAL/ANO NOVO",IF(COUNTIFS($B$2:$B$301,B34,$C$2:$C$301,C34)&gt;1,"⚠ "&amp;COUNTIFS($B$2:$B$301,B34,$C$2:$C$301,C34)&amp;" pessoas do setor de folga no dia",""))))))</f>
        <v/>
      </c>
    </row>
    <row r="35" customFormat="false" ht="15" hidden="false" customHeight="true" outlineLevel="0" collapsed="false">
      <c r="A35" s="54"/>
      <c r="B35" s="54"/>
      <c r="C35" s="53"/>
      <c r="D35" s="54"/>
      <c r="E35" s="55" t="str">
        <f aca="false">IF(ISNUMBER(C35),CHOOSE(WEEKDAY(C35),"Domingo","Segunda","Terça","Quarta","Quinta","Sexta","Sábado"),"")</f>
        <v/>
      </c>
      <c r="F35" s="55" t="str">
        <f aca="true">IF(NOT(ISNUMBER(C35)),"",IF(C35=TODAY(),"HOJE",IF(C35=TODAY()+1,"AMANHÃ",IF(C35&lt;TODAY(),"Realizada",IF(C35-TODAY()&lt;=7,"Em "&amp;(C35-TODAY())&amp;" dias","Agendada")))))</f>
        <v/>
      </c>
      <c r="G35" s="55" t="str">
        <f aca="false">IF(OR(A35="",NOT(ISNUMBER(C35))),"",IF(COUNTIFS($A$2:$A$301,A35,$C$2:$C$301,C35)&gt;1,"⚠ Folga duplicada",IF(COUNTIFS(FÉRIAS!$A$2:$A$301,A35,FÉRIAS!$C$2:$C$301,"&lt;="&amp;C35,FÉRIAS!$D$2:$D$301,"&gt;="&amp;C35)&gt;0,"⚠ Está de férias nesta data",IF(COUNTIFS(NATAL!$A$2:$A$301,A35,NATAL!$C$2:$C$301,C35,NATAL!$D$2:$D$301,"FOLGA")+COUNTIFS('ANO NOVO'!$A$2:$A$301,A35,'ANO NOVO'!$C$2:$C$301,C35,'ANO NOVO'!$D$2:$D$301,"FOLGA")&gt;0,"⚠ Folga já lançada em NATAL/ANO NOVO",IF(COUNTIFS(NATAL!$A$2:$A$301,A35,NATAL!$C$2:$C$301,C35,NATAL!$D$2:$D$301,"TRABALHA")+COUNTIFS('ANO NOVO'!$A$2:$A$301,A35,'ANO NOVO'!$C$2:$C$301,C35,'ANO NOVO'!$D$2:$D$301,"TRABALHA")&gt;0,"⚠ Marcado TRABALHA em NATAL/ANO NOVO",IF(COUNTIFS($B$2:$B$301,B35,$C$2:$C$301,C35)&gt;1,"⚠ "&amp;COUNTIFS($B$2:$B$301,B35,$C$2:$C$301,C35)&amp;" pessoas do setor de folga no dia",""))))))</f>
        <v/>
      </c>
    </row>
    <row r="36" customFormat="false" ht="15" hidden="false" customHeight="true" outlineLevel="0" collapsed="false">
      <c r="A36" s="54"/>
      <c r="B36" s="54"/>
      <c r="C36" s="53"/>
      <c r="D36" s="54"/>
      <c r="E36" s="55" t="str">
        <f aca="false">IF(ISNUMBER(C36),CHOOSE(WEEKDAY(C36),"Domingo","Segunda","Terça","Quarta","Quinta","Sexta","Sábado"),"")</f>
        <v/>
      </c>
      <c r="F36" s="55" t="str">
        <f aca="true">IF(NOT(ISNUMBER(C36)),"",IF(C36=TODAY(),"HOJE",IF(C36=TODAY()+1,"AMANHÃ",IF(C36&lt;TODAY(),"Realizada",IF(C36-TODAY()&lt;=7,"Em "&amp;(C36-TODAY())&amp;" dias","Agendada")))))</f>
        <v/>
      </c>
      <c r="G36" s="55" t="str">
        <f aca="false">IF(OR(A36="",NOT(ISNUMBER(C36))),"",IF(COUNTIFS($A$2:$A$301,A36,$C$2:$C$301,C36)&gt;1,"⚠ Folga duplicada",IF(COUNTIFS(FÉRIAS!$A$2:$A$301,A36,FÉRIAS!$C$2:$C$301,"&lt;="&amp;C36,FÉRIAS!$D$2:$D$301,"&gt;="&amp;C36)&gt;0,"⚠ Está de férias nesta data",IF(COUNTIFS(NATAL!$A$2:$A$301,A36,NATAL!$C$2:$C$301,C36,NATAL!$D$2:$D$301,"FOLGA")+COUNTIFS('ANO NOVO'!$A$2:$A$301,A36,'ANO NOVO'!$C$2:$C$301,C36,'ANO NOVO'!$D$2:$D$301,"FOLGA")&gt;0,"⚠ Folga já lançada em NATAL/ANO NOVO",IF(COUNTIFS(NATAL!$A$2:$A$301,A36,NATAL!$C$2:$C$301,C36,NATAL!$D$2:$D$301,"TRABALHA")+COUNTIFS('ANO NOVO'!$A$2:$A$301,A36,'ANO NOVO'!$C$2:$C$301,C36,'ANO NOVO'!$D$2:$D$301,"TRABALHA")&gt;0,"⚠ Marcado TRABALHA em NATAL/ANO NOVO",IF(COUNTIFS($B$2:$B$301,B36,$C$2:$C$301,C36)&gt;1,"⚠ "&amp;COUNTIFS($B$2:$B$301,B36,$C$2:$C$301,C36)&amp;" pessoas do setor de folga no dia",""))))))</f>
        <v/>
      </c>
    </row>
    <row r="37" customFormat="false" ht="15" hidden="false" customHeight="true" outlineLevel="0" collapsed="false">
      <c r="A37" s="54"/>
      <c r="B37" s="54"/>
      <c r="C37" s="53"/>
      <c r="D37" s="54"/>
      <c r="E37" s="55" t="str">
        <f aca="false">IF(ISNUMBER(C37),CHOOSE(WEEKDAY(C37),"Domingo","Segunda","Terça","Quarta","Quinta","Sexta","Sábado"),"")</f>
        <v/>
      </c>
      <c r="F37" s="55" t="str">
        <f aca="true">IF(NOT(ISNUMBER(C37)),"",IF(C37=TODAY(),"HOJE",IF(C37=TODAY()+1,"AMANHÃ",IF(C37&lt;TODAY(),"Realizada",IF(C37-TODAY()&lt;=7,"Em "&amp;(C37-TODAY())&amp;" dias","Agendada")))))</f>
        <v/>
      </c>
      <c r="G37" s="55" t="str">
        <f aca="false">IF(OR(A37="",NOT(ISNUMBER(C37))),"",IF(COUNTIFS($A$2:$A$301,A37,$C$2:$C$301,C37)&gt;1,"⚠ Folga duplicada",IF(COUNTIFS(FÉRIAS!$A$2:$A$301,A37,FÉRIAS!$C$2:$C$301,"&lt;="&amp;C37,FÉRIAS!$D$2:$D$301,"&gt;="&amp;C37)&gt;0,"⚠ Está de férias nesta data",IF(COUNTIFS(NATAL!$A$2:$A$301,A37,NATAL!$C$2:$C$301,C37,NATAL!$D$2:$D$301,"FOLGA")+COUNTIFS('ANO NOVO'!$A$2:$A$301,A37,'ANO NOVO'!$C$2:$C$301,C37,'ANO NOVO'!$D$2:$D$301,"FOLGA")&gt;0,"⚠ Folga já lançada em NATAL/ANO NOVO",IF(COUNTIFS(NATAL!$A$2:$A$301,A37,NATAL!$C$2:$C$301,C37,NATAL!$D$2:$D$301,"TRABALHA")+COUNTIFS('ANO NOVO'!$A$2:$A$301,A37,'ANO NOVO'!$C$2:$C$301,C37,'ANO NOVO'!$D$2:$D$301,"TRABALHA")&gt;0,"⚠ Marcado TRABALHA em NATAL/ANO NOVO",IF(COUNTIFS($B$2:$B$301,B37,$C$2:$C$301,C37)&gt;1,"⚠ "&amp;COUNTIFS($B$2:$B$301,B37,$C$2:$C$301,C37)&amp;" pessoas do setor de folga no dia",""))))))</f>
        <v/>
      </c>
    </row>
    <row r="38" customFormat="false" ht="15" hidden="false" customHeight="true" outlineLevel="0" collapsed="false">
      <c r="A38" s="54"/>
      <c r="B38" s="54"/>
      <c r="C38" s="53"/>
      <c r="D38" s="54"/>
      <c r="E38" s="55" t="str">
        <f aca="false">IF(ISNUMBER(C38),CHOOSE(WEEKDAY(C38),"Domingo","Segunda","Terça","Quarta","Quinta","Sexta","Sábado"),"")</f>
        <v/>
      </c>
      <c r="F38" s="55" t="str">
        <f aca="true">IF(NOT(ISNUMBER(C38)),"",IF(C38=TODAY(),"HOJE",IF(C38=TODAY()+1,"AMANHÃ",IF(C38&lt;TODAY(),"Realizada",IF(C38-TODAY()&lt;=7,"Em "&amp;(C38-TODAY())&amp;" dias","Agendada")))))</f>
        <v/>
      </c>
      <c r="G38" s="55" t="str">
        <f aca="false">IF(OR(A38="",NOT(ISNUMBER(C38))),"",IF(COUNTIFS($A$2:$A$301,A38,$C$2:$C$301,C38)&gt;1,"⚠ Folga duplicada",IF(COUNTIFS(FÉRIAS!$A$2:$A$301,A38,FÉRIAS!$C$2:$C$301,"&lt;="&amp;C38,FÉRIAS!$D$2:$D$301,"&gt;="&amp;C38)&gt;0,"⚠ Está de férias nesta data",IF(COUNTIFS(NATAL!$A$2:$A$301,A38,NATAL!$C$2:$C$301,C38,NATAL!$D$2:$D$301,"FOLGA")+COUNTIFS('ANO NOVO'!$A$2:$A$301,A38,'ANO NOVO'!$C$2:$C$301,C38,'ANO NOVO'!$D$2:$D$301,"FOLGA")&gt;0,"⚠ Folga já lançada em NATAL/ANO NOVO",IF(COUNTIFS(NATAL!$A$2:$A$301,A38,NATAL!$C$2:$C$301,C38,NATAL!$D$2:$D$301,"TRABALHA")+COUNTIFS('ANO NOVO'!$A$2:$A$301,A38,'ANO NOVO'!$C$2:$C$301,C38,'ANO NOVO'!$D$2:$D$301,"TRABALHA")&gt;0,"⚠ Marcado TRABALHA em NATAL/ANO NOVO",IF(COUNTIFS($B$2:$B$301,B38,$C$2:$C$301,C38)&gt;1,"⚠ "&amp;COUNTIFS($B$2:$B$301,B38,$C$2:$C$301,C38)&amp;" pessoas do setor de folga no dia",""))))))</f>
        <v/>
      </c>
    </row>
    <row r="39" customFormat="false" ht="15" hidden="false" customHeight="true" outlineLevel="0" collapsed="false">
      <c r="A39" s="54"/>
      <c r="B39" s="54"/>
      <c r="C39" s="53"/>
      <c r="D39" s="54"/>
      <c r="E39" s="55" t="str">
        <f aca="false">IF(ISNUMBER(C39),CHOOSE(WEEKDAY(C39),"Domingo","Segunda","Terça","Quarta","Quinta","Sexta","Sábado"),"")</f>
        <v/>
      </c>
      <c r="F39" s="55" t="str">
        <f aca="true">IF(NOT(ISNUMBER(C39)),"",IF(C39=TODAY(),"HOJE",IF(C39=TODAY()+1,"AMANHÃ",IF(C39&lt;TODAY(),"Realizada",IF(C39-TODAY()&lt;=7,"Em "&amp;(C39-TODAY())&amp;" dias","Agendada")))))</f>
        <v/>
      </c>
      <c r="G39" s="55" t="str">
        <f aca="false">IF(OR(A39="",NOT(ISNUMBER(C39))),"",IF(COUNTIFS($A$2:$A$301,A39,$C$2:$C$301,C39)&gt;1,"⚠ Folga duplicada",IF(COUNTIFS(FÉRIAS!$A$2:$A$301,A39,FÉRIAS!$C$2:$C$301,"&lt;="&amp;C39,FÉRIAS!$D$2:$D$301,"&gt;="&amp;C39)&gt;0,"⚠ Está de férias nesta data",IF(COUNTIFS(NATAL!$A$2:$A$301,A39,NATAL!$C$2:$C$301,C39,NATAL!$D$2:$D$301,"FOLGA")+COUNTIFS('ANO NOVO'!$A$2:$A$301,A39,'ANO NOVO'!$C$2:$C$301,C39,'ANO NOVO'!$D$2:$D$301,"FOLGA")&gt;0,"⚠ Folga já lançada em NATAL/ANO NOVO",IF(COUNTIFS(NATAL!$A$2:$A$301,A39,NATAL!$C$2:$C$301,C39,NATAL!$D$2:$D$301,"TRABALHA")+COUNTIFS('ANO NOVO'!$A$2:$A$301,A39,'ANO NOVO'!$C$2:$C$301,C39,'ANO NOVO'!$D$2:$D$301,"TRABALHA")&gt;0,"⚠ Marcado TRABALHA em NATAL/ANO NOVO",IF(COUNTIFS($B$2:$B$301,B39,$C$2:$C$301,C39)&gt;1,"⚠ "&amp;COUNTIFS($B$2:$B$301,B39,$C$2:$C$301,C39)&amp;" pessoas do setor de folga no dia",""))))))</f>
        <v/>
      </c>
    </row>
    <row r="40" customFormat="false" ht="15" hidden="false" customHeight="true" outlineLevel="0" collapsed="false">
      <c r="A40" s="54"/>
      <c r="B40" s="54"/>
      <c r="C40" s="53"/>
      <c r="D40" s="54"/>
      <c r="E40" s="55" t="str">
        <f aca="false">IF(ISNUMBER(C40),CHOOSE(WEEKDAY(C40),"Domingo","Segunda","Terça","Quarta","Quinta","Sexta","Sábado"),"")</f>
        <v/>
      </c>
      <c r="F40" s="55" t="str">
        <f aca="true">IF(NOT(ISNUMBER(C40)),"",IF(C40=TODAY(),"HOJE",IF(C40=TODAY()+1,"AMANHÃ",IF(C40&lt;TODAY(),"Realizada",IF(C40-TODAY()&lt;=7,"Em "&amp;(C40-TODAY())&amp;" dias","Agendada")))))</f>
        <v/>
      </c>
      <c r="G40" s="55" t="str">
        <f aca="false">IF(OR(A40="",NOT(ISNUMBER(C40))),"",IF(COUNTIFS($A$2:$A$301,A40,$C$2:$C$301,C40)&gt;1,"⚠ Folga duplicada",IF(COUNTIFS(FÉRIAS!$A$2:$A$301,A40,FÉRIAS!$C$2:$C$301,"&lt;="&amp;C40,FÉRIAS!$D$2:$D$301,"&gt;="&amp;C40)&gt;0,"⚠ Está de férias nesta data",IF(COUNTIFS(NATAL!$A$2:$A$301,A40,NATAL!$C$2:$C$301,C40,NATAL!$D$2:$D$301,"FOLGA")+COUNTIFS('ANO NOVO'!$A$2:$A$301,A40,'ANO NOVO'!$C$2:$C$301,C40,'ANO NOVO'!$D$2:$D$301,"FOLGA")&gt;0,"⚠ Folga já lançada em NATAL/ANO NOVO",IF(COUNTIFS(NATAL!$A$2:$A$301,A40,NATAL!$C$2:$C$301,C40,NATAL!$D$2:$D$301,"TRABALHA")+COUNTIFS('ANO NOVO'!$A$2:$A$301,A40,'ANO NOVO'!$C$2:$C$301,C40,'ANO NOVO'!$D$2:$D$301,"TRABALHA")&gt;0,"⚠ Marcado TRABALHA em NATAL/ANO NOVO",IF(COUNTIFS($B$2:$B$301,B40,$C$2:$C$301,C40)&gt;1,"⚠ "&amp;COUNTIFS($B$2:$B$301,B40,$C$2:$C$301,C40)&amp;" pessoas do setor de folga no dia",""))))))</f>
        <v/>
      </c>
    </row>
    <row r="41" customFormat="false" ht="15" hidden="false" customHeight="true" outlineLevel="0" collapsed="false">
      <c r="A41" s="54"/>
      <c r="B41" s="54"/>
      <c r="C41" s="53"/>
      <c r="D41" s="54"/>
      <c r="E41" s="55" t="str">
        <f aca="false">IF(ISNUMBER(C41),CHOOSE(WEEKDAY(C41),"Domingo","Segunda","Terça","Quarta","Quinta","Sexta","Sábado"),"")</f>
        <v/>
      </c>
      <c r="F41" s="55" t="str">
        <f aca="true">IF(NOT(ISNUMBER(C41)),"",IF(C41=TODAY(),"HOJE",IF(C41=TODAY()+1,"AMANHÃ",IF(C41&lt;TODAY(),"Realizada",IF(C41-TODAY()&lt;=7,"Em "&amp;(C41-TODAY())&amp;" dias","Agendada")))))</f>
        <v/>
      </c>
      <c r="G41" s="55" t="str">
        <f aca="false">IF(OR(A41="",NOT(ISNUMBER(C41))),"",IF(COUNTIFS($A$2:$A$301,A41,$C$2:$C$301,C41)&gt;1,"⚠ Folga duplicada",IF(COUNTIFS(FÉRIAS!$A$2:$A$301,A41,FÉRIAS!$C$2:$C$301,"&lt;="&amp;C41,FÉRIAS!$D$2:$D$301,"&gt;="&amp;C41)&gt;0,"⚠ Está de férias nesta data",IF(COUNTIFS(NATAL!$A$2:$A$301,A41,NATAL!$C$2:$C$301,C41,NATAL!$D$2:$D$301,"FOLGA")+COUNTIFS('ANO NOVO'!$A$2:$A$301,A41,'ANO NOVO'!$C$2:$C$301,C41,'ANO NOVO'!$D$2:$D$301,"FOLGA")&gt;0,"⚠ Folga já lançada em NATAL/ANO NOVO",IF(COUNTIFS(NATAL!$A$2:$A$301,A41,NATAL!$C$2:$C$301,C41,NATAL!$D$2:$D$301,"TRABALHA")+COUNTIFS('ANO NOVO'!$A$2:$A$301,A41,'ANO NOVO'!$C$2:$C$301,C41,'ANO NOVO'!$D$2:$D$301,"TRABALHA")&gt;0,"⚠ Marcado TRABALHA em NATAL/ANO NOVO",IF(COUNTIFS($B$2:$B$301,B41,$C$2:$C$301,C41)&gt;1,"⚠ "&amp;COUNTIFS($B$2:$B$301,B41,$C$2:$C$301,C41)&amp;" pessoas do setor de folga no dia",""))))))</f>
        <v/>
      </c>
    </row>
    <row r="42" customFormat="false" ht="15" hidden="false" customHeight="true" outlineLevel="0" collapsed="false">
      <c r="A42" s="54"/>
      <c r="B42" s="54"/>
      <c r="C42" s="53"/>
      <c r="D42" s="54"/>
      <c r="E42" s="55" t="str">
        <f aca="false">IF(ISNUMBER(C42),CHOOSE(WEEKDAY(C42),"Domingo","Segunda","Terça","Quarta","Quinta","Sexta","Sábado"),"")</f>
        <v/>
      </c>
      <c r="F42" s="55" t="str">
        <f aca="true">IF(NOT(ISNUMBER(C42)),"",IF(C42=TODAY(),"HOJE",IF(C42=TODAY()+1,"AMANHÃ",IF(C42&lt;TODAY(),"Realizada",IF(C42-TODAY()&lt;=7,"Em "&amp;(C42-TODAY())&amp;" dias","Agendada")))))</f>
        <v/>
      </c>
      <c r="G42" s="55" t="str">
        <f aca="false">IF(OR(A42="",NOT(ISNUMBER(C42))),"",IF(COUNTIFS($A$2:$A$301,A42,$C$2:$C$301,C42)&gt;1,"⚠ Folga duplicada",IF(COUNTIFS(FÉRIAS!$A$2:$A$301,A42,FÉRIAS!$C$2:$C$301,"&lt;="&amp;C42,FÉRIAS!$D$2:$D$301,"&gt;="&amp;C42)&gt;0,"⚠ Está de férias nesta data",IF(COUNTIFS(NATAL!$A$2:$A$301,A42,NATAL!$C$2:$C$301,C42,NATAL!$D$2:$D$301,"FOLGA")+COUNTIFS('ANO NOVO'!$A$2:$A$301,A42,'ANO NOVO'!$C$2:$C$301,C42,'ANO NOVO'!$D$2:$D$301,"FOLGA")&gt;0,"⚠ Folga já lançada em NATAL/ANO NOVO",IF(COUNTIFS(NATAL!$A$2:$A$301,A42,NATAL!$C$2:$C$301,C42,NATAL!$D$2:$D$301,"TRABALHA")+COUNTIFS('ANO NOVO'!$A$2:$A$301,A42,'ANO NOVO'!$C$2:$C$301,C42,'ANO NOVO'!$D$2:$D$301,"TRABALHA")&gt;0,"⚠ Marcado TRABALHA em NATAL/ANO NOVO",IF(COUNTIFS($B$2:$B$301,B42,$C$2:$C$301,C42)&gt;1,"⚠ "&amp;COUNTIFS($B$2:$B$301,B42,$C$2:$C$301,C42)&amp;" pessoas do setor de folga no dia",""))))))</f>
        <v/>
      </c>
    </row>
    <row r="43" customFormat="false" ht="15" hidden="false" customHeight="true" outlineLevel="0" collapsed="false">
      <c r="A43" s="54"/>
      <c r="B43" s="54"/>
      <c r="C43" s="53"/>
      <c r="D43" s="54"/>
      <c r="E43" s="55" t="str">
        <f aca="false">IF(ISNUMBER(C43),CHOOSE(WEEKDAY(C43),"Domingo","Segunda","Terça","Quarta","Quinta","Sexta","Sábado"),"")</f>
        <v/>
      </c>
      <c r="F43" s="55" t="str">
        <f aca="true">IF(NOT(ISNUMBER(C43)),"",IF(C43=TODAY(),"HOJE",IF(C43=TODAY()+1,"AMANHÃ",IF(C43&lt;TODAY(),"Realizada",IF(C43-TODAY()&lt;=7,"Em "&amp;(C43-TODAY())&amp;" dias","Agendada")))))</f>
        <v/>
      </c>
      <c r="G43" s="55" t="str">
        <f aca="false">IF(OR(A43="",NOT(ISNUMBER(C43))),"",IF(COUNTIFS($A$2:$A$301,A43,$C$2:$C$301,C43)&gt;1,"⚠ Folga duplicada",IF(COUNTIFS(FÉRIAS!$A$2:$A$301,A43,FÉRIAS!$C$2:$C$301,"&lt;="&amp;C43,FÉRIAS!$D$2:$D$301,"&gt;="&amp;C43)&gt;0,"⚠ Está de férias nesta data",IF(COUNTIFS(NATAL!$A$2:$A$301,A43,NATAL!$C$2:$C$301,C43,NATAL!$D$2:$D$301,"FOLGA")+COUNTIFS('ANO NOVO'!$A$2:$A$301,A43,'ANO NOVO'!$C$2:$C$301,C43,'ANO NOVO'!$D$2:$D$301,"FOLGA")&gt;0,"⚠ Folga já lançada em NATAL/ANO NOVO",IF(COUNTIFS(NATAL!$A$2:$A$301,A43,NATAL!$C$2:$C$301,C43,NATAL!$D$2:$D$301,"TRABALHA")+COUNTIFS('ANO NOVO'!$A$2:$A$301,A43,'ANO NOVO'!$C$2:$C$301,C43,'ANO NOVO'!$D$2:$D$301,"TRABALHA")&gt;0,"⚠ Marcado TRABALHA em NATAL/ANO NOVO",IF(COUNTIFS($B$2:$B$301,B43,$C$2:$C$301,C43)&gt;1,"⚠ "&amp;COUNTIFS($B$2:$B$301,B43,$C$2:$C$301,C43)&amp;" pessoas do setor de folga no dia",""))))))</f>
        <v/>
      </c>
    </row>
    <row r="44" customFormat="false" ht="15" hidden="false" customHeight="true" outlineLevel="0" collapsed="false">
      <c r="A44" s="54"/>
      <c r="B44" s="54"/>
      <c r="C44" s="53"/>
      <c r="D44" s="54"/>
      <c r="E44" s="55" t="str">
        <f aca="false">IF(ISNUMBER(C44),CHOOSE(WEEKDAY(C44),"Domingo","Segunda","Terça","Quarta","Quinta","Sexta","Sábado"),"")</f>
        <v/>
      </c>
      <c r="F44" s="55" t="str">
        <f aca="true">IF(NOT(ISNUMBER(C44)),"",IF(C44=TODAY(),"HOJE",IF(C44=TODAY()+1,"AMANHÃ",IF(C44&lt;TODAY(),"Realizada",IF(C44-TODAY()&lt;=7,"Em "&amp;(C44-TODAY())&amp;" dias","Agendada")))))</f>
        <v/>
      </c>
      <c r="G44" s="55" t="str">
        <f aca="false">IF(OR(A44="",NOT(ISNUMBER(C44))),"",IF(COUNTIFS($A$2:$A$301,A44,$C$2:$C$301,C44)&gt;1,"⚠ Folga duplicada",IF(COUNTIFS(FÉRIAS!$A$2:$A$301,A44,FÉRIAS!$C$2:$C$301,"&lt;="&amp;C44,FÉRIAS!$D$2:$D$301,"&gt;="&amp;C44)&gt;0,"⚠ Está de férias nesta data",IF(COUNTIFS(NATAL!$A$2:$A$301,A44,NATAL!$C$2:$C$301,C44,NATAL!$D$2:$D$301,"FOLGA")+COUNTIFS('ANO NOVO'!$A$2:$A$301,A44,'ANO NOVO'!$C$2:$C$301,C44,'ANO NOVO'!$D$2:$D$301,"FOLGA")&gt;0,"⚠ Folga já lançada em NATAL/ANO NOVO",IF(COUNTIFS(NATAL!$A$2:$A$301,A44,NATAL!$C$2:$C$301,C44,NATAL!$D$2:$D$301,"TRABALHA")+COUNTIFS('ANO NOVO'!$A$2:$A$301,A44,'ANO NOVO'!$C$2:$C$301,C44,'ANO NOVO'!$D$2:$D$301,"TRABALHA")&gt;0,"⚠ Marcado TRABALHA em NATAL/ANO NOVO",IF(COUNTIFS($B$2:$B$301,B44,$C$2:$C$301,C44)&gt;1,"⚠ "&amp;COUNTIFS($B$2:$B$301,B44,$C$2:$C$301,C44)&amp;" pessoas do setor de folga no dia",""))))))</f>
        <v/>
      </c>
    </row>
    <row r="45" customFormat="false" ht="15" hidden="false" customHeight="true" outlineLevel="0" collapsed="false">
      <c r="A45" s="54"/>
      <c r="B45" s="54"/>
      <c r="C45" s="53"/>
      <c r="D45" s="54"/>
      <c r="E45" s="55" t="str">
        <f aca="false">IF(ISNUMBER(C45),CHOOSE(WEEKDAY(C45),"Domingo","Segunda","Terça","Quarta","Quinta","Sexta","Sábado"),"")</f>
        <v/>
      </c>
      <c r="F45" s="55" t="str">
        <f aca="true">IF(NOT(ISNUMBER(C45)),"",IF(C45=TODAY(),"HOJE",IF(C45=TODAY()+1,"AMANHÃ",IF(C45&lt;TODAY(),"Realizada",IF(C45-TODAY()&lt;=7,"Em "&amp;(C45-TODAY())&amp;" dias","Agendada")))))</f>
        <v/>
      </c>
      <c r="G45" s="55" t="str">
        <f aca="false">IF(OR(A45="",NOT(ISNUMBER(C45))),"",IF(COUNTIFS($A$2:$A$301,A45,$C$2:$C$301,C45)&gt;1,"⚠ Folga duplicada",IF(COUNTIFS(FÉRIAS!$A$2:$A$301,A45,FÉRIAS!$C$2:$C$301,"&lt;="&amp;C45,FÉRIAS!$D$2:$D$301,"&gt;="&amp;C45)&gt;0,"⚠ Está de férias nesta data",IF(COUNTIFS(NATAL!$A$2:$A$301,A45,NATAL!$C$2:$C$301,C45,NATAL!$D$2:$D$301,"FOLGA")+COUNTIFS('ANO NOVO'!$A$2:$A$301,A45,'ANO NOVO'!$C$2:$C$301,C45,'ANO NOVO'!$D$2:$D$301,"FOLGA")&gt;0,"⚠ Folga já lançada em NATAL/ANO NOVO",IF(COUNTIFS(NATAL!$A$2:$A$301,A45,NATAL!$C$2:$C$301,C45,NATAL!$D$2:$D$301,"TRABALHA")+COUNTIFS('ANO NOVO'!$A$2:$A$301,A45,'ANO NOVO'!$C$2:$C$301,C45,'ANO NOVO'!$D$2:$D$301,"TRABALHA")&gt;0,"⚠ Marcado TRABALHA em NATAL/ANO NOVO",IF(COUNTIFS($B$2:$B$301,B45,$C$2:$C$301,C45)&gt;1,"⚠ "&amp;COUNTIFS($B$2:$B$301,B45,$C$2:$C$301,C45)&amp;" pessoas do setor de folga no dia",""))))))</f>
        <v/>
      </c>
    </row>
    <row r="46" customFormat="false" ht="15" hidden="false" customHeight="true" outlineLevel="0" collapsed="false">
      <c r="A46" s="54"/>
      <c r="B46" s="54"/>
      <c r="C46" s="53"/>
      <c r="D46" s="54"/>
      <c r="E46" s="55" t="str">
        <f aca="false">IF(ISNUMBER(C46),CHOOSE(WEEKDAY(C46),"Domingo","Segunda","Terça","Quarta","Quinta","Sexta","Sábado"),"")</f>
        <v/>
      </c>
      <c r="F46" s="55" t="str">
        <f aca="true">IF(NOT(ISNUMBER(C46)),"",IF(C46=TODAY(),"HOJE",IF(C46=TODAY()+1,"AMANHÃ",IF(C46&lt;TODAY(),"Realizada",IF(C46-TODAY()&lt;=7,"Em "&amp;(C46-TODAY())&amp;" dias","Agendada")))))</f>
        <v/>
      </c>
      <c r="G46" s="55" t="str">
        <f aca="false">IF(OR(A46="",NOT(ISNUMBER(C46))),"",IF(COUNTIFS($A$2:$A$301,A46,$C$2:$C$301,C46)&gt;1,"⚠ Folga duplicada",IF(COUNTIFS(FÉRIAS!$A$2:$A$301,A46,FÉRIAS!$C$2:$C$301,"&lt;="&amp;C46,FÉRIAS!$D$2:$D$301,"&gt;="&amp;C46)&gt;0,"⚠ Está de férias nesta data",IF(COUNTIFS(NATAL!$A$2:$A$301,A46,NATAL!$C$2:$C$301,C46,NATAL!$D$2:$D$301,"FOLGA")+COUNTIFS('ANO NOVO'!$A$2:$A$301,A46,'ANO NOVO'!$C$2:$C$301,C46,'ANO NOVO'!$D$2:$D$301,"FOLGA")&gt;0,"⚠ Folga já lançada em NATAL/ANO NOVO",IF(COUNTIFS(NATAL!$A$2:$A$301,A46,NATAL!$C$2:$C$301,C46,NATAL!$D$2:$D$301,"TRABALHA")+COUNTIFS('ANO NOVO'!$A$2:$A$301,A46,'ANO NOVO'!$C$2:$C$301,C46,'ANO NOVO'!$D$2:$D$301,"TRABALHA")&gt;0,"⚠ Marcado TRABALHA em NATAL/ANO NOVO",IF(COUNTIFS($B$2:$B$301,B46,$C$2:$C$301,C46)&gt;1,"⚠ "&amp;COUNTIFS($B$2:$B$301,B46,$C$2:$C$301,C46)&amp;" pessoas do setor de folga no dia",""))))))</f>
        <v/>
      </c>
    </row>
    <row r="47" customFormat="false" ht="15" hidden="false" customHeight="true" outlineLevel="0" collapsed="false">
      <c r="A47" s="54"/>
      <c r="B47" s="54"/>
      <c r="C47" s="53"/>
      <c r="D47" s="54"/>
      <c r="E47" s="55" t="str">
        <f aca="false">IF(ISNUMBER(C47),CHOOSE(WEEKDAY(C47),"Domingo","Segunda","Terça","Quarta","Quinta","Sexta","Sábado"),"")</f>
        <v/>
      </c>
      <c r="F47" s="55" t="str">
        <f aca="true">IF(NOT(ISNUMBER(C47)),"",IF(C47=TODAY(),"HOJE",IF(C47=TODAY()+1,"AMANHÃ",IF(C47&lt;TODAY(),"Realizada",IF(C47-TODAY()&lt;=7,"Em "&amp;(C47-TODAY())&amp;" dias","Agendada")))))</f>
        <v/>
      </c>
      <c r="G47" s="55" t="str">
        <f aca="false">IF(OR(A47="",NOT(ISNUMBER(C47))),"",IF(COUNTIFS($A$2:$A$301,A47,$C$2:$C$301,C47)&gt;1,"⚠ Folga duplicada",IF(COUNTIFS(FÉRIAS!$A$2:$A$301,A47,FÉRIAS!$C$2:$C$301,"&lt;="&amp;C47,FÉRIAS!$D$2:$D$301,"&gt;="&amp;C47)&gt;0,"⚠ Está de férias nesta data",IF(COUNTIFS(NATAL!$A$2:$A$301,A47,NATAL!$C$2:$C$301,C47,NATAL!$D$2:$D$301,"FOLGA")+COUNTIFS('ANO NOVO'!$A$2:$A$301,A47,'ANO NOVO'!$C$2:$C$301,C47,'ANO NOVO'!$D$2:$D$301,"FOLGA")&gt;0,"⚠ Folga já lançada em NATAL/ANO NOVO",IF(COUNTIFS(NATAL!$A$2:$A$301,A47,NATAL!$C$2:$C$301,C47,NATAL!$D$2:$D$301,"TRABALHA")+COUNTIFS('ANO NOVO'!$A$2:$A$301,A47,'ANO NOVO'!$C$2:$C$301,C47,'ANO NOVO'!$D$2:$D$301,"TRABALHA")&gt;0,"⚠ Marcado TRABALHA em NATAL/ANO NOVO",IF(COUNTIFS($B$2:$B$301,B47,$C$2:$C$301,C47)&gt;1,"⚠ "&amp;COUNTIFS($B$2:$B$301,B47,$C$2:$C$301,C47)&amp;" pessoas do setor de folga no dia",""))))))</f>
        <v/>
      </c>
    </row>
    <row r="48" customFormat="false" ht="15" hidden="false" customHeight="true" outlineLevel="0" collapsed="false">
      <c r="A48" s="54"/>
      <c r="B48" s="54"/>
      <c r="C48" s="53"/>
      <c r="D48" s="54"/>
      <c r="E48" s="55" t="str">
        <f aca="false">IF(ISNUMBER(C48),CHOOSE(WEEKDAY(C48),"Domingo","Segunda","Terça","Quarta","Quinta","Sexta","Sábado"),"")</f>
        <v/>
      </c>
      <c r="F48" s="55" t="str">
        <f aca="true">IF(NOT(ISNUMBER(C48)),"",IF(C48=TODAY(),"HOJE",IF(C48=TODAY()+1,"AMANHÃ",IF(C48&lt;TODAY(),"Realizada",IF(C48-TODAY()&lt;=7,"Em "&amp;(C48-TODAY())&amp;" dias","Agendada")))))</f>
        <v/>
      </c>
      <c r="G48" s="55" t="str">
        <f aca="false">IF(OR(A48="",NOT(ISNUMBER(C48))),"",IF(COUNTIFS($A$2:$A$301,A48,$C$2:$C$301,C48)&gt;1,"⚠ Folga duplicada",IF(COUNTIFS(FÉRIAS!$A$2:$A$301,A48,FÉRIAS!$C$2:$C$301,"&lt;="&amp;C48,FÉRIAS!$D$2:$D$301,"&gt;="&amp;C48)&gt;0,"⚠ Está de férias nesta data",IF(COUNTIFS(NATAL!$A$2:$A$301,A48,NATAL!$C$2:$C$301,C48,NATAL!$D$2:$D$301,"FOLGA")+COUNTIFS('ANO NOVO'!$A$2:$A$301,A48,'ANO NOVO'!$C$2:$C$301,C48,'ANO NOVO'!$D$2:$D$301,"FOLGA")&gt;0,"⚠ Folga já lançada em NATAL/ANO NOVO",IF(COUNTIFS(NATAL!$A$2:$A$301,A48,NATAL!$C$2:$C$301,C48,NATAL!$D$2:$D$301,"TRABALHA")+COUNTIFS('ANO NOVO'!$A$2:$A$301,A48,'ANO NOVO'!$C$2:$C$301,C48,'ANO NOVO'!$D$2:$D$301,"TRABALHA")&gt;0,"⚠ Marcado TRABALHA em NATAL/ANO NOVO",IF(COUNTIFS($B$2:$B$301,B48,$C$2:$C$301,C48)&gt;1,"⚠ "&amp;COUNTIFS($B$2:$B$301,B48,$C$2:$C$301,C48)&amp;" pessoas do setor de folga no dia",""))))))</f>
        <v/>
      </c>
    </row>
    <row r="49" customFormat="false" ht="15" hidden="false" customHeight="true" outlineLevel="0" collapsed="false">
      <c r="A49" s="54"/>
      <c r="B49" s="54"/>
      <c r="C49" s="53"/>
      <c r="D49" s="54"/>
      <c r="E49" s="55" t="str">
        <f aca="false">IF(ISNUMBER(C49),CHOOSE(WEEKDAY(C49),"Domingo","Segunda","Terça","Quarta","Quinta","Sexta","Sábado"),"")</f>
        <v/>
      </c>
      <c r="F49" s="55" t="str">
        <f aca="true">IF(NOT(ISNUMBER(C49)),"",IF(C49=TODAY(),"HOJE",IF(C49=TODAY()+1,"AMANHÃ",IF(C49&lt;TODAY(),"Realizada",IF(C49-TODAY()&lt;=7,"Em "&amp;(C49-TODAY())&amp;" dias","Agendada")))))</f>
        <v/>
      </c>
      <c r="G49" s="55" t="str">
        <f aca="false">IF(OR(A49="",NOT(ISNUMBER(C49))),"",IF(COUNTIFS($A$2:$A$301,A49,$C$2:$C$301,C49)&gt;1,"⚠ Folga duplicada",IF(COUNTIFS(FÉRIAS!$A$2:$A$301,A49,FÉRIAS!$C$2:$C$301,"&lt;="&amp;C49,FÉRIAS!$D$2:$D$301,"&gt;="&amp;C49)&gt;0,"⚠ Está de férias nesta data",IF(COUNTIFS(NATAL!$A$2:$A$301,A49,NATAL!$C$2:$C$301,C49,NATAL!$D$2:$D$301,"FOLGA")+COUNTIFS('ANO NOVO'!$A$2:$A$301,A49,'ANO NOVO'!$C$2:$C$301,C49,'ANO NOVO'!$D$2:$D$301,"FOLGA")&gt;0,"⚠ Folga já lançada em NATAL/ANO NOVO",IF(COUNTIFS(NATAL!$A$2:$A$301,A49,NATAL!$C$2:$C$301,C49,NATAL!$D$2:$D$301,"TRABALHA")+COUNTIFS('ANO NOVO'!$A$2:$A$301,A49,'ANO NOVO'!$C$2:$C$301,C49,'ANO NOVO'!$D$2:$D$301,"TRABALHA")&gt;0,"⚠ Marcado TRABALHA em NATAL/ANO NOVO",IF(COUNTIFS($B$2:$B$301,B49,$C$2:$C$301,C49)&gt;1,"⚠ "&amp;COUNTIFS($B$2:$B$301,B49,$C$2:$C$301,C49)&amp;" pessoas do setor de folga no dia",""))))))</f>
        <v/>
      </c>
    </row>
    <row r="50" customFormat="false" ht="15" hidden="false" customHeight="true" outlineLevel="0" collapsed="false">
      <c r="A50" s="54"/>
      <c r="B50" s="54"/>
      <c r="C50" s="53"/>
      <c r="D50" s="54"/>
      <c r="E50" s="55" t="str">
        <f aca="false">IF(ISNUMBER(C50),CHOOSE(WEEKDAY(C50),"Domingo","Segunda","Terça","Quarta","Quinta","Sexta","Sábado"),"")</f>
        <v/>
      </c>
      <c r="F50" s="55" t="str">
        <f aca="true">IF(NOT(ISNUMBER(C50)),"",IF(C50=TODAY(),"HOJE",IF(C50=TODAY()+1,"AMANHÃ",IF(C50&lt;TODAY(),"Realizada",IF(C50-TODAY()&lt;=7,"Em "&amp;(C50-TODAY())&amp;" dias","Agendada")))))</f>
        <v/>
      </c>
      <c r="G50" s="55" t="str">
        <f aca="false">IF(OR(A50="",NOT(ISNUMBER(C50))),"",IF(COUNTIFS($A$2:$A$301,A50,$C$2:$C$301,C50)&gt;1,"⚠ Folga duplicada",IF(COUNTIFS(FÉRIAS!$A$2:$A$301,A50,FÉRIAS!$C$2:$C$301,"&lt;="&amp;C50,FÉRIAS!$D$2:$D$301,"&gt;="&amp;C50)&gt;0,"⚠ Está de férias nesta data",IF(COUNTIFS(NATAL!$A$2:$A$301,A50,NATAL!$C$2:$C$301,C50,NATAL!$D$2:$D$301,"FOLGA")+COUNTIFS('ANO NOVO'!$A$2:$A$301,A50,'ANO NOVO'!$C$2:$C$301,C50,'ANO NOVO'!$D$2:$D$301,"FOLGA")&gt;0,"⚠ Folga já lançada em NATAL/ANO NOVO",IF(COUNTIFS(NATAL!$A$2:$A$301,A50,NATAL!$C$2:$C$301,C50,NATAL!$D$2:$D$301,"TRABALHA")+COUNTIFS('ANO NOVO'!$A$2:$A$301,A50,'ANO NOVO'!$C$2:$C$301,C50,'ANO NOVO'!$D$2:$D$301,"TRABALHA")&gt;0,"⚠ Marcado TRABALHA em NATAL/ANO NOVO",IF(COUNTIFS($B$2:$B$301,B50,$C$2:$C$301,C50)&gt;1,"⚠ "&amp;COUNTIFS($B$2:$B$301,B50,$C$2:$C$301,C50)&amp;" pessoas do setor de folga no dia",""))))))</f>
        <v/>
      </c>
    </row>
    <row r="51" customFormat="false" ht="15" hidden="false" customHeight="true" outlineLevel="0" collapsed="false">
      <c r="A51" s="54"/>
      <c r="B51" s="54"/>
      <c r="C51" s="53"/>
      <c r="D51" s="54"/>
      <c r="E51" s="55" t="str">
        <f aca="false">IF(ISNUMBER(C51),CHOOSE(WEEKDAY(C51),"Domingo","Segunda","Terça","Quarta","Quinta","Sexta","Sábado"),"")</f>
        <v/>
      </c>
      <c r="F51" s="55" t="str">
        <f aca="true">IF(NOT(ISNUMBER(C51)),"",IF(C51=TODAY(),"HOJE",IF(C51=TODAY()+1,"AMANHÃ",IF(C51&lt;TODAY(),"Realizada",IF(C51-TODAY()&lt;=7,"Em "&amp;(C51-TODAY())&amp;" dias","Agendada")))))</f>
        <v/>
      </c>
      <c r="G51" s="55" t="str">
        <f aca="false">IF(OR(A51="",NOT(ISNUMBER(C51))),"",IF(COUNTIFS($A$2:$A$301,A51,$C$2:$C$301,C51)&gt;1,"⚠ Folga duplicada",IF(COUNTIFS(FÉRIAS!$A$2:$A$301,A51,FÉRIAS!$C$2:$C$301,"&lt;="&amp;C51,FÉRIAS!$D$2:$D$301,"&gt;="&amp;C51)&gt;0,"⚠ Está de férias nesta data",IF(COUNTIFS(NATAL!$A$2:$A$301,A51,NATAL!$C$2:$C$301,C51,NATAL!$D$2:$D$301,"FOLGA")+COUNTIFS('ANO NOVO'!$A$2:$A$301,A51,'ANO NOVO'!$C$2:$C$301,C51,'ANO NOVO'!$D$2:$D$301,"FOLGA")&gt;0,"⚠ Folga já lançada em NATAL/ANO NOVO",IF(COUNTIFS(NATAL!$A$2:$A$301,A51,NATAL!$C$2:$C$301,C51,NATAL!$D$2:$D$301,"TRABALHA")+COUNTIFS('ANO NOVO'!$A$2:$A$301,A51,'ANO NOVO'!$C$2:$C$301,C51,'ANO NOVO'!$D$2:$D$301,"TRABALHA")&gt;0,"⚠ Marcado TRABALHA em NATAL/ANO NOVO",IF(COUNTIFS($B$2:$B$301,B51,$C$2:$C$301,C51)&gt;1,"⚠ "&amp;COUNTIFS($B$2:$B$301,B51,$C$2:$C$301,C51)&amp;" pessoas do setor de folga no dia",""))))))</f>
        <v/>
      </c>
    </row>
    <row r="52" customFormat="false" ht="15" hidden="false" customHeight="true" outlineLevel="0" collapsed="false">
      <c r="A52" s="54"/>
      <c r="B52" s="54"/>
      <c r="C52" s="53"/>
      <c r="D52" s="54"/>
      <c r="E52" s="55" t="str">
        <f aca="false">IF(ISNUMBER(C52),CHOOSE(WEEKDAY(C52),"Domingo","Segunda","Terça","Quarta","Quinta","Sexta","Sábado"),"")</f>
        <v/>
      </c>
      <c r="F52" s="55" t="str">
        <f aca="true">IF(NOT(ISNUMBER(C52)),"",IF(C52=TODAY(),"HOJE",IF(C52=TODAY()+1,"AMANHÃ",IF(C52&lt;TODAY(),"Realizada",IF(C52-TODAY()&lt;=7,"Em "&amp;(C52-TODAY())&amp;" dias","Agendada")))))</f>
        <v/>
      </c>
      <c r="G52" s="55" t="str">
        <f aca="false">IF(OR(A52="",NOT(ISNUMBER(C52))),"",IF(COUNTIFS($A$2:$A$301,A52,$C$2:$C$301,C52)&gt;1,"⚠ Folga duplicada",IF(COUNTIFS(FÉRIAS!$A$2:$A$301,A52,FÉRIAS!$C$2:$C$301,"&lt;="&amp;C52,FÉRIAS!$D$2:$D$301,"&gt;="&amp;C52)&gt;0,"⚠ Está de férias nesta data",IF(COUNTIFS(NATAL!$A$2:$A$301,A52,NATAL!$C$2:$C$301,C52,NATAL!$D$2:$D$301,"FOLGA")+COUNTIFS('ANO NOVO'!$A$2:$A$301,A52,'ANO NOVO'!$C$2:$C$301,C52,'ANO NOVO'!$D$2:$D$301,"FOLGA")&gt;0,"⚠ Folga já lançada em NATAL/ANO NOVO",IF(COUNTIFS(NATAL!$A$2:$A$301,A52,NATAL!$C$2:$C$301,C52,NATAL!$D$2:$D$301,"TRABALHA")+COUNTIFS('ANO NOVO'!$A$2:$A$301,A52,'ANO NOVO'!$C$2:$C$301,C52,'ANO NOVO'!$D$2:$D$301,"TRABALHA")&gt;0,"⚠ Marcado TRABALHA em NATAL/ANO NOVO",IF(COUNTIFS($B$2:$B$301,B52,$C$2:$C$301,C52)&gt;1,"⚠ "&amp;COUNTIFS($B$2:$B$301,B52,$C$2:$C$301,C52)&amp;" pessoas do setor de folga no dia",""))))))</f>
        <v/>
      </c>
    </row>
    <row r="53" customFormat="false" ht="15" hidden="false" customHeight="true" outlineLevel="0" collapsed="false">
      <c r="A53" s="54"/>
      <c r="B53" s="54"/>
      <c r="C53" s="53"/>
      <c r="D53" s="54"/>
      <c r="E53" s="55" t="str">
        <f aca="false">IF(ISNUMBER(C53),CHOOSE(WEEKDAY(C53),"Domingo","Segunda","Terça","Quarta","Quinta","Sexta","Sábado"),"")</f>
        <v/>
      </c>
      <c r="F53" s="55" t="str">
        <f aca="true">IF(NOT(ISNUMBER(C53)),"",IF(C53=TODAY(),"HOJE",IF(C53=TODAY()+1,"AMANHÃ",IF(C53&lt;TODAY(),"Realizada",IF(C53-TODAY()&lt;=7,"Em "&amp;(C53-TODAY())&amp;" dias","Agendada")))))</f>
        <v/>
      </c>
      <c r="G53" s="55" t="str">
        <f aca="false">IF(OR(A53="",NOT(ISNUMBER(C53))),"",IF(COUNTIFS($A$2:$A$301,A53,$C$2:$C$301,C53)&gt;1,"⚠ Folga duplicada",IF(COUNTIFS(FÉRIAS!$A$2:$A$301,A53,FÉRIAS!$C$2:$C$301,"&lt;="&amp;C53,FÉRIAS!$D$2:$D$301,"&gt;="&amp;C53)&gt;0,"⚠ Está de férias nesta data",IF(COUNTIFS(NATAL!$A$2:$A$301,A53,NATAL!$C$2:$C$301,C53,NATAL!$D$2:$D$301,"FOLGA")+COUNTIFS('ANO NOVO'!$A$2:$A$301,A53,'ANO NOVO'!$C$2:$C$301,C53,'ANO NOVO'!$D$2:$D$301,"FOLGA")&gt;0,"⚠ Folga já lançada em NATAL/ANO NOVO",IF(COUNTIFS(NATAL!$A$2:$A$301,A53,NATAL!$C$2:$C$301,C53,NATAL!$D$2:$D$301,"TRABALHA")+COUNTIFS('ANO NOVO'!$A$2:$A$301,A53,'ANO NOVO'!$C$2:$C$301,C53,'ANO NOVO'!$D$2:$D$301,"TRABALHA")&gt;0,"⚠ Marcado TRABALHA em NATAL/ANO NOVO",IF(COUNTIFS($B$2:$B$301,B53,$C$2:$C$301,C53)&gt;1,"⚠ "&amp;COUNTIFS($B$2:$B$301,B53,$C$2:$C$301,C53)&amp;" pessoas do setor de folga no dia",""))))))</f>
        <v/>
      </c>
    </row>
    <row r="54" customFormat="false" ht="15" hidden="false" customHeight="true" outlineLevel="0" collapsed="false">
      <c r="A54" s="54"/>
      <c r="B54" s="54"/>
      <c r="C54" s="53"/>
      <c r="D54" s="54"/>
      <c r="E54" s="55" t="str">
        <f aca="false">IF(ISNUMBER(C54),CHOOSE(WEEKDAY(C54),"Domingo","Segunda","Terça","Quarta","Quinta","Sexta","Sábado"),"")</f>
        <v/>
      </c>
      <c r="F54" s="55" t="str">
        <f aca="true">IF(NOT(ISNUMBER(C54)),"",IF(C54=TODAY(),"HOJE",IF(C54=TODAY()+1,"AMANHÃ",IF(C54&lt;TODAY(),"Realizada",IF(C54-TODAY()&lt;=7,"Em "&amp;(C54-TODAY())&amp;" dias","Agendada")))))</f>
        <v/>
      </c>
      <c r="G54" s="55" t="str">
        <f aca="false">IF(OR(A54="",NOT(ISNUMBER(C54))),"",IF(COUNTIFS($A$2:$A$301,A54,$C$2:$C$301,C54)&gt;1,"⚠ Folga duplicada",IF(COUNTIFS(FÉRIAS!$A$2:$A$301,A54,FÉRIAS!$C$2:$C$301,"&lt;="&amp;C54,FÉRIAS!$D$2:$D$301,"&gt;="&amp;C54)&gt;0,"⚠ Está de férias nesta data",IF(COUNTIFS(NATAL!$A$2:$A$301,A54,NATAL!$C$2:$C$301,C54,NATAL!$D$2:$D$301,"FOLGA")+COUNTIFS('ANO NOVO'!$A$2:$A$301,A54,'ANO NOVO'!$C$2:$C$301,C54,'ANO NOVO'!$D$2:$D$301,"FOLGA")&gt;0,"⚠ Folga já lançada em NATAL/ANO NOVO",IF(COUNTIFS(NATAL!$A$2:$A$301,A54,NATAL!$C$2:$C$301,C54,NATAL!$D$2:$D$301,"TRABALHA")+COUNTIFS('ANO NOVO'!$A$2:$A$301,A54,'ANO NOVO'!$C$2:$C$301,C54,'ANO NOVO'!$D$2:$D$301,"TRABALHA")&gt;0,"⚠ Marcado TRABALHA em NATAL/ANO NOVO",IF(COUNTIFS($B$2:$B$301,B54,$C$2:$C$301,C54)&gt;1,"⚠ "&amp;COUNTIFS($B$2:$B$301,B54,$C$2:$C$301,C54)&amp;" pessoas do setor de folga no dia",""))))))</f>
        <v/>
      </c>
    </row>
    <row r="55" customFormat="false" ht="15" hidden="false" customHeight="true" outlineLevel="0" collapsed="false">
      <c r="A55" s="54"/>
      <c r="B55" s="54"/>
      <c r="C55" s="53"/>
      <c r="D55" s="54"/>
      <c r="E55" s="55" t="str">
        <f aca="false">IF(ISNUMBER(C55),CHOOSE(WEEKDAY(C55),"Domingo","Segunda","Terça","Quarta","Quinta","Sexta","Sábado"),"")</f>
        <v/>
      </c>
      <c r="F55" s="55" t="str">
        <f aca="true">IF(NOT(ISNUMBER(C55)),"",IF(C55=TODAY(),"HOJE",IF(C55=TODAY()+1,"AMANHÃ",IF(C55&lt;TODAY(),"Realizada",IF(C55-TODAY()&lt;=7,"Em "&amp;(C55-TODAY())&amp;" dias","Agendada")))))</f>
        <v/>
      </c>
      <c r="G55" s="55" t="str">
        <f aca="false">IF(OR(A55="",NOT(ISNUMBER(C55))),"",IF(COUNTIFS($A$2:$A$301,A55,$C$2:$C$301,C55)&gt;1,"⚠ Folga duplicada",IF(COUNTIFS(FÉRIAS!$A$2:$A$301,A55,FÉRIAS!$C$2:$C$301,"&lt;="&amp;C55,FÉRIAS!$D$2:$D$301,"&gt;="&amp;C55)&gt;0,"⚠ Está de férias nesta data",IF(COUNTIFS(NATAL!$A$2:$A$301,A55,NATAL!$C$2:$C$301,C55,NATAL!$D$2:$D$301,"FOLGA")+COUNTIFS('ANO NOVO'!$A$2:$A$301,A55,'ANO NOVO'!$C$2:$C$301,C55,'ANO NOVO'!$D$2:$D$301,"FOLGA")&gt;0,"⚠ Folga já lançada em NATAL/ANO NOVO",IF(COUNTIFS(NATAL!$A$2:$A$301,A55,NATAL!$C$2:$C$301,C55,NATAL!$D$2:$D$301,"TRABALHA")+COUNTIFS('ANO NOVO'!$A$2:$A$301,A55,'ANO NOVO'!$C$2:$C$301,C55,'ANO NOVO'!$D$2:$D$301,"TRABALHA")&gt;0,"⚠ Marcado TRABALHA em NATAL/ANO NOVO",IF(COUNTIFS($B$2:$B$301,B55,$C$2:$C$301,C55)&gt;1,"⚠ "&amp;COUNTIFS($B$2:$B$301,B55,$C$2:$C$301,C55)&amp;" pessoas do setor de folga no dia",""))))))</f>
        <v/>
      </c>
    </row>
    <row r="56" customFormat="false" ht="15" hidden="false" customHeight="true" outlineLevel="0" collapsed="false">
      <c r="A56" s="54"/>
      <c r="B56" s="54"/>
      <c r="C56" s="53"/>
      <c r="D56" s="54"/>
      <c r="E56" s="55" t="str">
        <f aca="false">IF(ISNUMBER(C56),CHOOSE(WEEKDAY(C56),"Domingo","Segunda","Terça","Quarta","Quinta","Sexta","Sábado"),"")</f>
        <v/>
      </c>
      <c r="F56" s="55" t="str">
        <f aca="true">IF(NOT(ISNUMBER(C56)),"",IF(C56=TODAY(),"HOJE",IF(C56=TODAY()+1,"AMANHÃ",IF(C56&lt;TODAY(),"Realizada",IF(C56-TODAY()&lt;=7,"Em "&amp;(C56-TODAY())&amp;" dias","Agendada")))))</f>
        <v/>
      </c>
      <c r="G56" s="55" t="str">
        <f aca="false">IF(OR(A56="",NOT(ISNUMBER(C56))),"",IF(COUNTIFS($A$2:$A$301,A56,$C$2:$C$301,C56)&gt;1,"⚠ Folga duplicada",IF(COUNTIFS(FÉRIAS!$A$2:$A$301,A56,FÉRIAS!$C$2:$C$301,"&lt;="&amp;C56,FÉRIAS!$D$2:$D$301,"&gt;="&amp;C56)&gt;0,"⚠ Está de férias nesta data",IF(COUNTIFS(NATAL!$A$2:$A$301,A56,NATAL!$C$2:$C$301,C56,NATAL!$D$2:$D$301,"FOLGA")+COUNTIFS('ANO NOVO'!$A$2:$A$301,A56,'ANO NOVO'!$C$2:$C$301,C56,'ANO NOVO'!$D$2:$D$301,"FOLGA")&gt;0,"⚠ Folga já lançada em NATAL/ANO NOVO",IF(COUNTIFS(NATAL!$A$2:$A$301,A56,NATAL!$C$2:$C$301,C56,NATAL!$D$2:$D$301,"TRABALHA")+COUNTIFS('ANO NOVO'!$A$2:$A$301,A56,'ANO NOVO'!$C$2:$C$301,C56,'ANO NOVO'!$D$2:$D$301,"TRABALHA")&gt;0,"⚠ Marcado TRABALHA em NATAL/ANO NOVO",IF(COUNTIFS($B$2:$B$301,B56,$C$2:$C$301,C56)&gt;1,"⚠ "&amp;COUNTIFS($B$2:$B$301,B56,$C$2:$C$301,C56)&amp;" pessoas do setor de folga no dia",""))))))</f>
        <v/>
      </c>
    </row>
    <row r="57" customFormat="false" ht="15" hidden="false" customHeight="true" outlineLevel="0" collapsed="false">
      <c r="A57" s="54"/>
      <c r="B57" s="54"/>
      <c r="C57" s="53"/>
      <c r="D57" s="54"/>
      <c r="E57" s="55" t="str">
        <f aca="false">IF(ISNUMBER(C57),CHOOSE(WEEKDAY(C57),"Domingo","Segunda","Terça","Quarta","Quinta","Sexta","Sábado"),"")</f>
        <v/>
      </c>
      <c r="F57" s="55" t="str">
        <f aca="true">IF(NOT(ISNUMBER(C57)),"",IF(C57=TODAY(),"HOJE",IF(C57=TODAY()+1,"AMANHÃ",IF(C57&lt;TODAY(),"Realizada",IF(C57-TODAY()&lt;=7,"Em "&amp;(C57-TODAY())&amp;" dias","Agendada")))))</f>
        <v/>
      </c>
      <c r="G57" s="55" t="str">
        <f aca="false">IF(OR(A57="",NOT(ISNUMBER(C57))),"",IF(COUNTIFS($A$2:$A$301,A57,$C$2:$C$301,C57)&gt;1,"⚠ Folga duplicada",IF(COUNTIFS(FÉRIAS!$A$2:$A$301,A57,FÉRIAS!$C$2:$C$301,"&lt;="&amp;C57,FÉRIAS!$D$2:$D$301,"&gt;="&amp;C57)&gt;0,"⚠ Está de férias nesta data",IF(COUNTIFS(NATAL!$A$2:$A$301,A57,NATAL!$C$2:$C$301,C57,NATAL!$D$2:$D$301,"FOLGA")+COUNTIFS('ANO NOVO'!$A$2:$A$301,A57,'ANO NOVO'!$C$2:$C$301,C57,'ANO NOVO'!$D$2:$D$301,"FOLGA")&gt;0,"⚠ Folga já lançada em NATAL/ANO NOVO",IF(COUNTIFS(NATAL!$A$2:$A$301,A57,NATAL!$C$2:$C$301,C57,NATAL!$D$2:$D$301,"TRABALHA")+COUNTIFS('ANO NOVO'!$A$2:$A$301,A57,'ANO NOVO'!$C$2:$C$301,C57,'ANO NOVO'!$D$2:$D$301,"TRABALHA")&gt;0,"⚠ Marcado TRABALHA em NATAL/ANO NOVO",IF(COUNTIFS($B$2:$B$301,B57,$C$2:$C$301,C57)&gt;1,"⚠ "&amp;COUNTIFS($B$2:$B$301,B57,$C$2:$C$301,C57)&amp;" pessoas do setor de folga no dia",""))))))</f>
        <v/>
      </c>
    </row>
    <row r="58" customFormat="false" ht="15" hidden="false" customHeight="true" outlineLevel="0" collapsed="false">
      <c r="A58" s="54"/>
      <c r="B58" s="54"/>
      <c r="C58" s="53"/>
      <c r="D58" s="54"/>
      <c r="E58" s="55" t="str">
        <f aca="false">IF(ISNUMBER(C58),CHOOSE(WEEKDAY(C58),"Domingo","Segunda","Terça","Quarta","Quinta","Sexta","Sábado"),"")</f>
        <v/>
      </c>
      <c r="F58" s="55" t="str">
        <f aca="true">IF(NOT(ISNUMBER(C58)),"",IF(C58=TODAY(),"HOJE",IF(C58=TODAY()+1,"AMANHÃ",IF(C58&lt;TODAY(),"Realizada",IF(C58-TODAY()&lt;=7,"Em "&amp;(C58-TODAY())&amp;" dias","Agendada")))))</f>
        <v/>
      </c>
      <c r="G58" s="55" t="str">
        <f aca="false">IF(OR(A58="",NOT(ISNUMBER(C58))),"",IF(COUNTIFS($A$2:$A$301,A58,$C$2:$C$301,C58)&gt;1,"⚠ Folga duplicada",IF(COUNTIFS(FÉRIAS!$A$2:$A$301,A58,FÉRIAS!$C$2:$C$301,"&lt;="&amp;C58,FÉRIAS!$D$2:$D$301,"&gt;="&amp;C58)&gt;0,"⚠ Está de férias nesta data",IF(COUNTIFS(NATAL!$A$2:$A$301,A58,NATAL!$C$2:$C$301,C58,NATAL!$D$2:$D$301,"FOLGA")+COUNTIFS('ANO NOVO'!$A$2:$A$301,A58,'ANO NOVO'!$C$2:$C$301,C58,'ANO NOVO'!$D$2:$D$301,"FOLGA")&gt;0,"⚠ Folga já lançada em NATAL/ANO NOVO",IF(COUNTIFS(NATAL!$A$2:$A$301,A58,NATAL!$C$2:$C$301,C58,NATAL!$D$2:$D$301,"TRABALHA")+COUNTIFS('ANO NOVO'!$A$2:$A$301,A58,'ANO NOVO'!$C$2:$C$301,C58,'ANO NOVO'!$D$2:$D$301,"TRABALHA")&gt;0,"⚠ Marcado TRABALHA em NATAL/ANO NOVO",IF(COUNTIFS($B$2:$B$301,B58,$C$2:$C$301,C58)&gt;1,"⚠ "&amp;COUNTIFS($B$2:$B$301,B58,$C$2:$C$301,C58)&amp;" pessoas do setor de folga no dia",""))))))</f>
        <v/>
      </c>
    </row>
    <row r="59" customFormat="false" ht="15" hidden="false" customHeight="true" outlineLevel="0" collapsed="false">
      <c r="A59" s="54"/>
      <c r="B59" s="54"/>
      <c r="C59" s="53"/>
      <c r="D59" s="54"/>
      <c r="E59" s="55" t="str">
        <f aca="false">IF(ISNUMBER(C59),CHOOSE(WEEKDAY(C59),"Domingo","Segunda","Terça","Quarta","Quinta","Sexta","Sábado"),"")</f>
        <v/>
      </c>
      <c r="F59" s="55" t="str">
        <f aca="true">IF(NOT(ISNUMBER(C59)),"",IF(C59=TODAY(),"HOJE",IF(C59=TODAY()+1,"AMANHÃ",IF(C59&lt;TODAY(),"Realizada",IF(C59-TODAY()&lt;=7,"Em "&amp;(C59-TODAY())&amp;" dias","Agendada")))))</f>
        <v/>
      </c>
      <c r="G59" s="55" t="str">
        <f aca="false">IF(OR(A59="",NOT(ISNUMBER(C59))),"",IF(COUNTIFS($A$2:$A$301,A59,$C$2:$C$301,C59)&gt;1,"⚠ Folga duplicada",IF(COUNTIFS(FÉRIAS!$A$2:$A$301,A59,FÉRIAS!$C$2:$C$301,"&lt;="&amp;C59,FÉRIAS!$D$2:$D$301,"&gt;="&amp;C59)&gt;0,"⚠ Está de férias nesta data",IF(COUNTIFS(NATAL!$A$2:$A$301,A59,NATAL!$C$2:$C$301,C59,NATAL!$D$2:$D$301,"FOLGA")+COUNTIFS('ANO NOVO'!$A$2:$A$301,A59,'ANO NOVO'!$C$2:$C$301,C59,'ANO NOVO'!$D$2:$D$301,"FOLGA")&gt;0,"⚠ Folga já lançada em NATAL/ANO NOVO",IF(COUNTIFS(NATAL!$A$2:$A$301,A59,NATAL!$C$2:$C$301,C59,NATAL!$D$2:$D$301,"TRABALHA")+COUNTIFS('ANO NOVO'!$A$2:$A$301,A59,'ANO NOVO'!$C$2:$C$301,C59,'ANO NOVO'!$D$2:$D$301,"TRABALHA")&gt;0,"⚠ Marcado TRABALHA em NATAL/ANO NOVO",IF(COUNTIFS($B$2:$B$301,B59,$C$2:$C$301,C59)&gt;1,"⚠ "&amp;COUNTIFS($B$2:$B$301,B59,$C$2:$C$301,C59)&amp;" pessoas do setor de folga no dia",""))))))</f>
        <v/>
      </c>
    </row>
    <row r="60" customFormat="false" ht="15" hidden="false" customHeight="true" outlineLevel="0" collapsed="false">
      <c r="A60" s="54"/>
      <c r="B60" s="54"/>
      <c r="C60" s="53"/>
      <c r="D60" s="54"/>
      <c r="E60" s="55" t="str">
        <f aca="false">IF(ISNUMBER(C60),CHOOSE(WEEKDAY(C60),"Domingo","Segunda","Terça","Quarta","Quinta","Sexta","Sábado"),"")</f>
        <v/>
      </c>
      <c r="F60" s="55" t="str">
        <f aca="true">IF(NOT(ISNUMBER(C60)),"",IF(C60=TODAY(),"HOJE",IF(C60=TODAY()+1,"AMANHÃ",IF(C60&lt;TODAY(),"Realizada",IF(C60-TODAY()&lt;=7,"Em "&amp;(C60-TODAY())&amp;" dias","Agendada")))))</f>
        <v/>
      </c>
      <c r="G60" s="55" t="str">
        <f aca="false">IF(OR(A60="",NOT(ISNUMBER(C60))),"",IF(COUNTIFS($A$2:$A$301,A60,$C$2:$C$301,C60)&gt;1,"⚠ Folga duplicada",IF(COUNTIFS(FÉRIAS!$A$2:$A$301,A60,FÉRIAS!$C$2:$C$301,"&lt;="&amp;C60,FÉRIAS!$D$2:$D$301,"&gt;="&amp;C60)&gt;0,"⚠ Está de férias nesta data",IF(COUNTIFS(NATAL!$A$2:$A$301,A60,NATAL!$C$2:$C$301,C60,NATAL!$D$2:$D$301,"FOLGA")+COUNTIFS('ANO NOVO'!$A$2:$A$301,A60,'ANO NOVO'!$C$2:$C$301,C60,'ANO NOVO'!$D$2:$D$301,"FOLGA")&gt;0,"⚠ Folga já lançada em NATAL/ANO NOVO",IF(COUNTIFS(NATAL!$A$2:$A$301,A60,NATAL!$C$2:$C$301,C60,NATAL!$D$2:$D$301,"TRABALHA")+COUNTIFS('ANO NOVO'!$A$2:$A$301,A60,'ANO NOVO'!$C$2:$C$301,C60,'ANO NOVO'!$D$2:$D$301,"TRABALHA")&gt;0,"⚠ Marcado TRABALHA em NATAL/ANO NOVO",IF(COUNTIFS($B$2:$B$301,B60,$C$2:$C$301,C60)&gt;1,"⚠ "&amp;COUNTIFS($B$2:$B$301,B60,$C$2:$C$301,C60)&amp;" pessoas do setor de folga no dia",""))))))</f>
        <v/>
      </c>
    </row>
    <row r="61" customFormat="false" ht="15" hidden="false" customHeight="true" outlineLevel="0" collapsed="false">
      <c r="A61" s="54"/>
      <c r="B61" s="54"/>
      <c r="C61" s="53"/>
      <c r="D61" s="54"/>
      <c r="E61" s="55" t="str">
        <f aca="false">IF(ISNUMBER(C61),CHOOSE(WEEKDAY(C61),"Domingo","Segunda","Terça","Quarta","Quinta","Sexta","Sábado"),"")</f>
        <v/>
      </c>
      <c r="F61" s="55" t="str">
        <f aca="true">IF(NOT(ISNUMBER(C61)),"",IF(C61=TODAY(),"HOJE",IF(C61=TODAY()+1,"AMANHÃ",IF(C61&lt;TODAY(),"Realizada",IF(C61-TODAY()&lt;=7,"Em "&amp;(C61-TODAY())&amp;" dias","Agendada")))))</f>
        <v/>
      </c>
      <c r="G61" s="55" t="str">
        <f aca="false">IF(OR(A61="",NOT(ISNUMBER(C61))),"",IF(COUNTIFS($A$2:$A$301,A61,$C$2:$C$301,C61)&gt;1,"⚠ Folga duplicada",IF(COUNTIFS(FÉRIAS!$A$2:$A$301,A61,FÉRIAS!$C$2:$C$301,"&lt;="&amp;C61,FÉRIAS!$D$2:$D$301,"&gt;="&amp;C61)&gt;0,"⚠ Está de férias nesta data",IF(COUNTIFS(NATAL!$A$2:$A$301,A61,NATAL!$C$2:$C$301,C61,NATAL!$D$2:$D$301,"FOLGA")+COUNTIFS('ANO NOVO'!$A$2:$A$301,A61,'ANO NOVO'!$C$2:$C$301,C61,'ANO NOVO'!$D$2:$D$301,"FOLGA")&gt;0,"⚠ Folga já lançada em NATAL/ANO NOVO",IF(COUNTIFS(NATAL!$A$2:$A$301,A61,NATAL!$C$2:$C$301,C61,NATAL!$D$2:$D$301,"TRABALHA")+COUNTIFS('ANO NOVO'!$A$2:$A$301,A61,'ANO NOVO'!$C$2:$C$301,C61,'ANO NOVO'!$D$2:$D$301,"TRABALHA")&gt;0,"⚠ Marcado TRABALHA em NATAL/ANO NOVO",IF(COUNTIFS($B$2:$B$301,B61,$C$2:$C$301,C61)&gt;1,"⚠ "&amp;COUNTIFS($B$2:$B$301,B61,$C$2:$C$301,C61)&amp;" pessoas do setor de folga no dia",""))))))</f>
        <v/>
      </c>
    </row>
    <row r="62" customFormat="false" ht="15" hidden="false" customHeight="true" outlineLevel="0" collapsed="false">
      <c r="A62" s="54"/>
      <c r="B62" s="54"/>
      <c r="C62" s="53"/>
      <c r="D62" s="54"/>
      <c r="E62" s="55" t="str">
        <f aca="false">IF(ISNUMBER(C62),CHOOSE(WEEKDAY(C62),"Domingo","Segunda","Terça","Quarta","Quinta","Sexta","Sábado"),"")</f>
        <v/>
      </c>
      <c r="F62" s="55" t="str">
        <f aca="true">IF(NOT(ISNUMBER(C62)),"",IF(C62=TODAY(),"HOJE",IF(C62=TODAY()+1,"AMANHÃ",IF(C62&lt;TODAY(),"Realizada",IF(C62-TODAY()&lt;=7,"Em "&amp;(C62-TODAY())&amp;" dias","Agendada")))))</f>
        <v/>
      </c>
      <c r="G62" s="55" t="str">
        <f aca="false">IF(OR(A62="",NOT(ISNUMBER(C62))),"",IF(COUNTIFS($A$2:$A$301,A62,$C$2:$C$301,C62)&gt;1,"⚠ Folga duplicada",IF(COUNTIFS(FÉRIAS!$A$2:$A$301,A62,FÉRIAS!$C$2:$C$301,"&lt;="&amp;C62,FÉRIAS!$D$2:$D$301,"&gt;="&amp;C62)&gt;0,"⚠ Está de férias nesta data",IF(COUNTIFS(NATAL!$A$2:$A$301,A62,NATAL!$C$2:$C$301,C62,NATAL!$D$2:$D$301,"FOLGA")+COUNTIFS('ANO NOVO'!$A$2:$A$301,A62,'ANO NOVO'!$C$2:$C$301,C62,'ANO NOVO'!$D$2:$D$301,"FOLGA")&gt;0,"⚠ Folga já lançada em NATAL/ANO NOVO",IF(COUNTIFS(NATAL!$A$2:$A$301,A62,NATAL!$C$2:$C$301,C62,NATAL!$D$2:$D$301,"TRABALHA")+COUNTIFS('ANO NOVO'!$A$2:$A$301,A62,'ANO NOVO'!$C$2:$C$301,C62,'ANO NOVO'!$D$2:$D$301,"TRABALHA")&gt;0,"⚠ Marcado TRABALHA em NATAL/ANO NOVO",IF(COUNTIFS($B$2:$B$301,B62,$C$2:$C$301,C62)&gt;1,"⚠ "&amp;COUNTIFS($B$2:$B$301,B62,$C$2:$C$301,C62)&amp;" pessoas do setor de folga no dia",""))))))</f>
        <v/>
      </c>
    </row>
    <row r="63" customFormat="false" ht="15" hidden="false" customHeight="true" outlineLevel="0" collapsed="false">
      <c r="A63" s="54"/>
      <c r="B63" s="54"/>
      <c r="C63" s="53"/>
      <c r="D63" s="54"/>
      <c r="E63" s="55" t="str">
        <f aca="false">IF(ISNUMBER(C63),CHOOSE(WEEKDAY(C63),"Domingo","Segunda","Terça","Quarta","Quinta","Sexta","Sábado"),"")</f>
        <v/>
      </c>
      <c r="F63" s="55" t="str">
        <f aca="true">IF(NOT(ISNUMBER(C63)),"",IF(C63=TODAY(),"HOJE",IF(C63=TODAY()+1,"AMANHÃ",IF(C63&lt;TODAY(),"Realizada",IF(C63-TODAY()&lt;=7,"Em "&amp;(C63-TODAY())&amp;" dias","Agendada")))))</f>
        <v/>
      </c>
      <c r="G63" s="55" t="str">
        <f aca="false">IF(OR(A63="",NOT(ISNUMBER(C63))),"",IF(COUNTIFS($A$2:$A$301,A63,$C$2:$C$301,C63)&gt;1,"⚠ Folga duplicada",IF(COUNTIFS(FÉRIAS!$A$2:$A$301,A63,FÉRIAS!$C$2:$C$301,"&lt;="&amp;C63,FÉRIAS!$D$2:$D$301,"&gt;="&amp;C63)&gt;0,"⚠ Está de férias nesta data",IF(COUNTIFS(NATAL!$A$2:$A$301,A63,NATAL!$C$2:$C$301,C63,NATAL!$D$2:$D$301,"FOLGA")+COUNTIFS('ANO NOVO'!$A$2:$A$301,A63,'ANO NOVO'!$C$2:$C$301,C63,'ANO NOVO'!$D$2:$D$301,"FOLGA")&gt;0,"⚠ Folga já lançada em NATAL/ANO NOVO",IF(COUNTIFS(NATAL!$A$2:$A$301,A63,NATAL!$C$2:$C$301,C63,NATAL!$D$2:$D$301,"TRABALHA")+COUNTIFS('ANO NOVO'!$A$2:$A$301,A63,'ANO NOVO'!$C$2:$C$301,C63,'ANO NOVO'!$D$2:$D$301,"TRABALHA")&gt;0,"⚠ Marcado TRABALHA em NATAL/ANO NOVO",IF(COUNTIFS($B$2:$B$301,B63,$C$2:$C$301,C63)&gt;1,"⚠ "&amp;COUNTIFS($B$2:$B$301,B63,$C$2:$C$301,C63)&amp;" pessoas do setor de folga no dia",""))))))</f>
        <v/>
      </c>
    </row>
    <row r="64" customFormat="false" ht="15" hidden="false" customHeight="true" outlineLevel="0" collapsed="false">
      <c r="A64" s="54"/>
      <c r="B64" s="54"/>
      <c r="C64" s="53"/>
      <c r="D64" s="54"/>
      <c r="E64" s="55" t="str">
        <f aca="false">IF(ISNUMBER(C64),CHOOSE(WEEKDAY(C64),"Domingo","Segunda","Terça","Quarta","Quinta","Sexta","Sábado"),"")</f>
        <v/>
      </c>
      <c r="F64" s="55" t="str">
        <f aca="true">IF(NOT(ISNUMBER(C64)),"",IF(C64=TODAY(),"HOJE",IF(C64=TODAY()+1,"AMANHÃ",IF(C64&lt;TODAY(),"Realizada",IF(C64-TODAY()&lt;=7,"Em "&amp;(C64-TODAY())&amp;" dias","Agendada")))))</f>
        <v/>
      </c>
      <c r="G64" s="55" t="str">
        <f aca="false">IF(OR(A64="",NOT(ISNUMBER(C64))),"",IF(COUNTIFS($A$2:$A$301,A64,$C$2:$C$301,C64)&gt;1,"⚠ Folga duplicada",IF(COUNTIFS(FÉRIAS!$A$2:$A$301,A64,FÉRIAS!$C$2:$C$301,"&lt;="&amp;C64,FÉRIAS!$D$2:$D$301,"&gt;="&amp;C64)&gt;0,"⚠ Está de férias nesta data",IF(COUNTIFS(NATAL!$A$2:$A$301,A64,NATAL!$C$2:$C$301,C64,NATAL!$D$2:$D$301,"FOLGA")+COUNTIFS('ANO NOVO'!$A$2:$A$301,A64,'ANO NOVO'!$C$2:$C$301,C64,'ANO NOVO'!$D$2:$D$301,"FOLGA")&gt;0,"⚠ Folga já lançada em NATAL/ANO NOVO",IF(COUNTIFS(NATAL!$A$2:$A$301,A64,NATAL!$C$2:$C$301,C64,NATAL!$D$2:$D$301,"TRABALHA")+COUNTIFS('ANO NOVO'!$A$2:$A$301,A64,'ANO NOVO'!$C$2:$C$301,C64,'ANO NOVO'!$D$2:$D$301,"TRABALHA")&gt;0,"⚠ Marcado TRABALHA em NATAL/ANO NOVO",IF(COUNTIFS($B$2:$B$301,B64,$C$2:$C$301,C64)&gt;1,"⚠ "&amp;COUNTIFS($B$2:$B$301,B64,$C$2:$C$301,C64)&amp;" pessoas do setor de folga no dia",""))))))</f>
        <v/>
      </c>
    </row>
    <row r="65" customFormat="false" ht="15" hidden="false" customHeight="true" outlineLevel="0" collapsed="false">
      <c r="A65" s="54"/>
      <c r="B65" s="54"/>
      <c r="C65" s="53"/>
      <c r="D65" s="54"/>
      <c r="E65" s="55" t="str">
        <f aca="false">IF(ISNUMBER(C65),CHOOSE(WEEKDAY(C65),"Domingo","Segunda","Terça","Quarta","Quinta","Sexta","Sábado"),"")</f>
        <v/>
      </c>
      <c r="F65" s="55" t="str">
        <f aca="true">IF(NOT(ISNUMBER(C65)),"",IF(C65=TODAY(),"HOJE",IF(C65=TODAY()+1,"AMANHÃ",IF(C65&lt;TODAY(),"Realizada",IF(C65-TODAY()&lt;=7,"Em "&amp;(C65-TODAY())&amp;" dias","Agendada")))))</f>
        <v/>
      </c>
      <c r="G65" s="55" t="str">
        <f aca="false">IF(OR(A65="",NOT(ISNUMBER(C65))),"",IF(COUNTIFS($A$2:$A$301,A65,$C$2:$C$301,C65)&gt;1,"⚠ Folga duplicada",IF(COUNTIFS(FÉRIAS!$A$2:$A$301,A65,FÉRIAS!$C$2:$C$301,"&lt;="&amp;C65,FÉRIAS!$D$2:$D$301,"&gt;="&amp;C65)&gt;0,"⚠ Está de férias nesta data",IF(COUNTIFS(NATAL!$A$2:$A$301,A65,NATAL!$C$2:$C$301,C65,NATAL!$D$2:$D$301,"FOLGA")+COUNTIFS('ANO NOVO'!$A$2:$A$301,A65,'ANO NOVO'!$C$2:$C$301,C65,'ANO NOVO'!$D$2:$D$301,"FOLGA")&gt;0,"⚠ Folga já lançada em NATAL/ANO NOVO",IF(COUNTIFS(NATAL!$A$2:$A$301,A65,NATAL!$C$2:$C$301,C65,NATAL!$D$2:$D$301,"TRABALHA")+COUNTIFS('ANO NOVO'!$A$2:$A$301,A65,'ANO NOVO'!$C$2:$C$301,C65,'ANO NOVO'!$D$2:$D$301,"TRABALHA")&gt;0,"⚠ Marcado TRABALHA em NATAL/ANO NOVO",IF(COUNTIFS($B$2:$B$301,B65,$C$2:$C$301,C65)&gt;1,"⚠ "&amp;COUNTIFS($B$2:$B$301,B65,$C$2:$C$301,C65)&amp;" pessoas do setor de folga no dia",""))))))</f>
        <v/>
      </c>
    </row>
    <row r="66" customFormat="false" ht="15" hidden="false" customHeight="true" outlineLevel="0" collapsed="false">
      <c r="A66" s="54"/>
      <c r="B66" s="54"/>
      <c r="C66" s="53"/>
      <c r="D66" s="54"/>
      <c r="E66" s="55" t="str">
        <f aca="false">IF(ISNUMBER(C66),CHOOSE(WEEKDAY(C66),"Domingo","Segunda","Terça","Quarta","Quinta","Sexta","Sábado"),"")</f>
        <v/>
      </c>
      <c r="F66" s="55" t="str">
        <f aca="true">IF(NOT(ISNUMBER(C66)),"",IF(C66=TODAY(),"HOJE",IF(C66=TODAY()+1,"AMANHÃ",IF(C66&lt;TODAY(),"Realizada",IF(C66-TODAY()&lt;=7,"Em "&amp;(C66-TODAY())&amp;" dias","Agendada")))))</f>
        <v/>
      </c>
      <c r="G66" s="55" t="str">
        <f aca="false">IF(OR(A66="",NOT(ISNUMBER(C66))),"",IF(COUNTIFS($A$2:$A$301,A66,$C$2:$C$301,C66)&gt;1,"⚠ Folga duplicada",IF(COUNTIFS(FÉRIAS!$A$2:$A$301,A66,FÉRIAS!$C$2:$C$301,"&lt;="&amp;C66,FÉRIAS!$D$2:$D$301,"&gt;="&amp;C66)&gt;0,"⚠ Está de férias nesta data",IF(COUNTIFS(NATAL!$A$2:$A$301,A66,NATAL!$C$2:$C$301,C66,NATAL!$D$2:$D$301,"FOLGA")+COUNTIFS('ANO NOVO'!$A$2:$A$301,A66,'ANO NOVO'!$C$2:$C$301,C66,'ANO NOVO'!$D$2:$D$301,"FOLGA")&gt;0,"⚠ Folga já lançada em NATAL/ANO NOVO",IF(COUNTIFS(NATAL!$A$2:$A$301,A66,NATAL!$C$2:$C$301,C66,NATAL!$D$2:$D$301,"TRABALHA")+COUNTIFS('ANO NOVO'!$A$2:$A$301,A66,'ANO NOVO'!$C$2:$C$301,C66,'ANO NOVO'!$D$2:$D$301,"TRABALHA")&gt;0,"⚠ Marcado TRABALHA em NATAL/ANO NOVO",IF(COUNTIFS($B$2:$B$301,B66,$C$2:$C$301,C66)&gt;1,"⚠ "&amp;COUNTIFS($B$2:$B$301,B66,$C$2:$C$301,C66)&amp;" pessoas do setor de folga no dia",""))))))</f>
        <v/>
      </c>
    </row>
    <row r="67" customFormat="false" ht="15" hidden="false" customHeight="true" outlineLevel="0" collapsed="false">
      <c r="A67" s="54"/>
      <c r="B67" s="54"/>
      <c r="C67" s="53"/>
      <c r="D67" s="54"/>
      <c r="E67" s="55" t="str">
        <f aca="false">IF(ISNUMBER(C67),CHOOSE(WEEKDAY(C67),"Domingo","Segunda","Terça","Quarta","Quinta","Sexta","Sábado"),"")</f>
        <v/>
      </c>
      <c r="F67" s="55" t="str">
        <f aca="true">IF(NOT(ISNUMBER(C67)),"",IF(C67=TODAY(),"HOJE",IF(C67=TODAY()+1,"AMANHÃ",IF(C67&lt;TODAY(),"Realizada",IF(C67-TODAY()&lt;=7,"Em "&amp;(C67-TODAY())&amp;" dias","Agendada")))))</f>
        <v/>
      </c>
      <c r="G67" s="55" t="str">
        <f aca="false">IF(OR(A67="",NOT(ISNUMBER(C67))),"",IF(COUNTIFS($A$2:$A$301,A67,$C$2:$C$301,C67)&gt;1,"⚠ Folga duplicada",IF(COUNTIFS(FÉRIAS!$A$2:$A$301,A67,FÉRIAS!$C$2:$C$301,"&lt;="&amp;C67,FÉRIAS!$D$2:$D$301,"&gt;="&amp;C67)&gt;0,"⚠ Está de férias nesta data",IF(COUNTIFS(NATAL!$A$2:$A$301,A67,NATAL!$C$2:$C$301,C67,NATAL!$D$2:$D$301,"FOLGA")+COUNTIFS('ANO NOVO'!$A$2:$A$301,A67,'ANO NOVO'!$C$2:$C$301,C67,'ANO NOVO'!$D$2:$D$301,"FOLGA")&gt;0,"⚠ Folga já lançada em NATAL/ANO NOVO",IF(COUNTIFS(NATAL!$A$2:$A$301,A67,NATAL!$C$2:$C$301,C67,NATAL!$D$2:$D$301,"TRABALHA")+COUNTIFS('ANO NOVO'!$A$2:$A$301,A67,'ANO NOVO'!$C$2:$C$301,C67,'ANO NOVO'!$D$2:$D$301,"TRABALHA")&gt;0,"⚠ Marcado TRABALHA em NATAL/ANO NOVO",IF(COUNTIFS($B$2:$B$301,B67,$C$2:$C$301,C67)&gt;1,"⚠ "&amp;COUNTIFS($B$2:$B$301,B67,$C$2:$C$301,C67)&amp;" pessoas do setor de folga no dia",""))))))</f>
        <v/>
      </c>
    </row>
    <row r="68" customFormat="false" ht="15" hidden="false" customHeight="true" outlineLevel="0" collapsed="false">
      <c r="A68" s="54"/>
      <c r="B68" s="54"/>
      <c r="C68" s="53"/>
      <c r="D68" s="54"/>
      <c r="E68" s="55" t="str">
        <f aca="false">IF(ISNUMBER(C68),CHOOSE(WEEKDAY(C68),"Domingo","Segunda","Terça","Quarta","Quinta","Sexta","Sábado"),"")</f>
        <v/>
      </c>
      <c r="F68" s="55" t="str">
        <f aca="true">IF(NOT(ISNUMBER(C68)),"",IF(C68=TODAY(),"HOJE",IF(C68=TODAY()+1,"AMANHÃ",IF(C68&lt;TODAY(),"Realizada",IF(C68-TODAY()&lt;=7,"Em "&amp;(C68-TODAY())&amp;" dias","Agendada")))))</f>
        <v/>
      </c>
      <c r="G68" s="55" t="str">
        <f aca="false">IF(OR(A68="",NOT(ISNUMBER(C68))),"",IF(COUNTIFS($A$2:$A$301,A68,$C$2:$C$301,C68)&gt;1,"⚠ Folga duplicada",IF(COUNTIFS(FÉRIAS!$A$2:$A$301,A68,FÉRIAS!$C$2:$C$301,"&lt;="&amp;C68,FÉRIAS!$D$2:$D$301,"&gt;="&amp;C68)&gt;0,"⚠ Está de férias nesta data",IF(COUNTIFS(NATAL!$A$2:$A$301,A68,NATAL!$C$2:$C$301,C68,NATAL!$D$2:$D$301,"FOLGA")+COUNTIFS('ANO NOVO'!$A$2:$A$301,A68,'ANO NOVO'!$C$2:$C$301,C68,'ANO NOVO'!$D$2:$D$301,"FOLGA")&gt;0,"⚠ Folga já lançada em NATAL/ANO NOVO",IF(COUNTIFS(NATAL!$A$2:$A$301,A68,NATAL!$C$2:$C$301,C68,NATAL!$D$2:$D$301,"TRABALHA")+COUNTIFS('ANO NOVO'!$A$2:$A$301,A68,'ANO NOVO'!$C$2:$C$301,C68,'ANO NOVO'!$D$2:$D$301,"TRABALHA")&gt;0,"⚠ Marcado TRABALHA em NATAL/ANO NOVO",IF(COUNTIFS($B$2:$B$301,B68,$C$2:$C$301,C68)&gt;1,"⚠ "&amp;COUNTIFS($B$2:$B$301,B68,$C$2:$C$301,C68)&amp;" pessoas do setor de folga no dia",""))))))</f>
        <v/>
      </c>
    </row>
    <row r="69" customFormat="false" ht="15" hidden="false" customHeight="true" outlineLevel="0" collapsed="false">
      <c r="A69" s="54"/>
      <c r="B69" s="54"/>
      <c r="C69" s="53"/>
      <c r="D69" s="54"/>
      <c r="E69" s="55" t="str">
        <f aca="false">IF(ISNUMBER(C69),CHOOSE(WEEKDAY(C69),"Domingo","Segunda","Terça","Quarta","Quinta","Sexta","Sábado"),"")</f>
        <v/>
      </c>
      <c r="F69" s="55" t="str">
        <f aca="true">IF(NOT(ISNUMBER(C69)),"",IF(C69=TODAY(),"HOJE",IF(C69=TODAY()+1,"AMANHÃ",IF(C69&lt;TODAY(),"Realizada",IF(C69-TODAY()&lt;=7,"Em "&amp;(C69-TODAY())&amp;" dias","Agendada")))))</f>
        <v/>
      </c>
      <c r="G69" s="55" t="str">
        <f aca="false">IF(OR(A69="",NOT(ISNUMBER(C69))),"",IF(COUNTIFS($A$2:$A$301,A69,$C$2:$C$301,C69)&gt;1,"⚠ Folga duplicada",IF(COUNTIFS(FÉRIAS!$A$2:$A$301,A69,FÉRIAS!$C$2:$C$301,"&lt;="&amp;C69,FÉRIAS!$D$2:$D$301,"&gt;="&amp;C69)&gt;0,"⚠ Está de férias nesta data",IF(COUNTIFS(NATAL!$A$2:$A$301,A69,NATAL!$C$2:$C$301,C69,NATAL!$D$2:$D$301,"FOLGA")+COUNTIFS('ANO NOVO'!$A$2:$A$301,A69,'ANO NOVO'!$C$2:$C$301,C69,'ANO NOVO'!$D$2:$D$301,"FOLGA")&gt;0,"⚠ Folga já lançada em NATAL/ANO NOVO",IF(COUNTIFS(NATAL!$A$2:$A$301,A69,NATAL!$C$2:$C$301,C69,NATAL!$D$2:$D$301,"TRABALHA")+COUNTIFS('ANO NOVO'!$A$2:$A$301,A69,'ANO NOVO'!$C$2:$C$301,C69,'ANO NOVO'!$D$2:$D$301,"TRABALHA")&gt;0,"⚠ Marcado TRABALHA em NATAL/ANO NOVO",IF(COUNTIFS($B$2:$B$301,B69,$C$2:$C$301,C69)&gt;1,"⚠ "&amp;COUNTIFS($B$2:$B$301,B69,$C$2:$C$301,C69)&amp;" pessoas do setor de folga no dia",""))))))</f>
        <v/>
      </c>
    </row>
    <row r="70" customFormat="false" ht="15" hidden="false" customHeight="true" outlineLevel="0" collapsed="false">
      <c r="A70" s="54"/>
      <c r="B70" s="54"/>
      <c r="C70" s="53"/>
      <c r="D70" s="54"/>
      <c r="E70" s="55" t="str">
        <f aca="false">IF(ISNUMBER(C70),CHOOSE(WEEKDAY(C70),"Domingo","Segunda","Terça","Quarta","Quinta","Sexta","Sábado"),"")</f>
        <v/>
      </c>
      <c r="F70" s="55" t="str">
        <f aca="true">IF(NOT(ISNUMBER(C70)),"",IF(C70=TODAY(),"HOJE",IF(C70=TODAY()+1,"AMANHÃ",IF(C70&lt;TODAY(),"Realizada",IF(C70-TODAY()&lt;=7,"Em "&amp;(C70-TODAY())&amp;" dias","Agendada")))))</f>
        <v/>
      </c>
      <c r="G70" s="55" t="str">
        <f aca="false">IF(OR(A70="",NOT(ISNUMBER(C70))),"",IF(COUNTIFS($A$2:$A$301,A70,$C$2:$C$301,C70)&gt;1,"⚠ Folga duplicada",IF(COUNTIFS(FÉRIAS!$A$2:$A$301,A70,FÉRIAS!$C$2:$C$301,"&lt;="&amp;C70,FÉRIAS!$D$2:$D$301,"&gt;="&amp;C70)&gt;0,"⚠ Está de férias nesta data",IF(COUNTIFS(NATAL!$A$2:$A$301,A70,NATAL!$C$2:$C$301,C70,NATAL!$D$2:$D$301,"FOLGA")+COUNTIFS('ANO NOVO'!$A$2:$A$301,A70,'ANO NOVO'!$C$2:$C$301,C70,'ANO NOVO'!$D$2:$D$301,"FOLGA")&gt;0,"⚠ Folga já lançada em NATAL/ANO NOVO",IF(COUNTIFS(NATAL!$A$2:$A$301,A70,NATAL!$C$2:$C$301,C70,NATAL!$D$2:$D$301,"TRABALHA")+COUNTIFS('ANO NOVO'!$A$2:$A$301,A70,'ANO NOVO'!$C$2:$C$301,C70,'ANO NOVO'!$D$2:$D$301,"TRABALHA")&gt;0,"⚠ Marcado TRABALHA em NATAL/ANO NOVO",IF(COUNTIFS($B$2:$B$301,B70,$C$2:$C$301,C70)&gt;1,"⚠ "&amp;COUNTIFS($B$2:$B$301,B70,$C$2:$C$301,C70)&amp;" pessoas do setor de folga no dia",""))))))</f>
        <v/>
      </c>
    </row>
    <row r="71" customFormat="false" ht="15" hidden="false" customHeight="true" outlineLevel="0" collapsed="false">
      <c r="A71" s="54"/>
      <c r="B71" s="54"/>
      <c r="C71" s="53"/>
      <c r="D71" s="54"/>
      <c r="E71" s="55" t="str">
        <f aca="false">IF(ISNUMBER(C71),CHOOSE(WEEKDAY(C71),"Domingo","Segunda","Terça","Quarta","Quinta","Sexta","Sábado"),"")</f>
        <v/>
      </c>
      <c r="F71" s="55" t="str">
        <f aca="true">IF(NOT(ISNUMBER(C71)),"",IF(C71=TODAY(),"HOJE",IF(C71=TODAY()+1,"AMANHÃ",IF(C71&lt;TODAY(),"Realizada",IF(C71-TODAY()&lt;=7,"Em "&amp;(C71-TODAY())&amp;" dias","Agendada")))))</f>
        <v/>
      </c>
      <c r="G71" s="55" t="str">
        <f aca="false">IF(OR(A71="",NOT(ISNUMBER(C71))),"",IF(COUNTIFS($A$2:$A$301,A71,$C$2:$C$301,C71)&gt;1,"⚠ Folga duplicada",IF(COUNTIFS(FÉRIAS!$A$2:$A$301,A71,FÉRIAS!$C$2:$C$301,"&lt;="&amp;C71,FÉRIAS!$D$2:$D$301,"&gt;="&amp;C71)&gt;0,"⚠ Está de férias nesta data",IF(COUNTIFS(NATAL!$A$2:$A$301,A71,NATAL!$C$2:$C$301,C71,NATAL!$D$2:$D$301,"FOLGA")+COUNTIFS('ANO NOVO'!$A$2:$A$301,A71,'ANO NOVO'!$C$2:$C$301,C71,'ANO NOVO'!$D$2:$D$301,"FOLGA")&gt;0,"⚠ Folga já lançada em NATAL/ANO NOVO",IF(COUNTIFS(NATAL!$A$2:$A$301,A71,NATAL!$C$2:$C$301,C71,NATAL!$D$2:$D$301,"TRABALHA")+COUNTIFS('ANO NOVO'!$A$2:$A$301,A71,'ANO NOVO'!$C$2:$C$301,C71,'ANO NOVO'!$D$2:$D$301,"TRABALHA")&gt;0,"⚠ Marcado TRABALHA em NATAL/ANO NOVO",IF(COUNTIFS($B$2:$B$301,B71,$C$2:$C$301,C71)&gt;1,"⚠ "&amp;COUNTIFS($B$2:$B$301,B71,$C$2:$C$301,C71)&amp;" pessoas do setor de folga no dia",""))))))</f>
        <v/>
      </c>
    </row>
    <row r="72" customFormat="false" ht="15" hidden="false" customHeight="true" outlineLevel="0" collapsed="false">
      <c r="A72" s="54"/>
      <c r="B72" s="54"/>
      <c r="C72" s="53"/>
      <c r="D72" s="54"/>
      <c r="E72" s="55" t="str">
        <f aca="false">IF(ISNUMBER(C72),CHOOSE(WEEKDAY(C72),"Domingo","Segunda","Terça","Quarta","Quinta","Sexta","Sábado"),"")</f>
        <v/>
      </c>
      <c r="F72" s="55" t="str">
        <f aca="true">IF(NOT(ISNUMBER(C72)),"",IF(C72=TODAY(),"HOJE",IF(C72=TODAY()+1,"AMANHÃ",IF(C72&lt;TODAY(),"Realizada",IF(C72-TODAY()&lt;=7,"Em "&amp;(C72-TODAY())&amp;" dias","Agendada")))))</f>
        <v/>
      </c>
      <c r="G72" s="55" t="str">
        <f aca="false">IF(OR(A72="",NOT(ISNUMBER(C72))),"",IF(COUNTIFS($A$2:$A$301,A72,$C$2:$C$301,C72)&gt;1,"⚠ Folga duplicada",IF(COUNTIFS(FÉRIAS!$A$2:$A$301,A72,FÉRIAS!$C$2:$C$301,"&lt;="&amp;C72,FÉRIAS!$D$2:$D$301,"&gt;="&amp;C72)&gt;0,"⚠ Está de férias nesta data",IF(COUNTIFS(NATAL!$A$2:$A$301,A72,NATAL!$C$2:$C$301,C72,NATAL!$D$2:$D$301,"FOLGA")+COUNTIFS('ANO NOVO'!$A$2:$A$301,A72,'ANO NOVO'!$C$2:$C$301,C72,'ANO NOVO'!$D$2:$D$301,"FOLGA")&gt;0,"⚠ Folga já lançada em NATAL/ANO NOVO",IF(COUNTIFS(NATAL!$A$2:$A$301,A72,NATAL!$C$2:$C$301,C72,NATAL!$D$2:$D$301,"TRABALHA")+COUNTIFS('ANO NOVO'!$A$2:$A$301,A72,'ANO NOVO'!$C$2:$C$301,C72,'ANO NOVO'!$D$2:$D$301,"TRABALHA")&gt;0,"⚠ Marcado TRABALHA em NATAL/ANO NOVO",IF(COUNTIFS($B$2:$B$301,B72,$C$2:$C$301,C72)&gt;1,"⚠ "&amp;COUNTIFS($B$2:$B$301,B72,$C$2:$C$301,C72)&amp;" pessoas do setor de folga no dia",""))))))</f>
        <v/>
      </c>
    </row>
    <row r="73" customFormat="false" ht="15" hidden="false" customHeight="true" outlineLevel="0" collapsed="false">
      <c r="A73" s="54"/>
      <c r="B73" s="54"/>
      <c r="C73" s="53"/>
      <c r="D73" s="54"/>
      <c r="E73" s="55" t="str">
        <f aca="false">IF(ISNUMBER(C73),CHOOSE(WEEKDAY(C73),"Domingo","Segunda","Terça","Quarta","Quinta","Sexta","Sábado"),"")</f>
        <v/>
      </c>
      <c r="F73" s="55" t="str">
        <f aca="true">IF(NOT(ISNUMBER(C73)),"",IF(C73=TODAY(),"HOJE",IF(C73=TODAY()+1,"AMANHÃ",IF(C73&lt;TODAY(),"Realizada",IF(C73-TODAY()&lt;=7,"Em "&amp;(C73-TODAY())&amp;" dias","Agendada")))))</f>
        <v/>
      </c>
      <c r="G73" s="55" t="str">
        <f aca="false">IF(OR(A73="",NOT(ISNUMBER(C73))),"",IF(COUNTIFS($A$2:$A$301,A73,$C$2:$C$301,C73)&gt;1,"⚠ Folga duplicada",IF(COUNTIFS(FÉRIAS!$A$2:$A$301,A73,FÉRIAS!$C$2:$C$301,"&lt;="&amp;C73,FÉRIAS!$D$2:$D$301,"&gt;="&amp;C73)&gt;0,"⚠ Está de férias nesta data",IF(COUNTIFS(NATAL!$A$2:$A$301,A73,NATAL!$C$2:$C$301,C73,NATAL!$D$2:$D$301,"FOLGA")+COUNTIFS('ANO NOVO'!$A$2:$A$301,A73,'ANO NOVO'!$C$2:$C$301,C73,'ANO NOVO'!$D$2:$D$301,"FOLGA")&gt;0,"⚠ Folga já lançada em NATAL/ANO NOVO",IF(COUNTIFS(NATAL!$A$2:$A$301,A73,NATAL!$C$2:$C$301,C73,NATAL!$D$2:$D$301,"TRABALHA")+COUNTIFS('ANO NOVO'!$A$2:$A$301,A73,'ANO NOVO'!$C$2:$C$301,C73,'ANO NOVO'!$D$2:$D$301,"TRABALHA")&gt;0,"⚠ Marcado TRABALHA em NATAL/ANO NOVO",IF(COUNTIFS($B$2:$B$301,B73,$C$2:$C$301,C73)&gt;1,"⚠ "&amp;COUNTIFS($B$2:$B$301,B73,$C$2:$C$301,C73)&amp;" pessoas do setor de folga no dia",""))))))</f>
        <v/>
      </c>
    </row>
    <row r="74" customFormat="false" ht="15" hidden="false" customHeight="true" outlineLevel="0" collapsed="false">
      <c r="A74" s="54"/>
      <c r="B74" s="54"/>
      <c r="C74" s="53"/>
      <c r="D74" s="54"/>
      <c r="E74" s="55" t="str">
        <f aca="false">IF(ISNUMBER(C74),CHOOSE(WEEKDAY(C74),"Domingo","Segunda","Terça","Quarta","Quinta","Sexta","Sábado"),"")</f>
        <v/>
      </c>
      <c r="F74" s="55" t="str">
        <f aca="true">IF(NOT(ISNUMBER(C74)),"",IF(C74=TODAY(),"HOJE",IF(C74=TODAY()+1,"AMANHÃ",IF(C74&lt;TODAY(),"Realizada",IF(C74-TODAY()&lt;=7,"Em "&amp;(C74-TODAY())&amp;" dias","Agendada")))))</f>
        <v/>
      </c>
      <c r="G74" s="55" t="str">
        <f aca="false">IF(OR(A74="",NOT(ISNUMBER(C74))),"",IF(COUNTIFS($A$2:$A$301,A74,$C$2:$C$301,C74)&gt;1,"⚠ Folga duplicada",IF(COUNTIFS(FÉRIAS!$A$2:$A$301,A74,FÉRIAS!$C$2:$C$301,"&lt;="&amp;C74,FÉRIAS!$D$2:$D$301,"&gt;="&amp;C74)&gt;0,"⚠ Está de férias nesta data",IF(COUNTIFS(NATAL!$A$2:$A$301,A74,NATAL!$C$2:$C$301,C74,NATAL!$D$2:$D$301,"FOLGA")+COUNTIFS('ANO NOVO'!$A$2:$A$301,A74,'ANO NOVO'!$C$2:$C$301,C74,'ANO NOVO'!$D$2:$D$301,"FOLGA")&gt;0,"⚠ Folga já lançada em NATAL/ANO NOVO",IF(COUNTIFS(NATAL!$A$2:$A$301,A74,NATAL!$C$2:$C$301,C74,NATAL!$D$2:$D$301,"TRABALHA")+COUNTIFS('ANO NOVO'!$A$2:$A$301,A74,'ANO NOVO'!$C$2:$C$301,C74,'ANO NOVO'!$D$2:$D$301,"TRABALHA")&gt;0,"⚠ Marcado TRABALHA em NATAL/ANO NOVO",IF(COUNTIFS($B$2:$B$301,B74,$C$2:$C$301,C74)&gt;1,"⚠ "&amp;COUNTIFS($B$2:$B$301,B74,$C$2:$C$301,C74)&amp;" pessoas do setor de folga no dia",""))))))</f>
        <v/>
      </c>
    </row>
    <row r="75" customFormat="false" ht="15" hidden="false" customHeight="true" outlineLevel="0" collapsed="false">
      <c r="A75" s="54"/>
      <c r="B75" s="54"/>
      <c r="C75" s="53"/>
      <c r="D75" s="54"/>
      <c r="E75" s="55" t="str">
        <f aca="false">IF(ISNUMBER(C75),CHOOSE(WEEKDAY(C75),"Domingo","Segunda","Terça","Quarta","Quinta","Sexta","Sábado"),"")</f>
        <v/>
      </c>
      <c r="F75" s="55" t="str">
        <f aca="true">IF(NOT(ISNUMBER(C75)),"",IF(C75=TODAY(),"HOJE",IF(C75=TODAY()+1,"AMANHÃ",IF(C75&lt;TODAY(),"Realizada",IF(C75-TODAY()&lt;=7,"Em "&amp;(C75-TODAY())&amp;" dias","Agendada")))))</f>
        <v/>
      </c>
      <c r="G75" s="55" t="str">
        <f aca="false">IF(OR(A75="",NOT(ISNUMBER(C75))),"",IF(COUNTIFS($A$2:$A$301,A75,$C$2:$C$301,C75)&gt;1,"⚠ Folga duplicada",IF(COUNTIFS(FÉRIAS!$A$2:$A$301,A75,FÉRIAS!$C$2:$C$301,"&lt;="&amp;C75,FÉRIAS!$D$2:$D$301,"&gt;="&amp;C75)&gt;0,"⚠ Está de férias nesta data",IF(COUNTIFS(NATAL!$A$2:$A$301,A75,NATAL!$C$2:$C$301,C75,NATAL!$D$2:$D$301,"FOLGA")+COUNTIFS('ANO NOVO'!$A$2:$A$301,A75,'ANO NOVO'!$C$2:$C$301,C75,'ANO NOVO'!$D$2:$D$301,"FOLGA")&gt;0,"⚠ Folga já lançada em NATAL/ANO NOVO",IF(COUNTIFS(NATAL!$A$2:$A$301,A75,NATAL!$C$2:$C$301,C75,NATAL!$D$2:$D$301,"TRABALHA")+COUNTIFS('ANO NOVO'!$A$2:$A$301,A75,'ANO NOVO'!$C$2:$C$301,C75,'ANO NOVO'!$D$2:$D$301,"TRABALHA")&gt;0,"⚠ Marcado TRABALHA em NATAL/ANO NOVO",IF(COUNTIFS($B$2:$B$301,B75,$C$2:$C$301,C75)&gt;1,"⚠ "&amp;COUNTIFS($B$2:$B$301,B75,$C$2:$C$301,C75)&amp;" pessoas do setor de folga no dia",""))))))</f>
        <v/>
      </c>
    </row>
    <row r="76" customFormat="false" ht="15" hidden="false" customHeight="true" outlineLevel="0" collapsed="false">
      <c r="A76" s="54"/>
      <c r="B76" s="54"/>
      <c r="C76" s="53"/>
      <c r="D76" s="54"/>
      <c r="E76" s="55" t="str">
        <f aca="false">IF(ISNUMBER(C76),CHOOSE(WEEKDAY(C76),"Domingo","Segunda","Terça","Quarta","Quinta","Sexta","Sábado"),"")</f>
        <v/>
      </c>
      <c r="F76" s="55" t="str">
        <f aca="true">IF(NOT(ISNUMBER(C76)),"",IF(C76=TODAY(),"HOJE",IF(C76=TODAY()+1,"AMANHÃ",IF(C76&lt;TODAY(),"Realizada",IF(C76-TODAY()&lt;=7,"Em "&amp;(C76-TODAY())&amp;" dias","Agendada")))))</f>
        <v/>
      </c>
      <c r="G76" s="55" t="str">
        <f aca="false">IF(OR(A76="",NOT(ISNUMBER(C76))),"",IF(COUNTIFS($A$2:$A$301,A76,$C$2:$C$301,C76)&gt;1,"⚠ Folga duplicada",IF(COUNTIFS(FÉRIAS!$A$2:$A$301,A76,FÉRIAS!$C$2:$C$301,"&lt;="&amp;C76,FÉRIAS!$D$2:$D$301,"&gt;="&amp;C76)&gt;0,"⚠ Está de férias nesta data",IF(COUNTIFS(NATAL!$A$2:$A$301,A76,NATAL!$C$2:$C$301,C76,NATAL!$D$2:$D$301,"FOLGA")+COUNTIFS('ANO NOVO'!$A$2:$A$301,A76,'ANO NOVO'!$C$2:$C$301,C76,'ANO NOVO'!$D$2:$D$301,"FOLGA")&gt;0,"⚠ Folga já lançada em NATAL/ANO NOVO",IF(COUNTIFS(NATAL!$A$2:$A$301,A76,NATAL!$C$2:$C$301,C76,NATAL!$D$2:$D$301,"TRABALHA")+COUNTIFS('ANO NOVO'!$A$2:$A$301,A76,'ANO NOVO'!$C$2:$C$301,C76,'ANO NOVO'!$D$2:$D$301,"TRABALHA")&gt;0,"⚠ Marcado TRABALHA em NATAL/ANO NOVO",IF(COUNTIFS($B$2:$B$301,B76,$C$2:$C$301,C76)&gt;1,"⚠ "&amp;COUNTIFS($B$2:$B$301,B76,$C$2:$C$301,C76)&amp;" pessoas do setor de folga no dia",""))))))</f>
        <v/>
      </c>
    </row>
    <row r="77" customFormat="false" ht="15" hidden="false" customHeight="true" outlineLevel="0" collapsed="false">
      <c r="A77" s="54"/>
      <c r="B77" s="54"/>
      <c r="C77" s="53"/>
      <c r="D77" s="54"/>
      <c r="E77" s="55" t="str">
        <f aca="false">IF(ISNUMBER(C77),CHOOSE(WEEKDAY(C77),"Domingo","Segunda","Terça","Quarta","Quinta","Sexta","Sábado"),"")</f>
        <v/>
      </c>
      <c r="F77" s="55" t="str">
        <f aca="true">IF(NOT(ISNUMBER(C77)),"",IF(C77=TODAY(),"HOJE",IF(C77=TODAY()+1,"AMANHÃ",IF(C77&lt;TODAY(),"Realizada",IF(C77-TODAY()&lt;=7,"Em "&amp;(C77-TODAY())&amp;" dias","Agendada")))))</f>
        <v/>
      </c>
      <c r="G77" s="55" t="str">
        <f aca="false">IF(OR(A77="",NOT(ISNUMBER(C77))),"",IF(COUNTIFS($A$2:$A$301,A77,$C$2:$C$301,C77)&gt;1,"⚠ Folga duplicada",IF(COUNTIFS(FÉRIAS!$A$2:$A$301,A77,FÉRIAS!$C$2:$C$301,"&lt;="&amp;C77,FÉRIAS!$D$2:$D$301,"&gt;="&amp;C77)&gt;0,"⚠ Está de férias nesta data",IF(COUNTIFS(NATAL!$A$2:$A$301,A77,NATAL!$C$2:$C$301,C77,NATAL!$D$2:$D$301,"FOLGA")+COUNTIFS('ANO NOVO'!$A$2:$A$301,A77,'ANO NOVO'!$C$2:$C$301,C77,'ANO NOVO'!$D$2:$D$301,"FOLGA")&gt;0,"⚠ Folga já lançada em NATAL/ANO NOVO",IF(COUNTIFS(NATAL!$A$2:$A$301,A77,NATAL!$C$2:$C$301,C77,NATAL!$D$2:$D$301,"TRABALHA")+COUNTIFS('ANO NOVO'!$A$2:$A$301,A77,'ANO NOVO'!$C$2:$C$301,C77,'ANO NOVO'!$D$2:$D$301,"TRABALHA")&gt;0,"⚠ Marcado TRABALHA em NATAL/ANO NOVO",IF(COUNTIFS($B$2:$B$301,B77,$C$2:$C$301,C77)&gt;1,"⚠ "&amp;COUNTIFS($B$2:$B$301,B77,$C$2:$C$301,C77)&amp;" pessoas do setor de folga no dia",""))))))</f>
        <v/>
      </c>
    </row>
    <row r="78" customFormat="false" ht="15" hidden="false" customHeight="true" outlineLevel="0" collapsed="false">
      <c r="A78" s="54"/>
      <c r="B78" s="54"/>
      <c r="C78" s="53"/>
      <c r="D78" s="54"/>
      <c r="E78" s="55" t="str">
        <f aca="false">IF(ISNUMBER(C78),CHOOSE(WEEKDAY(C78),"Domingo","Segunda","Terça","Quarta","Quinta","Sexta","Sábado"),"")</f>
        <v/>
      </c>
      <c r="F78" s="55" t="str">
        <f aca="true">IF(NOT(ISNUMBER(C78)),"",IF(C78=TODAY(),"HOJE",IF(C78=TODAY()+1,"AMANHÃ",IF(C78&lt;TODAY(),"Realizada",IF(C78-TODAY()&lt;=7,"Em "&amp;(C78-TODAY())&amp;" dias","Agendada")))))</f>
        <v/>
      </c>
      <c r="G78" s="55" t="str">
        <f aca="false">IF(OR(A78="",NOT(ISNUMBER(C78))),"",IF(COUNTIFS($A$2:$A$301,A78,$C$2:$C$301,C78)&gt;1,"⚠ Folga duplicada",IF(COUNTIFS(FÉRIAS!$A$2:$A$301,A78,FÉRIAS!$C$2:$C$301,"&lt;="&amp;C78,FÉRIAS!$D$2:$D$301,"&gt;="&amp;C78)&gt;0,"⚠ Está de férias nesta data",IF(COUNTIFS(NATAL!$A$2:$A$301,A78,NATAL!$C$2:$C$301,C78,NATAL!$D$2:$D$301,"FOLGA")+COUNTIFS('ANO NOVO'!$A$2:$A$301,A78,'ANO NOVO'!$C$2:$C$301,C78,'ANO NOVO'!$D$2:$D$301,"FOLGA")&gt;0,"⚠ Folga já lançada em NATAL/ANO NOVO",IF(COUNTIFS(NATAL!$A$2:$A$301,A78,NATAL!$C$2:$C$301,C78,NATAL!$D$2:$D$301,"TRABALHA")+COUNTIFS('ANO NOVO'!$A$2:$A$301,A78,'ANO NOVO'!$C$2:$C$301,C78,'ANO NOVO'!$D$2:$D$301,"TRABALHA")&gt;0,"⚠ Marcado TRABALHA em NATAL/ANO NOVO",IF(COUNTIFS($B$2:$B$301,B78,$C$2:$C$301,C78)&gt;1,"⚠ "&amp;COUNTIFS($B$2:$B$301,B78,$C$2:$C$301,C78)&amp;" pessoas do setor de folga no dia",""))))))</f>
        <v/>
      </c>
    </row>
    <row r="79" customFormat="false" ht="15" hidden="false" customHeight="true" outlineLevel="0" collapsed="false">
      <c r="A79" s="54"/>
      <c r="B79" s="54"/>
      <c r="C79" s="53"/>
      <c r="D79" s="54"/>
      <c r="E79" s="55" t="str">
        <f aca="false">IF(ISNUMBER(C79),CHOOSE(WEEKDAY(C79),"Domingo","Segunda","Terça","Quarta","Quinta","Sexta","Sábado"),"")</f>
        <v/>
      </c>
      <c r="F79" s="55" t="str">
        <f aca="true">IF(NOT(ISNUMBER(C79)),"",IF(C79=TODAY(),"HOJE",IF(C79=TODAY()+1,"AMANHÃ",IF(C79&lt;TODAY(),"Realizada",IF(C79-TODAY()&lt;=7,"Em "&amp;(C79-TODAY())&amp;" dias","Agendada")))))</f>
        <v/>
      </c>
      <c r="G79" s="55" t="str">
        <f aca="false">IF(OR(A79="",NOT(ISNUMBER(C79))),"",IF(COUNTIFS($A$2:$A$301,A79,$C$2:$C$301,C79)&gt;1,"⚠ Folga duplicada",IF(COUNTIFS(FÉRIAS!$A$2:$A$301,A79,FÉRIAS!$C$2:$C$301,"&lt;="&amp;C79,FÉRIAS!$D$2:$D$301,"&gt;="&amp;C79)&gt;0,"⚠ Está de férias nesta data",IF(COUNTIFS(NATAL!$A$2:$A$301,A79,NATAL!$C$2:$C$301,C79,NATAL!$D$2:$D$301,"FOLGA")+COUNTIFS('ANO NOVO'!$A$2:$A$301,A79,'ANO NOVO'!$C$2:$C$301,C79,'ANO NOVO'!$D$2:$D$301,"FOLGA")&gt;0,"⚠ Folga já lançada em NATAL/ANO NOVO",IF(COUNTIFS(NATAL!$A$2:$A$301,A79,NATAL!$C$2:$C$301,C79,NATAL!$D$2:$D$301,"TRABALHA")+COUNTIFS('ANO NOVO'!$A$2:$A$301,A79,'ANO NOVO'!$C$2:$C$301,C79,'ANO NOVO'!$D$2:$D$301,"TRABALHA")&gt;0,"⚠ Marcado TRABALHA em NATAL/ANO NOVO",IF(COUNTIFS($B$2:$B$301,B79,$C$2:$C$301,C79)&gt;1,"⚠ "&amp;COUNTIFS($B$2:$B$301,B79,$C$2:$C$301,C79)&amp;" pessoas do setor de folga no dia",""))))))</f>
        <v/>
      </c>
    </row>
    <row r="80" customFormat="false" ht="15" hidden="false" customHeight="true" outlineLevel="0" collapsed="false">
      <c r="A80" s="54"/>
      <c r="B80" s="54"/>
      <c r="C80" s="53"/>
      <c r="D80" s="54"/>
      <c r="E80" s="55" t="str">
        <f aca="false">IF(ISNUMBER(C80),CHOOSE(WEEKDAY(C80),"Domingo","Segunda","Terça","Quarta","Quinta","Sexta","Sábado"),"")</f>
        <v/>
      </c>
      <c r="F80" s="55" t="str">
        <f aca="true">IF(NOT(ISNUMBER(C80)),"",IF(C80=TODAY(),"HOJE",IF(C80=TODAY()+1,"AMANHÃ",IF(C80&lt;TODAY(),"Realizada",IF(C80-TODAY()&lt;=7,"Em "&amp;(C80-TODAY())&amp;" dias","Agendada")))))</f>
        <v/>
      </c>
      <c r="G80" s="55" t="str">
        <f aca="false">IF(OR(A80="",NOT(ISNUMBER(C80))),"",IF(COUNTIFS($A$2:$A$301,A80,$C$2:$C$301,C80)&gt;1,"⚠ Folga duplicada",IF(COUNTIFS(FÉRIAS!$A$2:$A$301,A80,FÉRIAS!$C$2:$C$301,"&lt;="&amp;C80,FÉRIAS!$D$2:$D$301,"&gt;="&amp;C80)&gt;0,"⚠ Está de férias nesta data",IF(COUNTIFS(NATAL!$A$2:$A$301,A80,NATAL!$C$2:$C$301,C80,NATAL!$D$2:$D$301,"FOLGA")+COUNTIFS('ANO NOVO'!$A$2:$A$301,A80,'ANO NOVO'!$C$2:$C$301,C80,'ANO NOVO'!$D$2:$D$301,"FOLGA")&gt;0,"⚠ Folga já lançada em NATAL/ANO NOVO",IF(COUNTIFS(NATAL!$A$2:$A$301,A80,NATAL!$C$2:$C$301,C80,NATAL!$D$2:$D$301,"TRABALHA")+COUNTIFS('ANO NOVO'!$A$2:$A$301,A80,'ANO NOVO'!$C$2:$C$301,C80,'ANO NOVO'!$D$2:$D$301,"TRABALHA")&gt;0,"⚠ Marcado TRABALHA em NATAL/ANO NOVO",IF(COUNTIFS($B$2:$B$301,B80,$C$2:$C$301,C80)&gt;1,"⚠ "&amp;COUNTIFS($B$2:$B$301,B80,$C$2:$C$301,C80)&amp;" pessoas do setor de folga no dia",""))))))</f>
        <v/>
      </c>
    </row>
    <row r="81" customFormat="false" ht="15" hidden="false" customHeight="true" outlineLevel="0" collapsed="false">
      <c r="A81" s="54"/>
      <c r="B81" s="54"/>
      <c r="C81" s="53"/>
      <c r="D81" s="54"/>
      <c r="E81" s="55" t="str">
        <f aca="false">IF(ISNUMBER(C81),CHOOSE(WEEKDAY(C81),"Domingo","Segunda","Terça","Quarta","Quinta","Sexta","Sábado"),"")</f>
        <v/>
      </c>
      <c r="F81" s="55" t="str">
        <f aca="true">IF(NOT(ISNUMBER(C81)),"",IF(C81=TODAY(),"HOJE",IF(C81=TODAY()+1,"AMANHÃ",IF(C81&lt;TODAY(),"Realizada",IF(C81-TODAY()&lt;=7,"Em "&amp;(C81-TODAY())&amp;" dias","Agendada")))))</f>
        <v/>
      </c>
      <c r="G81" s="55" t="str">
        <f aca="false">IF(OR(A81="",NOT(ISNUMBER(C81))),"",IF(COUNTIFS($A$2:$A$301,A81,$C$2:$C$301,C81)&gt;1,"⚠ Folga duplicada",IF(COUNTIFS(FÉRIAS!$A$2:$A$301,A81,FÉRIAS!$C$2:$C$301,"&lt;="&amp;C81,FÉRIAS!$D$2:$D$301,"&gt;="&amp;C81)&gt;0,"⚠ Está de férias nesta data",IF(COUNTIFS(NATAL!$A$2:$A$301,A81,NATAL!$C$2:$C$301,C81,NATAL!$D$2:$D$301,"FOLGA")+COUNTIFS('ANO NOVO'!$A$2:$A$301,A81,'ANO NOVO'!$C$2:$C$301,C81,'ANO NOVO'!$D$2:$D$301,"FOLGA")&gt;0,"⚠ Folga já lançada em NATAL/ANO NOVO",IF(COUNTIFS(NATAL!$A$2:$A$301,A81,NATAL!$C$2:$C$301,C81,NATAL!$D$2:$D$301,"TRABALHA")+COUNTIFS('ANO NOVO'!$A$2:$A$301,A81,'ANO NOVO'!$C$2:$C$301,C81,'ANO NOVO'!$D$2:$D$301,"TRABALHA")&gt;0,"⚠ Marcado TRABALHA em NATAL/ANO NOVO",IF(COUNTIFS($B$2:$B$301,B81,$C$2:$C$301,C81)&gt;1,"⚠ "&amp;COUNTIFS($B$2:$B$301,B81,$C$2:$C$301,C81)&amp;" pessoas do setor de folga no dia",""))))))</f>
        <v/>
      </c>
    </row>
    <row r="82" customFormat="false" ht="15" hidden="false" customHeight="true" outlineLevel="0" collapsed="false">
      <c r="A82" s="54"/>
      <c r="B82" s="54"/>
      <c r="C82" s="53"/>
      <c r="D82" s="54"/>
      <c r="E82" s="55" t="str">
        <f aca="false">IF(ISNUMBER(C82),CHOOSE(WEEKDAY(C82),"Domingo","Segunda","Terça","Quarta","Quinta","Sexta","Sábado"),"")</f>
        <v/>
      </c>
      <c r="F82" s="55" t="str">
        <f aca="true">IF(NOT(ISNUMBER(C82)),"",IF(C82=TODAY(),"HOJE",IF(C82=TODAY()+1,"AMANHÃ",IF(C82&lt;TODAY(),"Realizada",IF(C82-TODAY()&lt;=7,"Em "&amp;(C82-TODAY())&amp;" dias","Agendada")))))</f>
        <v/>
      </c>
      <c r="G82" s="55" t="str">
        <f aca="false">IF(OR(A82="",NOT(ISNUMBER(C82))),"",IF(COUNTIFS($A$2:$A$301,A82,$C$2:$C$301,C82)&gt;1,"⚠ Folga duplicada",IF(COUNTIFS(FÉRIAS!$A$2:$A$301,A82,FÉRIAS!$C$2:$C$301,"&lt;="&amp;C82,FÉRIAS!$D$2:$D$301,"&gt;="&amp;C82)&gt;0,"⚠ Está de férias nesta data",IF(COUNTIFS(NATAL!$A$2:$A$301,A82,NATAL!$C$2:$C$301,C82,NATAL!$D$2:$D$301,"FOLGA")+COUNTIFS('ANO NOVO'!$A$2:$A$301,A82,'ANO NOVO'!$C$2:$C$301,C82,'ANO NOVO'!$D$2:$D$301,"FOLGA")&gt;0,"⚠ Folga já lançada em NATAL/ANO NOVO",IF(COUNTIFS(NATAL!$A$2:$A$301,A82,NATAL!$C$2:$C$301,C82,NATAL!$D$2:$D$301,"TRABALHA")+COUNTIFS('ANO NOVO'!$A$2:$A$301,A82,'ANO NOVO'!$C$2:$C$301,C82,'ANO NOVO'!$D$2:$D$301,"TRABALHA")&gt;0,"⚠ Marcado TRABALHA em NATAL/ANO NOVO",IF(COUNTIFS($B$2:$B$301,B82,$C$2:$C$301,C82)&gt;1,"⚠ "&amp;COUNTIFS($B$2:$B$301,B82,$C$2:$C$301,C82)&amp;" pessoas do setor de folga no dia",""))))))</f>
        <v/>
      </c>
    </row>
    <row r="83" customFormat="false" ht="15" hidden="false" customHeight="true" outlineLevel="0" collapsed="false">
      <c r="A83" s="54"/>
      <c r="B83" s="54"/>
      <c r="C83" s="53"/>
      <c r="D83" s="54"/>
      <c r="E83" s="55" t="str">
        <f aca="false">IF(ISNUMBER(C83),CHOOSE(WEEKDAY(C83),"Domingo","Segunda","Terça","Quarta","Quinta","Sexta","Sábado"),"")</f>
        <v/>
      </c>
      <c r="F83" s="55" t="str">
        <f aca="true">IF(NOT(ISNUMBER(C83)),"",IF(C83=TODAY(),"HOJE",IF(C83=TODAY()+1,"AMANHÃ",IF(C83&lt;TODAY(),"Realizada",IF(C83-TODAY()&lt;=7,"Em "&amp;(C83-TODAY())&amp;" dias","Agendada")))))</f>
        <v/>
      </c>
      <c r="G83" s="55" t="str">
        <f aca="false">IF(OR(A83="",NOT(ISNUMBER(C83))),"",IF(COUNTIFS($A$2:$A$301,A83,$C$2:$C$301,C83)&gt;1,"⚠ Folga duplicada",IF(COUNTIFS(FÉRIAS!$A$2:$A$301,A83,FÉRIAS!$C$2:$C$301,"&lt;="&amp;C83,FÉRIAS!$D$2:$D$301,"&gt;="&amp;C83)&gt;0,"⚠ Está de férias nesta data",IF(COUNTIFS(NATAL!$A$2:$A$301,A83,NATAL!$C$2:$C$301,C83,NATAL!$D$2:$D$301,"FOLGA")+COUNTIFS('ANO NOVO'!$A$2:$A$301,A83,'ANO NOVO'!$C$2:$C$301,C83,'ANO NOVO'!$D$2:$D$301,"FOLGA")&gt;0,"⚠ Folga já lançada em NATAL/ANO NOVO",IF(COUNTIFS(NATAL!$A$2:$A$301,A83,NATAL!$C$2:$C$301,C83,NATAL!$D$2:$D$301,"TRABALHA")+COUNTIFS('ANO NOVO'!$A$2:$A$301,A83,'ANO NOVO'!$C$2:$C$301,C83,'ANO NOVO'!$D$2:$D$301,"TRABALHA")&gt;0,"⚠ Marcado TRABALHA em NATAL/ANO NOVO",IF(COUNTIFS($B$2:$B$301,B83,$C$2:$C$301,C83)&gt;1,"⚠ "&amp;COUNTIFS($B$2:$B$301,B83,$C$2:$C$301,C83)&amp;" pessoas do setor de folga no dia",""))))))</f>
        <v/>
      </c>
    </row>
    <row r="84" customFormat="false" ht="15" hidden="false" customHeight="true" outlineLevel="0" collapsed="false">
      <c r="A84" s="54"/>
      <c r="B84" s="54"/>
      <c r="C84" s="53"/>
      <c r="D84" s="54"/>
      <c r="E84" s="55" t="str">
        <f aca="false">IF(ISNUMBER(C84),CHOOSE(WEEKDAY(C84),"Domingo","Segunda","Terça","Quarta","Quinta","Sexta","Sábado"),"")</f>
        <v/>
      </c>
      <c r="F84" s="55" t="str">
        <f aca="true">IF(NOT(ISNUMBER(C84)),"",IF(C84=TODAY(),"HOJE",IF(C84=TODAY()+1,"AMANHÃ",IF(C84&lt;TODAY(),"Realizada",IF(C84-TODAY()&lt;=7,"Em "&amp;(C84-TODAY())&amp;" dias","Agendada")))))</f>
        <v/>
      </c>
      <c r="G84" s="55" t="str">
        <f aca="false">IF(OR(A84="",NOT(ISNUMBER(C84))),"",IF(COUNTIFS($A$2:$A$301,A84,$C$2:$C$301,C84)&gt;1,"⚠ Folga duplicada",IF(COUNTIFS(FÉRIAS!$A$2:$A$301,A84,FÉRIAS!$C$2:$C$301,"&lt;="&amp;C84,FÉRIAS!$D$2:$D$301,"&gt;="&amp;C84)&gt;0,"⚠ Está de férias nesta data",IF(COUNTIFS(NATAL!$A$2:$A$301,A84,NATAL!$C$2:$C$301,C84,NATAL!$D$2:$D$301,"FOLGA")+COUNTIFS('ANO NOVO'!$A$2:$A$301,A84,'ANO NOVO'!$C$2:$C$301,C84,'ANO NOVO'!$D$2:$D$301,"FOLGA")&gt;0,"⚠ Folga já lançada em NATAL/ANO NOVO",IF(COUNTIFS(NATAL!$A$2:$A$301,A84,NATAL!$C$2:$C$301,C84,NATAL!$D$2:$D$301,"TRABALHA")+COUNTIFS('ANO NOVO'!$A$2:$A$301,A84,'ANO NOVO'!$C$2:$C$301,C84,'ANO NOVO'!$D$2:$D$301,"TRABALHA")&gt;0,"⚠ Marcado TRABALHA em NATAL/ANO NOVO",IF(COUNTIFS($B$2:$B$301,B84,$C$2:$C$301,C84)&gt;1,"⚠ "&amp;COUNTIFS($B$2:$B$301,B84,$C$2:$C$301,C84)&amp;" pessoas do setor de folga no dia",""))))))</f>
        <v/>
      </c>
    </row>
    <row r="85" customFormat="false" ht="15" hidden="false" customHeight="true" outlineLevel="0" collapsed="false">
      <c r="A85" s="54"/>
      <c r="B85" s="54"/>
      <c r="C85" s="53"/>
      <c r="D85" s="54"/>
      <c r="E85" s="55" t="str">
        <f aca="false">IF(ISNUMBER(C85),CHOOSE(WEEKDAY(C85),"Domingo","Segunda","Terça","Quarta","Quinta","Sexta","Sábado"),"")</f>
        <v/>
      </c>
      <c r="F85" s="55" t="str">
        <f aca="true">IF(NOT(ISNUMBER(C85)),"",IF(C85=TODAY(),"HOJE",IF(C85=TODAY()+1,"AMANHÃ",IF(C85&lt;TODAY(),"Realizada",IF(C85-TODAY()&lt;=7,"Em "&amp;(C85-TODAY())&amp;" dias","Agendada")))))</f>
        <v/>
      </c>
      <c r="G85" s="55" t="str">
        <f aca="false">IF(OR(A85="",NOT(ISNUMBER(C85))),"",IF(COUNTIFS($A$2:$A$301,A85,$C$2:$C$301,C85)&gt;1,"⚠ Folga duplicada",IF(COUNTIFS(FÉRIAS!$A$2:$A$301,A85,FÉRIAS!$C$2:$C$301,"&lt;="&amp;C85,FÉRIAS!$D$2:$D$301,"&gt;="&amp;C85)&gt;0,"⚠ Está de férias nesta data",IF(COUNTIFS(NATAL!$A$2:$A$301,A85,NATAL!$C$2:$C$301,C85,NATAL!$D$2:$D$301,"FOLGA")+COUNTIFS('ANO NOVO'!$A$2:$A$301,A85,'ANO NOVO'!$C$2:$C$301,C85,'ANO NOVO'!$D$2:$D$301,"FOLGA")&gt;0,"⚠ Folga já lançada em NATAL/ANO NOVO",IF(COUNTIFS(NATAL!$A$2:$A$301,A85,NATAL!$C$2:$C$301,C85,NATAL!$D$2:$D$301,"TRABALHA")+COUNTIFS('ANO NOVO'!$A$2:$A$301,A85,'ANO NOVO'!$C$2:$C$301,C85,'ANO NOVO'!$D$2:$D$301,"TRABALHA")&gt;0,"⚠ Marcado TRABALHA em NATAL/ANO NOVO",IF(COUNTIFS($B$2:$B$301,B85,$C$2:$C$301,C85)&gt;1,"⚠ "&amp;COUNTIFS($B$2:$B$301,B85,$C$2:$C$301,C85)&amp;" pessoas do setor de folga no dia",""))))))</f>
        <v/>
      </c>
    </row>
    <row r="86" customFormat="false" ht="15" hidden="false" customHeight="true" outlineLevel="0" collapsed="false">
      <c r="A86" s="54"/>
      <c r="B86" s="54"/>
      <c r="C86" s="53"/>
      <c r="D86" s="54"/>
      <c r="E86" s="55" t="str">
        <f aca="false">IF(ISNUMBER(C86),CHOOSE(WEEKDAY(C86),"Domingo","Segunda","Terça","Quarta","Quinta","Sexta","Sábado"),"")</f>
        <v/>
      </c>
      <c r="F86" s="55" t="str">
        <f aca="true">IF(NOT(ISNUMBER(C86)),"",IF(C86=TODAY(),"HOJE",IF(C86=TODAY()+1,"AMANHÃ",IF(C86&lt;TODAY(),"Realizada",IF(C86-TODAY()&lt;=7,"Em "&amp;(C86-TODAY())&amp;" dias","Agendada")))))</f>
        <v/>
      </c>
      <c r="G86" s="55" t="str">
        <f aca="false">IF(OR(A86="",NOT(ISNUMBER(C86))),"",IF(COUNTIFS($A$2:$A$301,A86,$C$2:$C$301,C86)&gt;1,"⚠ Folga duplicada",IF(COUNTIFS(FÉRIAS!$A$2:$A$301,A86,FÉRIAS!$C$2:$C$301,"&lt;="&amp;C86,FÉRIAS!$D$2:$D$301,"&gt;="&amp;C86)&gt;0,"⚠ Está de férias nesta data",IF(COUNTIFS(NATAL!$A$2:$A$301,A86,NATAL!$C$2:$C$301,C86,NATAL!$D$2:$D$301,"FOLGA")+COUNTIFS('ANO NOVO'!$A$2:$A$301,A86,'ANO NOVO'!$C$2:$C$301,C86,'ANO NOVO'!$D$2:$D$301,"FOLGA")&gt;0,"⚠ Folga já lançada em NATAL/ANO NOVO",IF(COUNTIFS(NATAL!$A$2:$A$301,A86,NATAL!$C$2:$C$301,C86,NATAL!$D$2:$D$301,"TRABALHA")+COUNTIFS('ANO NOVO'!$A$2:$A$301,A86,'ANO NOVO'!$C$2:$C$301,C86,'ANO NOVO'!$D$2:$D$301,"TRABALHA")&gt;0,"⚠ Marcado TRABALHA em NATAL/ANO NOVO",IF(COUNTIFS($B$2:$B$301,B86,$C$2:$C$301,C86)&gt;1,"⚠ "&amp;COUNTIFS($B$2:$B$301,B86,$C$2:$C$301,C86)&amp;" pessoas do setor de folga no dia",""))))))</f>
        <v/>
      </c>
    </row>
    <row r="87" customFormat="false" ht="15" hidden="false" customHeight="true" outlineLevel="0" collapsed="false">
      <c r="A87" s="54"/>
      <c r="B87" s="54"/>
      <c r="C87" s="53"/>
      <c r="D87" s="54"/>
      <c r="E87" s="55" t="str">
        <f aca="false">IF(ISNUMBER(C87),CHOOSE(WEEKDAY(C87),"Domingo","Segunda","Terça","Quarta","Quinta","Sexta","Sábado"),"")</f>
        <v/>
      </c>
      <c r="F87" s="55" t="str">
        <f aca="true">IF(NOT(ISNUMBER(C87)),"",IF(C87=TODAY(),"HOJE",IF(C87=TODAY()+1,"AMANHÃ",IF(C87&lt;TODAY(),"Realizada",IF(C87-TODAY()&lt;=7,"Em "&amp;(C87-TODAY())&amp;" dias","Agendada")))))</f>
        <v/>
      </c>
      <c r="G87" s="55" t="str">
        <f aca="false">IF(OR(A87="",NOT(ISNUMBER(C87))),"",IF(COUNTIFS($A$2:$A$301,A87,$C$2:$C$301,C87)&gt;1,"⚠ Folga duplicada",IF(COUNTIFS(FÉRIAS!$A$2:$A$301,A87,FÉRIAS!$C$2:$C$301,"&lt;="&amp;C87,FÉRIAS!$D$2:$D$301,"&gt;="&amp;C87)&gt;0,"⚠ Está de férias nesta data",IF(COUNTIFS(NATAL!$A$2:$A$301,A87,NATAL!$C$2:$C$301,C87,NATAL!$D$2:$D$301,"FOLGA")+COUNTIFS('ANO NOVO'!$A$2:$A$301,A87,'ANO NOVO'!$C$2:$C$301,C87,'ANO NOVO'!$D$2:$D$301,"FOLGA")&gt;0,"⚠ Folga já lançada em NATAL/ANO NOVO",IF(COUNTIFS(NATAL!$A$2:$A$301,A87,NATAL!$C$2:$C$301,C87,NATAL!$D$2:$D$301,"TRABALHA")+COUNTIFS('ANO NOVO'!$A$2:$A$301,A87,'ANO NOVO'!$C$2:$C$301,C87,'ANO NOVO'!$D$2:$D$301,"TRABALHA")&gt;0,"⚠ Marcado TRABALHA em NATAL/ANO NOVO",IF(COUNTIFS($B$2:$B$301,B87,$C$2:$C$301,C87)&gt;1,"⚠ "&amp;COUNTIFS($B$2:$B$301,B87,$C$2:$C$301,C87)&amp;" pessoas do setor de folga no dia",""))))))</f>
        <v/>
      </c>
    </row>
    <row r="88" customFormat="false" ht="15" hidden="false" customHeight="true" outlineLevel="0" collapsed="false">
      <c r="A88" s="54"/>
      <c r="B88" s="54"/>
      <c r="C88" s="53"/>
      <c r="D88" s="54"/>
      <c r="E88" s="55" t="str">
        <f aca="false">IF(ISNUMBER(C88),CHOOSE(WEEKDAY(C88),"Domingo","Segunda","Terça","Quarta","Quinta","Sexta","Sábado"),"")</f>
        <v/>
      </c>
      <c r="F88" s="55" t="str">
        <f aca="true">IF(NOT(ISNUMBER(C88)),"",IF(C88=TODAY(),"HOJE",IF(C88=TODAY()+1,"AMANHÃ",IF(C88&lt;TODAY(),"Realizada",IF(C88-TODAY()&lt;=7,"Em "&amp;(C88-TODAY())&amp;" dias","Agendada")))))</f>
        <v/>
      </c>
      <c r="G88" s="55" t="str">
        <f aca="false">IF(OR(A88="",NOT(ISNUMBER(C88))),"",IF(COUNTIFS($A$2:$A$301,A88,$C$2:$C$301,C88)&gt;1,"⚠ Folga duplicada",IF(COUNTIFS(FÉRIAS!$A$2:$A$301,A88,FÉRIAS!$C$2:$C$301,"&lt;="&amp;C88,FÉRIAS!$D$2:$D$301,"&gt;="&amp;C88)&gt;0,"⚠ Está de férias nesta data",IF(COUNTIFS(NATAL!$A$2:$A$301,A88,NATAL!$C$2:$C$301,C88,NATAL!$D$2:$D$301,"FOLGA")+COUNTIFS('ANO NOVO'!$A$2:$A$301,A88,'ANO NOVO'!$C$2:$C$301,C88,'ANO NOVO'!$D$2:$D$301,"FOLGA")&gt;0,"⚠ Folga já lançada em NATAL/ANO NOVO",IF(COUNTIFS(NATAL!$A$2:$A$301,A88,NATAL!$C$2:$C$301,C88,NATAL!$D$2:$D$301,"TRABALHA")+COUNTIFS('ANO NOVO'!$A$2:$A$301,A88,'ANO NOVO'!$C$2:$C$301,C88,'ANO NOVO'!$D$2:$D$301,"TRABALHA")&gt;0,"⚠ Marcado TRABALHA em NATAL/ANO NOVO",IF(COUNTIFS($B$2:$B$301,B88,$C$2:$C$301,C88)&gt;1,"⚠ "&amp;COUNTIFS($B$2:$B$301,B88,$C$2:$C$301,C88)&amp;" pessoas do setor de folga no dia",""))))))</f>
        <v/>
      </c>
    </row>
    <row r="89" customFormat="false" ht="15" hidden="false" customHeight="true" outlineLevel="0" collapsed="false">
      <c r="A89" s="54"/>
      <c r="B89" s="54"/>
      <c r="C89" s="53"/>
      <c r="D89" s="54"/>
      <c r="E89" s="55" t="str">
        <f aca="false">IF(ISNUMBER(C89),CHOOSE(WEEKDAY(C89),"Domingo","Segunda","Terça","Quarta","Quinta","Sexta","Sábado"),"")</f>
        <v/>
      </c>
      <c r="F89" s="55" t="str">
        <f aca="true">IF(NOT(ISNUMBER(C89)),"",IF(C89=TODAY(),"HOJE",IF(C89=TODAY()+1,"AMANHÃ",IF(C89&lt;TODAY(),"Realizada",IF(C89-TODAY()&lt;=7,"Em "&amp;(C89-TODAY())&amp;" dias","Agendada")))))</f>
        <v/>
      </c>
      <c r="G89" s="55" t="str">
        <f aca="false">IF(OR(A89="",NOT(ISNUMBER(C89))),"",IF(COUNTIFS($A$2:$A$301,A89,$C$2:$C$301,C89)&gt;1,"⚠ Folga duplicada",IF(COUNTIFS(FÉRIAS!$A$2:$A$301,A89,FÉRIAS!$C$2:$C$301,"&lt;="&amp;C89,FÉRIAS!$D$2:$D$301,"&gt;="&amp;C89)&gt;0,"⚠ Está de férias nesta data",IF(COUNTIFS(NATAL!$A$2:$A$301,A89,NATAL!$C$2:$C$301,C89,NATAL!$D$2:$D$301,"FOLGA")+COUNTIFS('ANO NOVO'!$A$2:$A$301,A89,'ANO NOVO'!$C$2:$C$301,C89,'ANO NOVO'!$D$2:$D$301,"FOLGA")&gt;0,"⚠ Folga já lançada em NATAL/ANO NOVO",IF(COUNTIFS(NATAL!$A$2:$A$301,A89,NATAL!$C$2:$C$301,C89,NATAL!$D$2:$D$301,"TRABALHA")+COUNTIFS('ANO NOVO'!$A$2:$A$301,A89,'ANO NOVO'!$C$2:$C$301,C89,'ANO NOVO'!$D$2:$D$301,"TRABALHA")&gt;0,"⚠ Marcado TRABALHA em NATAL/ANO NOVO",IF(COUNTIFS($B$2:$B$301,B89,$C$2:$C$301,C89)&gt;1,"⚠ "&amp;COUNTIFS($B$2:$B$301,B89,$C$2:$C$301,C89)&amp;" pessoas do setor de folga no dia",""))))))</f>
        <v/>
      </c>
    </row>
    <row r="90" customFormat="false" ht="15" hidden="false" customHeight="true" outlineLevel="0" collapsed="false">
      <c r="A90" s="54"/>
      <c r="B90" s="54"/>
      <c r="C90" s="53"/>
      <c r="D90" s="54"/>
      <c r="E90" s="55" t="str">
        <f aca="false">IF(ISNUMBER(C90),CHOOSE(WEEKDAY(C90),"Domingo","Segunda","Terça","Quarta","Quinta","Sexta","Sábado"),"")</f>
        <v/>
      </c>
      <c r="F90" s="55" t="str">
        <f aca="true">IF(NOT(ISNUMBER(C90)),"",IF(C90=TODAY(),"HOJE",IF(C90=TODAY()+1,"AMANHÃ",IF(C90&lt;TODAY(),"Realizada",IF(C90-TODAY()&lt;=7,"Em "&amp;(C90-TODAY())&amp;" dias","Agendada")))))</f>
        <v/>
      </c>
      <c r="G90" s="55" t="str">
        <f aca="false">IF(OR(A90="",NOT(ISNUMBER(C90))),"",IF(COUNTIFS($A$2:$A$301,A90,$C$2:$C$301,C90)&gt;1,"⚠ Folga duplicada",IF(COUNTIFS(FÉRIAS!$A$2:$A$301,A90,FÉRIAS!$C$2:$C$301,"&lt;="&amp;C90,FÉRIAS!$D$2:$D$301,"&gt;="&amp;C90)&gt;0,"⚠ Está de férias nesta data",IF(COUNTIFS(NATAL!$A$2:$A$301,A90,NATAL!$C$2:$C$301,C90,NATAL!$D$2:$D$301,"FOLGA")+COUNTIFS('ANO NOVO'!$A$2:$A$301,A90,'ANO NOVO'!$C$2:$C$301,C90,'ANO NOVO'!$D$2:$D$301,"FOLGA")&gt;0,"⚠ Folga já lançada em NATAL/ANO NOVO",IF(COUNTIFS(NATAL!$A$2:$A$301,A90,NATAL!$C$2:$C$301,C90,NATAL!$D$2:$D$301,"TRABALHA")+COUNTIFS('ANO NOVO'!$A$2:$A$301,A90,'ANO NOVO'!$C$2:$C$301,C90,'ANO NOVO'!$D$2:$D$301,"TRABALHA")&gt;0,"⚠ Marcado TRABALHA em NATAL/ANO NOVO",IF(COUNTIFS($B$2:$B$301,B90,$C$2:$C$301,C90)&gt;1,"⚠ "&amp;COUNTIFS($B$2:$B$301,B90,$C$2:$C$301,C90)&amp;" pessoas do setor de folga no dia",""))))))</f>
        <v/>
      </c>
    </row>
    <row r="91" customFormat="false" ht="15" hidden="false" customHeight="true" outlineLevel="0" collapsed="false">
      <c r="A91" s="54"/>
      <c r="B91" s="54"/>
      <c r="C91" s="53"/>
      <c r="D91" s="54"/>
      <c r="E91" s="55" t="str">
        <f aca="false">IF(ISNUMBER(C91),CHOOSE(WEEKDAY(C91),"Domingo","Segunda","Terça","Quarta","Quinta","Sexta","Sábado"),"")</f>
        <v/>
      </c>
      <c r="F91" s="55" t="str">
        <f aca="true">IF(NOT(ISNUMBER(C91)),"",IF(C91=TODAY(),"HOJE",IF(C91=TODAY()+1,"AMANHÃ",IF(C91&lt;TODAY(),"Realizada",IF(C91-TODAY()&lt;=7,"Em "&amp;(C91-TODAY())&amp;" dias","Agendada")))))</f>
        <v/>
      </c>
      <c r="G91" s="55" t="str">
        <f aca="false">IF(OR(A91="",NOT(ISNUMBER(C91))),"",IF(COUNTIFS($A$2:$A$301,A91,$C$2:$C$301,C91)&gt;1,"⚠ Folga duplicada",IF(COUNTIFS(FÉRIAS!$A$2:$A$301,A91,FÉRIAS!$C$2:$C$301,"&lt;="&amp;C91,FÉRIAS!$D$2:$D$301,"&gt;="&amp;C91)&gt;0,"⚠ Está de férias nesta data",IF(COUNTIFS(NATAL!$A$2:$A$301,A91,NATAL!$C$2:$C$301,C91,NATAL!$D$2:$D$301,"FOLGA")+COUNTIFS('ANO NOVO'!$A$2:$A$301,A91,'ANO NOVO'!$C$2:$C$301,C91,'ANO NOVO'!$D$2:$D$301,"FOLGA")&gt;0,"⚠ Folga já lançada em NATAL/ANO NOVO",IF(COUNTIFS(NATAL!$A$2:$A$301,A91,NATAL!$C$2:$C$301,C91,NATAL!$D$2:$D$301,"TRABALHA")+COUNTIFS('ANO NOVO'!$A$2:$A$301,A91,'ANO NOVO'!$C$2:$C$301,C91,'ANO NOVO'!$D$2:$D$301,"TRABALHA")&gt;0,"⚠ Marcado TRABALHA em NATAL/ANO NOVO",IF(COUNTIFS($B$2:$B$301,B91,$C$2:$C$301,C91)&gt;1,"⚠ "&amp;COUNTIFS($B$2:$B$301,B91,$C$2:$C$301,C91)&amp;" pessoas do setor de folga no dia",""))))))</f>
        <v/>
      </c>
    </row>
    <row r="92" customFormat="false" ht="15" hidden="false" customHeight="true" outlineLevel="0" collapsed="false">
      <c r="A92" s="54"/>
      <c r="B92" s="54"/>
      <c r="C92" s="53"/>
      <c r="D92" s="54"/>
      <c r="E92" s="55" t="str">
        <f aca="false">IF(ISNUMBER(C92),CHOOSE(WEEKDAY(C92),"Domingo","Segunda","Terça","Quarta","Quinta","Sexta","Sábado"),"")</f>
        <v/>
      </c>
      <c r="F92" s="55" t="str">
        <f aca="true">IF(NOT(ISNUMBER(C92)),"",IF(C92=TODAY(),"HOJE",IF(C92=TODAY()+1,"AMANHÃ",IF(C92&lt;TODAY(),"Realizada",IF(C92-TODAY()&lt;=7,"Em "&amp;(C92-TODAY())&amp;" dias","Agendada")))))</f>
        <v/>
      </c>
      <c r="G92" s="55" t="str">
        <f aca="false">IF(OR(A92="",NOT(ISNUMBER(C92))),"",IF(COUNTIFS($A$2:$A$301,A92,$C$2:$C$301,C92)&gt;1,"⚠ Folga duplicada",IF(COUNTIFS(FÉRIAS!$A$2:$A$301,A92,FÉRIAS!$C$2:$C$301,"&lt;="&amp;C92,FÉRIAS!$D$2:$D$301,"&gt;="&amp;C92)&gt;0,"⚠ Está de férias nesta data",IF(COUNTIFS(NATAL!$A$2:$A$301,A92,NATAL!$C$2:$C$301,C92,NATAL!$D$2:$D$301,"FOLGA")+COUNTIFS('ANO NOVO'!$A$2:$A$301,A92,'ANO NOVO'!$C$2:$C$301,C92,'ANO NOVO'!$D$2:$D$301,"FOLGA")&gt;0,"⚠ Folga já lançada em NATAL/ANO NOVO",IF(COUNTIFS(NATAL!$A$2:$A$301,A92,NATAL!$C$2:$C$301,C92,NATAL!$D$2:$D$301,"TRABALHA")+COUNTIFS('ANO NOVO'!$A$2:$A$301,A92,'ANO NOVO'!$C$2:$C$301,C92,'ANO NOVO'!$D$2:$D$301,"TRABALHA")&gt;0,"⚠ Marcado TRABALHA em NATAL/ANO NOVO",IF(COUNTIFS($B$2:$B$301,B92,$C$2:$C$301,C92)&gt;1,"⚠ "&amp;COUNTIFS($B$2:$B$301,B92,$C$2:$C$301,C92)&amp;" pessoas do setor de folga no dia",""))))))</f>
        <v/>
      </c>
    </row>
    <row r="93" customFormat="false" ht="15" hidden="false" customHeight="true" outlineLevel="0" collapsed="false">
      <c r="A93" s="54"/>
      <c r="B93" s="54"/>
      <c r="C93" s="53"/>
      <c r="D93" s="54"/>
      <c r="E93" s="55" t="str">
        <f aca="false">IF(ISNUMBER(C93),CHOOSE(WEEKDAY(C93),"Domingo","Segunda","Terça","Quarta","Quinta","Sexta","Sábado"),"")</f>
        <v/>
      </c>
      <c r="F93" s="55" t="str">
        <f aca="true">IF(NOT(ISNUMBER(C93)),"",IF(C93=TODAY(),"HOJE",IF(C93=TODAY()+1,"AMANHÃ",IF(C93&lt;TODAY(),"Realizada",IF(C93-TODAY()&lt;=7,"Em "&amp;(C93-TODAY())&amp;" dias","Agendada")))))</f>
        <v/>
      </c>
      <c r="G93" s="55" t="str">
        <f aca="false">IF(OR(A93="",NOT(ISNUMBER(C93))),"",IF(COUNTIFS($A$2:$A$301,A93,$C$2:$C$301,C93)&gt;1,"⚠ Folga duplicada",IF(COUNTIFS(FÉRIAS!$A$2:$A$301,A93,FÉRIAS!$C$2:$C$301,"&lt;="&amp;C93,FÉRIAS!$D$2:$D$301,"&gt;="&amp;C93)&gt;0,"⚠ Está de férias nesta data",IF(COUNTIFS(NATAL!$A$2:$A$301,A93,NATAL!$C$2:$C$301,C93,NATAL!$D$2:$D$301,"FOLGA")+COUNTIFS('ANO NOVO'!$A$2:$A$301,A93,'ANO NOVO'!$C$2:$C$301,C93,'ANO NOVO'!$D$2:$D$301,"FOLGA")&gt;0,"⚠ Folga já lançada em NATAL/ANO NOVO",IF(COUNTIFS(NATAL!$A$2:$A$301,A93,NATAL!$C$2:$C$301,C93,NATAL!$D$2:$D$301,"TRABALHA")+COUNTIFS('ANO NOVO'!$A$2:$A$301,A93,'ANO NOVO'!$C$2:$C$301,C93,'ANO NOVO'!$D$2:$D$301,"TRABALHA")&gt;0,"⚠ Marcado TRABALHA em NATAL/ANO NOVO",IF(COUNTIFS($B$2:$B$301,B93,$C$2:$C$301,C93)&gt;1,"⚠ "&amp;COUNTIFS($B$2:$B$301,B93,$C$2:$C$301,C93)&amp;" pessoas do setor de folga no dia",""))))))</f>
        <v/>
      </c>
    </row>
    <row r="94" customFormat="false" ht="15" hidden="false" customHeight="true" outlineLevel="0" collapsed="false">
      <c r="A94" s="54"/>
      <c r="B94" s="54"/>
      <c r="C94" s="53"/>
      <c r="D94" s="54"/>
      <c r="E94" s="55" t="str">
        <f aca="false">IF(ISNUMBER(C94),CHOOSE(WEEKDAY(C94),"Domingo","Segunda","Terça","Quarta","Quinta","Sexta","Sábado"),"")</f>
        <v/>
      </c>
      <c r="F94" s="55" t="str">
        <f aca="true">IF(NOT(ISNUMBER(C94)),"",IF(C94=TODAY(),"HOJE",IF(C94=TODAY()+1,"AMANHÃ",IF(C94&lt;TODAY(),"Realizada",IF(C94-TODAY()&lt;=7,"Em "&amp;(C94-TODAY())&amp;" dias","Agendada")))))</f>
        <v/>
      </c>
      <c r="G94" s="55" t="str">
        <f aca="false">IF(OR(A94="",NOT(ISNUMBER(C94))),"",IF(COUNTIFS($A$2:$A$301,A94,$C$2:$C$301,C94)&gt;1,"⚠ Folga duplicada",IF(COUNTIFS(FÉRIAS!$A$2:$A$301,A94,FÉRIAS!$C$2:$C$301,"&lt;="&amp;C94,FÉRIAS!$D$2:$D$301,"&gt;="&amp;C94)&gt;0,"⚠ Está de férias nesta data",IF(COUNTIFS(NATAL!$A$2:$A$301,A94,NATAL!$C$2:$C$301,C94,NATAL!$D$2:$D$301,"FOLGA")+COUNTIFS('ANO NOVO'!$A$2:$A$301,A94,'ANO NOVO'!$C$2:$C$301,C94,'ANO NOVO'!$D$2:$D$301,"FOLGA")&gt;0,"⚠ Folga já lançada em NATAL/ANO NOVO",IF(COUNTIFS(NATAL!$A$2:$A$301,A94,NATAL!$C$2:$C$301,C94,NATAL!$D$2:$D$301,"TRABALHA")+COUNTIFS('ANO NOVO'!$A$2:$A$301,A94,'ANO NOVO'!$C$2:$C$301,C94,'ANO NOVO'!$D$2:$D$301,"TRABALHA")&gt;0,"⚠ Marcado TRABALHA em NATAL/ANO NOVO",IF(COUNTIFS($B$2:$B$301,B94,$C$2:$C$301,C94)&gt;1,"⚠ "&amp;COUNTIFS($B$2:$B$301,B94,$C$2:$C$301,C94)&amp;" pessoas do setor de folga no dia",""))))))</f>
        <v/>
      </c>
    </row>
    <row r="95" customFormat="false" ht="15" hidden="false" customHeight="true" outlineLevel="0" collapsed="false">
      <c r="A95" s="54"/>
      <c r="B95" s="54"/>
      <c r="C95" s="53"/>
      <c r="D95" s="54"/>
      <c r="E95" s="55" t="str">
        <f aca="false">IF(ISNUMBER(C95),CHOOSE(WEEKDAY(C95),"Domingo","Segunda","Terça","Quarta","Quinta","Sexta","Sábado"),"")</f>
        <v/>
      </c>
      <c r="F95" s="55" t="str">
        <f aca="true">IF(NOT(ISNUMBER(C95)),"",IF(C95=TODAY(),"HOJE",IF(C95=TODAY()+1,"AMANHÃ",IF(C95&lt;TODAY(),"Realizada",IF(C95-TODAY()&lt;=7,"Em "&amp;(C95-TODAY())&amp;" dias","Agendada")))))</f>
        <v/>
      </c>
      <c r="G95" s="55" t="str">
        <f aca="false">IF(OR(A95="",NOT(ISNUMBER(C95))),"",IF(COUNTIFS($A$2:$A$301,A95,$C$2:$C$301,C95)&gt;1,"⚠ Folga duplicada",IF(COUNTIFS(FÉRIAS!$A$2:$A$301,A95,FÉRIAS!$C$2:$C$301,"&lt;="&amp;C95,FÉRIAS!$D$2:$D$301,"&gt;="&amp;C95)&gt;0,"⚠ Está de férias nesta data",IF(COUNTIFS(NATAL!$A$2:$A$301,A95,NATAL!$C$2:$C$301,C95,NATAL!$D$2:$D$301,"FOLGA")+COUNTIFS('ANO NOVO'!$A$2:$A$301,A95,'ANO NOVO'!$C$2:$C$301,C95,'ANO NOVO'!$D$2:$D$301,"FOLGA")&gt;0,"⚠ Folga já lançada em NATAL/ANO NOVO",IF(COUNTIFS(NATAL!$A$2:$A$301,A95,NATAL!$C$2:$C$301,C95,NATAL!$D$2:$D$301,"TRABALHA")+COUNTIFS('ANO NOVO'!$A$2:$A$301,A95,'ANO NOVO'!$C$2:$C$301,C95,'ANO NOVO'!$D$2:$D$301,"TRABALHA")&gt;0,"⚠ Marcado TRABALHA em NATAL/ANO NOVO",IF(COUNTIFS($B$2:$B$301,B95,$C$2:$C$301,C95)&gt;1,"⚠ "&amp;COUNTIFS($B$2:$B$301,B95,$C$2:$C$301,C95)&amp;" pessoas do setor de folga no dia",""))))))</f>
        <v/>
      </c>
    </row>
    <row r="96" customFormat="false" ht="15" hidden="false" customHeight="true" outlineLevel="0" collapsed="false">
      <c r="A96" s="54"/>
      <c r="B96" s="54"/>
      <c r="C96" s="53"/>
      <c r="D96" s="54"/>
      <c r="E96" s="55" t="str">
        <f aca="false">IF(ISNUMBER(C96),CHOOSE(WEEKDAY(C96),"Domingo","Segunda","Terça","Quarta","Quinta","Sexta","Sábado"),"")</f>
        <v/>
      </c>
      <c r="F96" s="55" t="str">
        <f aca="true">IF(NOT(ISNUMBER(C96)),"",IF(C96=TODAY(),"HOJE",IF(C96=TODAY()+1,"AMANHÃ",IF(C96&lt;TODAY(),"Realizada",IF(C96-TODAY()&lt;=7,"Em "&amp;(C96-TODAY())&amp;" dias","Agendada")))))</f>
        <v/>
      </c>
      <c r="G96" s="55" t="str">
        <f aca="false">IF(OR(A96="",NOT(ISNUMBER(C96))),"",IF(COUNTIFS($A$2:$A$301,A96,$C$2:$C$301,C96)&gt;1,"⚠ Folga duplicada",IF(COUNTIFS(FÉRIAS!$A$2:$A$301,A96,FÉRIAS!$C$2:$C$301,"&lt;="&amp;C96,FÉRIAS!$D$2:$D$301,"&gt;="&amp;C96)&gt;0,"⚠ Está de férias nesta data",IF(COUNTIFS(NATAL!$A$2:$A$301,A96,NATAL!$C$2:$C$301,C96,NATAL!$D$2:$D$301,"FOLGA")+COUNTIFS('ANO NOVO'!$A$2:$A$301,A96,'ANO NOVO'!$C$2:$C$301,C96,'ANO NOVO'!$D$2:$D$301,"FOLGA")&gt;0,"⚠ Folga já lançada em NATAL/ANO NOVO",IF(COUNTIFS(NATAL!$A$2:$A$301,A96,NATAL!$C$2:$C$301,C96,NATAL!$D$2:$D$301,"TRABALHA")+COUNTIFS('ANO NOVO'!$A$2:$A$301,A96,'ANO NOVO'!$C$2:$C$301,C96,'ANO NOVO'!$D$2:$D$301,"TRABALHA")&gt;0,"⚠ Marcado TRABALHA em NATAL/ANO NOVO",IF(COUNTIFS($B$2:$B$301,B96,$C$2:$C$301,C96)&gt;1,"⚠ "&amp;COUNTIFS($B$2:$B$301,B96,$C$2:$C$301,C96)&amp;" pessoas do setor de folga no dia",""))))))</f>
        <v/>
      </c>
    </row>
    <row r="97" customFormat="false" ht="15" hidden="false" customHeight="true" outlineLevel="0" collapsed="false">
      <c r="A97" s="54"/>
      <c r="B97" s="54"/>
      <c r="C97" s="53"/>
      <c r="D97" s="54"/>
      <c r="E97" s="55" t="str">
        <f aca="false">IF(ISNUMBER(C97),CHOOSE(WEEKDAY(C97),"Domingo","Segunda","Terça","Quarta","Quinta","Sexta","Sábado"),"")</f>
        <v/>
      </c>
      <c r="F97" s="55" t="str">
        <f aca="true">IF(NOT(ISNUMBER(C97)),"",IF(C97=TODAY(),"HOJE",IF(C97=TODAY()+1,"AMANHÃ",IF(C97&lt;TODAY(),"Realizada",IF(C97-TODAY()&lt;=7,"Em "&amp;(C97-TODAY())&amp;" dias","Agendada")))))</f>
        <v/>
      </c>
      <c r="G97" s="55" t="str">
        <f aca="false">IF(OR(A97="",NOT(ISNUMBER(C97))),"",IF(COUNTIFS($A$2:$A$301,A97,$C$2:$C$301,C97)&gt;1,"⚠ Folga duplicada",IF(COUNTIFS(FÉRIAS!$A$2:$A$301,A97,FÉRIAS!$C$2:$C$301,"&lt;="&amp;C97,FÉRIAS!$D$2:$D$301,"&gt;="&amp;C97)&gt;0,"⚠ Está de férias nesta data",IF(COUNTIFS(NATAL!$A$2:$A$301,A97,NATAL!$C$2:$C$301,C97,NATAL!$D$2:$D$301,"FOLGA")+COUNTIFS('ANO NOVO'!$A$2:$A$301,A97,'ANO NOVO'!$C$2:$C$301,C97,'ANO NOVO'!$D$2:$D$301,"FOLGA")&gt;0,"⚠ Folga já lançada em NATAL/ANO NOVO",IF(COUNTIFS(NATAL!$A$2:$A$301,A97,NATAL!$C$2:$C$301,C97,NATAL!$D$2:$D$301,"TRABALHA")+COUNTIFS('ANO NOVO'!$A$2:$A$301,A97,'ANO NOVO'!$C$2:$C$301,C97,'ANO NOVO'!$D$2:$D$301,"TRABALHA")&gt;0,"⚠ Marcado TRABALHA em NATAL/ANO NOVO",IF(COUNTIFS($B$2:$B$301,B97,$C$2:$C$301,C97)&gt;1,"⚠ "&amp;COUNTIFS($B$2:$B$301,B97,$C$2:$C$301,C97)&amp;" pessoas do setor de folga no dia",""))))))</f>
        <v/>
      </c>
    </row>
    <row r="98" customFormat="false" ht="15" hidden="false" customHeight="true" outlineLevel="0" collapsed="false">
      <c r="A98" s="54"/>
      <c r="B98" s="54"/>
      <c r="C98" s="53"/>
      <c r="D98" s="54"/>
      <c r="E98" s="55" t="str">
        <f aca="false">IF(ISNUMBER(C98),CHOOSE(WEEKDAY(C98),"Domingo","Segunda","Terça","Quarta","Quinta","Sexta","Sábado"),"")</f>
        <v/>
      </c>
      <c r="F98" s="55" t="str">
        <f aca="true">IF(NOT(ISNUMBER(C98)),"",IF(C98=TODAY(),"HOJE",IF(C98=TODAY()+1,"AMANHÃ",IF(C98&lt;TODAY(),"Realizada",IF(C98-TODAY()&lt;=7,"Em "&amp;(C98-TODAY())&amp;" dias","Agendada")))))</f>
        <v/>
      </c>
      <c r="G98" s="55" t="str">
        <f aca="false">IF(OR(A98="",NOT(ISNUMBER(C98))),"",IF(COUNTIFS($A$2:$A$301,A98,$C$2:$C$301,C98)&gt;1,"⚠ Folga duplicada",IF(COUNTIFS(FÉRIAS!$A$2:$A$301,A98,FÉRIAS!$C$2:$C$301,"&lt;="&amp;C98,FÉRIAS!$D$2:$D$301,"&gt;="&amp;C98)&gt;0,"⚠ Está de férias nesta data",IF(COUNTIFS(NATAL!$A$2:$A$301,A98,NATAL!$C$2:$C$301,C98,NATAL!$D$2:$D$301,"FOLGA")+COUNTIFS('ANO NOVO'!$A$2:$A$301,A98,'ANO NOVO'!$C$2:$C$301,C98,'ANO NOVO'!$D$2:$D$301,"FOLGA")&gt;0,"⚠ Folga já lançada em NATAL/ANO NOVO",IF(COUNTIFS(NATAL!$A$2:$A$301,A98,NATAL!$C$2:$C$301,C98,NATAL!$D$2:$D$301,"TRABALHA")+COUNTIFS('ANO NOVO'!$A$2:$A$301,A98,'ANO NOVO'!$C$2:$C$301,C98,'ANO NOVO'!$D$2:$D$301,"TRABALHA")&gt;0,"⚠ Marcado TRABALHA em NATAL/ANO NOVO",IF(COUNTIFS($B$2:$B$301,B98,$C$2:$C$301,C98)&gt;1,"⚠ "&amp;COUNTIFS($B$2:$B$301,B98,$C$2:$C$301,C98)&amp;" pessoas do setor de folga no dia",""))))))</f>
        <v/>
      </c>
    </row>
    <row r="99" customFormat="false" ht="15" hidden="false" customHeight="true" outlineLevel="0" collapsed="false">
      <c r="A99" s="54"/>
      <c r="B99" s="54"/>
      <c r="C99" s="53"/>
      <c r="D99" s="54"/>
      <c r="E99" s="55" t="str">
        <f aca="false">IF(ISNUMBER(C99),CHOOSE(WEEKDAY(C99),"Domingo","Segunda","Terça","Quarta","Quinta","Sexta","Sábado"),"")</f>
        <v/>
      </c>
      <c r="F99" s="55" t="str">
        <f aca="true">IF(NOT(ISNUMBER(C99)),"",IF(C99=TODAY(),"HOJE",IF(C99=TODAY()+1,"AMANHÃ",IF(C99&lt;TODAY(),"Realizada",IF(C99-TODAY()&lt;=7,"Em "&amp;(C99-TODAY())&amp;" dias","Agendada")))))</f>
        <v/>
      </c>
      <c r="G99" s="55" t="str">
        <f aca="false">IF(OR(A99="",NOT(ISNUMBER(C99))),"",IF(COUNTIFS($A$2:$A$301,A99,$C$2:$C$301,C99)&gt;1,"⚠ Folga duplicada",IF(COUNTIFS(FÉRIAS!$A$2:$A$301,A99,FÉRIAS!$C$2:$C$301,"&lt;="&amp;C99,FÉRIAS!$D$2:$D$301,"&gt;="&amp;C99)&gt;0,"⚠ Está de férias nesta data",IF(COUNTIFS(NATAL!$A$2:$A$301,A99,NATAL!$C$2:$C$301,C99,NATAL!$D$2:$D$301,"FOLGA")+COUNTIFS('ANO NOVO'!$A$2:$A$301,A99,'ANO NOVO'!$C$2:$C$301,C99,'ANO NOVO'!$D$2:$D$301,"FOLGA")&gt;0,"⚠ Folga já lançada em NATAL/ANO NOVO",IF(COUNTIFS(NATAL!$A$2:$A$301,A99,NATAL!$C$2:$C$301,C99,NATAL!$D$2:$D$301,"TRABALHA")+COUNTIFS('ANO NOVO'!$A$2:$A$301,A99,'ANO NOVO'!$C$2:$C$301,C99,'ANO NOVO'!$D$2:$D$301,"TRABALHA")&gt;0,"⚠ Marcado TRABALHA em NATAL/ANO NOVO",IF(COUNTIFS($B$2:$B$301,B99,$C$2:$C$301,C99)&gt;1,"⚠ "&amp;COUNTIFS($B$2:$B$301,B99,$C$2:$C$301,C99)&amp;" pessoas do setor de folga no dia",""))))))</f>
        <v/>
      </c>
    </row>
    <row r="100" customFormat="false" ht="15" hidden="false" customHeight="true" outlineLevel="0" collapsed="false">
      <c r="A100" s="54"/>
      <c r="B100" s="54"/>
      <c r="C100" s="53"/>
      <c r="D100" s="54"/>
      <c r="E100" s="55" t="str">
        <f aca="false">IF(ISNUMBER(C100),CHOOSE(WEEKDAY(C100),"Domingo","Segunda","Terça","Quarta","Quinta","Sexta","Sábado"),"")</f>
        <v/>
      </c>
      <c r="F100" s="55" t="str">
        <f aca="true">IF(NOT(ISNUMBER(C100)),"",IF(C100=TODAY(),"HOJE",IF(C100=TODAY()+1,"AMANHÃ",IF(C100&lt;TODAY(),"Realizada",IF(C100-TODAY()&lt;=7,"Em "&amp;(C100-TODAY())&amp;" dias","Agendada")))))</f>
        <v/>
      </c>
      <c r="G100" s="55" t="str">
        <f aca="false">IF(OR(A100="",NOT(ISNUMBER(C100))),"",IF(COUNTIFS($A$2:$A$301,A100,$C$2:$C$301,C100)&gt;1,"⚠ Folga duplicada",IF(COUNTIFS(FÉRIAS!$A$2:$A$301,A100,FÉRIAS!$C$2:$C$301,"&lt;="&amp;C100,FÉRIAS!$D$2:$D$301,"&gt;="&amp;C100)&gt;0,"⚠ Está de férias nesta data",IF(COUNTIFS(NATAL!$A$2:$A$301,A100,NATAL!$C$2:$C$301,C100,NATAL!$D$2:$D$301,"FOLGA")+COUNTIFS('ANO NOVO'!$A$2:$A$301,A100,'ANO NOVO'!$C$2:$C$301,C100,'ANO NOVO'!$D$2:$D$301,"FOLGA")&gt;0,"⚠ Folga já lançada em NATAL/ANO NOVO",IF(COUNTIFS(NATAL!$A$2:$A$301,A100,NATAL!$C$2:$C$301,C100,NATAL!$D$2:$D$301,"TRABALHA")+COUNTIFS('ANO NOVO'!$A$2:$A$301,A100,'ANO NOVO'!$C$2:$C$301,C100,'ANO NOVO'!$D$2:$D$301,"TRABALHA")&gt;0,"⚠ Marcado TRABALHA em NATAL/ANO NOVO",IF(COUNTIFS($B$2:$B$301,B100,$C$2:$C$301,C100)&gt;1,"⚠ "&amp;COUNTIFS($B$2:$B$301,B100,$C$2:$C$301,C100)&amp;" pessoas do setor de folga no dia",""))))))</f>
        <v/>
      </c>
    </row>
    <row r="101" customFormat="false" ht="15" hidden="false" customHeight="true" outlineLevel="0" collapsed="false">
      <c r="A101" s="54"/>
      <c r="B101" s="54"/>
      <c r="C101" s="53"/>
      <c r="D101" s="54"/>
      <c r="E101" s="55" t="str">
        <f aca="false">IF(ISNUMBER(C101),CHOOSE(WEEKDAY(C101),"Domingo","Segunda","Terça","Quarta","Quinta","Sexta","Sábado"),"")</f>
        <v/>
      </c>
      <c r="F101" s="55" t="str">
        <f aca="true">IF(NOT(ISNUMBER(C101)),"",IF(C101=TODAY(),"HOJE",IF(C101=TODAY()+1,"AMANHÃ",IF(C101&lt;TODAY(),"Realizada",IF(C101-TODAY()&lt;=7,"Em "&amp;(C101-TODAY())&amp;" dias","Agendada")))))</f>
        <v/>
      </c>
      <c r="G101" s="55" t="str">
        <f aca="false">IF(OR(A101="",NOT(ISNUMBER(C101))),"",IF(COUNTIFS($A$2:$A$301,A101,$C$2:$C$301,C101)&gt;1,"⚠ Folga duplicada",IF(COUNTIFS(FÉRIAS!$A$2:$A$301,A101,FÉRIAS!$C$2:$C$301,"&lt;="&amp;C101,FÉRIAS!$D$2:$D$301,"&gt;="&amp;C101)&gt;0,"⚠ Está de férias nesta data",IF(COUNTIFS(NATAL!$A$2:$A$301,A101,NATAL!$C$2:$C$301,C101,NATAL!$D$2:$D$301,"FOLGA")+COUNTIFS('ANO NOVO'!$A$2:$A$301,A101,'ANO NOVO'!$C$2:$C$301,C101,'ANO NOVO'!$D$2:$D$301,"FOLGA")&gt;0,"⚠ Folga já lançada em NATAL/ANO NOVO",IF(COUNTIFS(NATAL!$A$2:$A$301,A101,NATAL!$C$2:$C$301,C101,NATAL!$D$2:$D$301,"TRABALHA")+COUNTIFS('ANO NOVO'!$A$2:$A$301,A101,'ANO NOVO'!$C$2:$C$301,C101,'ANO NOVO'!$D$2:$D$301,"TRABALHA")&gt;0,"⚠ Marcado TRABALHA em NATAL/ANO NOVO",IF(COUNTIFS($B$2:$B$301,B101,$C$2:$C$301,C101)&gt;1,"⚠ "&amp;COUNTIFS($B$2:$B$301,B101,$C$2:$C$301,C101)&amp;" pessoas do setor de folga no dia",""))))))</f>
        <v/>
      </c>
    </row>
    <row r="102" customFormat="false" ht="15" hidden="false" customHeight="true" outlineLevel="0" collapsed="false">
      <c r="A102" s="54"/>
      <c r="B102" s="54"/>
      <c r="C102" s="53"/>
      <c r="D102" s="54"/>
      <c r="E102" s="55" t="str">
        <f aca="false">IF(ISNUMBER(C102),CHOOSE(WEEKDAY(C102),"Domingo","Segunda","Terça","Quarta","Quinta","Sexta","Sábado"),"")</f>
        <v/>
      </c>
      <c r="F102" s="55" t="str">
        <f aca="true">IF(NOT(ISNUMBER(C102)),"",IF(C102=TODAY(),"HOJE",IF(C102=TODAY()+1,"AMANHÃ",IF(C102&lt;TODAY(),"Realizada",IF(C102-TODAY()&lt;=7,"Em "&amp;(C102-TODAY())&amp;" dias","Agendada")))))</f>
        <v/>
      </c>
      <c r="G102" s="55" t="str">
        <f aca="false">IF(OR(A102="",NOT(ISNUMBER(C102))),"",IF(COUNTIFS($A$2:$A$301,A102,$C$2:$C$301,C102)&gt;1,"⚠ Folga duplicada",IF(COUNTIFS(FÉRIAS!$A$2:$A$301,A102,FÉRIAS!$C$2:$C$301,"&lt;="&amp;C102,FÉRIAS!$D$2:$D$301,"&gt;="&amp;C102)&gt;0,"⚠ Está de férias nesta data",IF(COUNTIFS(NATAL!$A$2:$A$301,A102,NATAL!$C$2:$C$301,C102,NATAL!$D$2:$D$301,"FOLGA")+COUNTIFS('ANO NOVO'!$A$2:$A$301,A102,'ANO NOVO'!$C$2:$C$301,C102,'ANO NOVO'!$D$2:$D$301,"FOLGA")&gt;0,"⚠ Folga já lançada em NATAL/ANO NOVO",IF(COUNTIFS(NATAL!$A$2:$A$301,A102,NATAL!$C$2:$C$301,C102,NATAL!$D$2:$D$301,"TRABALHA")+COUNTIFS('ANO NOVO'!$A$2:$A$301,A102,'ANO NOVO'!$C$2:$C$301,C102,'ANO NOVO'!$D$2:$D$301,"TRABALHA")&gt;0,"⚠ Marcado TRABALHA em NATAL/ANO NOVO",IF(COUNTIFS($B$2:$B$301,B102,$C$2:$C$301,C102)&gt;1,"⚠ "&amp;COUNTIFS($B$2:$B$301,B102,$C$2:$C$301,C102)&amp;" pessoas do setor de folga no dia",""))))))</f>
        <v/>
      </c>
    </row>
    <row r="103" customFormat="false" ht="15" hidden="false" customHeight="true" outlineLevel="0" collapsed="false">
      <c r="A103" s="54"/>
      <c r="B103" s="54"/>
      <c r="C103" s="53"/>
      <c r="D103" s="54"/>
      <c r="E103" s="55" t="str">
        <f aca="false">IF(ISNUMBER(C103),CHOOSE(WEEKDAY(C103),"Domingo","Segunda","Terça","Quarta","Quinta","Sexta","Sábado"),"")</f>
        <v/>
      </c>
      <c r="F103" s="55" t="str">
        <f aca="true">IF(NOT(ISNUMBER(C103)),"",IF(C103=TODAY(),"HOJE",IF(C103=TODAY()+1,"AMANHÃ",IF(C103&lt;TODAY(),"Realizada",IF(C103-TODAY()&lt;=7,"Em "&amp;(C103-TODAY())&amp;" dias","Agendada")))))</f>
        <v/>
      </c>
      <c r="G103" s="55" t="str">
        <f aca="false">IF(OR(A103="",NOT(ISNUMBER(C103))),"",IF(COUNTIFS($A$2:$A$301,A103,$C$2:$C$301,C103)&gt;1,"⚠ Folga duplicada",IF(COUNTIFS(FÉRIAS!$A$2:$A$301,A103,FÉRIAS!$C$2:$C$301,"&lt;="&amp;C103,FÉRIAS!$D$2:$D$301,"&gt;="&amp;C103)&gt;0,"⚠ Está de férias nesta data",IF(COUNTIFS(NATAL!$A$2:$A$301,A103,NATAL!$C$2:$C$301,C103,NATAL!$D$2:$D$301,"FOLGA")+COUNTIFS('ANO NOVO'!$A$2:$A$301,A103,'ANO NOVO'!$C$2:$C$301,C103,'ANO NOVO'!$D$2:$D$301,"FOLGA")&gt;0,"⚠ Folga já lançada em NATAL/ANO NOVO",IF(COUNTIFS(NATAL!$A$2:$A$301,A103,NATAL!$C$2:$C$301,C103,NATAL!$D$2:$D$301,"TRABALHA")+COUNTIFS('ANO NOVO'!$A$2:$A$301,A103,'ANO NOVO'!$C$2:$C$301,C103,'ANO NOVO'!$D$2:$D$301,"TRABALHA")&gt;0,"⚠ Marcado TRABALHA em NATAL/ANO NOVO",IF(COUNTIFS($B$2:$B$301,B103,$C$2:$C$301,C103)&gt;1,"⚠ "&amp;COUNTIFS($B$2:$B$301,B103,$C$2:$C$301,C103)&amp;" pessoas do setor de folga no dia",""))))))</f>
        <v/>
      </c>
    </row>
    <row r="104" customFormat="false" ht="15" hidden="false" customHeight="true" outlineLevel="0" collapsed="false">
      <c r="A104" s="54"/>
      <c r="B104" s="54"/>
      <c r="C104" s="53"/>
      <c r="D104" s="54"/>
      <c r="E104" s="55" t="str">
        <f aca="false">IF(ISNUMBER(C104),CHOOSE(WEEKDAY(C104),"Domingo","Segunda","Terça","Quarta","Quinta","Sexta","Sábado"),"")</f>
        <v/>
      </c>
      <c r="F104" s="55" t="str">
        <f aca="true">IF(NOT(ISNUMBER(C104)),"",IF(C104=TODAY(),"HOJE",IF(C104=TODAY()+1,"AMANHÃ",IF(C104&lt;TODAY(),"Realizada",IF(C104-TODAY()&lt;=7,"Em "&amp;(C104-TODAY())&amp;" dias","Agendada")))))</f>
        <v/>
      </c>
      <c r="G104" s="55" t="str">
        <f aca="false">IF(OR(A104="",NOT(ISNUMBER(C104))),"",IF(COUNTIFS($A$2:$A$301,A104,$C$2:$C$301,C104)&gt;1,"⚠ Folga duplicada",IF(COUNTIFS(FÉRIAS!$A$2:$A$301,A104,FÉRIAS!$C$2:$C$301,"&lt;="&amp;C104,FÉRIAS!$D$2:$D$301,"&gt;="&amp;C104)&gt;0,"⚠ Está de férias nesta data",IF(COUNTIFS(NATAL!$A$2:$A$301,A104,NATAL!$C$2:$C$301,C104,NATAL!$D$2:$D$301,"FOLGA")+COUNTIFS('ANO NOVO'!$A$2:$A$301,A104,'ANO NOVO'!$C$2:$C$301,C104,'ANO NOVO'!$D$2:$D$301,"FOLGA")&gt;0,"⚠ Folga já lançada em NATAL/ANO NOVO",IF(COUNTIFS(NATAL!$A$2:$A$301,A104,NATAL!$C$2:$C$301,C104,NATAL!$D$2:$D$301,"TRABALHA")+COUNTIFS('ANO NOVO'!$A$2:$A$301,A104,'ANO NOVO'!$C$2:$C$301,C104,'ANO NOVO'!$D$2:$D$301,"TRABALHA")&gt;0,"⚠ Marcado TRABALHA em NATAL/ANO NOVO",IF(COUNTIFS($B$2:$B$301,B104,$C$2:$C$301,C104)&gt;1,"⚠ "&amp;COUNTIFS($B$2:$B$301,B104,$C$2:$C$301,C104)&amp;" pessoas do setor de folga no dia",""))))))</f>
        <v/>
      </c>
    </row>
    <row r="105" customFormat="false" ht="15" hidden="false" customHeight="true" outlineLevel="0" collapsed="false">
      <c r="A105" s="54"/>
      <c r="B105" s="54"/>
      <c r="C105" s="53"/>
      <c r="D105" s="54"/>
      <c r="E105" s="55" t="str">
        <f aca="false">IF(ISNUMBER(C105),CHOOSE(WEEKDAY(C105),"Domingo","Segunda","Terça","Quarta","Quinta","Sexta","Sábado"),"")</f>
        <v/>
      </c>
      <c r="F105" s="55" t="str">
        <f aca="true">IF(NOT(ISNUMBER(C105)),"",IF(C105=TODAY(),"HOJE",IF(C105=TODAY()+1,"AMANHÃ",IF(C105&lt;TODAY(),"Realizada",IF(C105-TODAY()&lt;=7,"Em "&amp;(C105-TODAY())&amp;" dias","Agendada")))))</f>
        <v/>
      </c>
      <c r="G105" s="55" t="str">
        <f aca="false">IF(OR(A105="",NOT(ISNUMBER(C105))),"",IF(COUNTIFS($A$2:$A$301,A105,$C$2:$C$301,C105)&gt;1,"⚠ Folga duplicada",IF(COUNTIFS(FÉRIAS!$A$2:$A$301,A105,FÉRIAS!$C$2:$C$301,"&lt;="&amp;C105,FÉRIAS!$D$2:$D$301,"&gt;="&amp;C105)&gt;0,"⚠ Está de férias nesta data",IF(COUNTIFS(NATAL!$A$2:$A$301,A105,NATAL!$C$2:$C$301,C105,NATAL!$D$2:$D$301,"FOLGA")+COUNTIFS('ANO NOVO'!$A$2:$A$301,A105,'ANO NOVO'!$C$2:$C$301,C105,'ANO NOVO'!$D$2:$D$301,"FOLGA")&gt;0,"⚠ Folga já lançada em NATAL/ANO NOVO",IF(COUNTIFS(NATAL!$A$2:$A$301,A105,NATAL!$C$2:$C$301,C105,NATAL!$D$2:$D$301,"TRABALHA")+COUNTIFS('ANO NOVO'!$A$2:$A$301,A105,'ANO NOVO'!$C$2:$C$301,C105,'ANO NOVO'!$D$2:$D$301,"TRABALHA")&gt;0,"⚠ Marcado TRABALHA em NATAL/ANO NOVO",IF(COUNTIFS($B$2:$B$301,B105,$C$2:$C$301,C105)&gt;1,"⚠ "&amp;COUNTIFS($B$2:$B$301,B105,$C$2:$C$301,C105)&amp;" pessoas do setor de folga no dia",""))))))</f>
        <v/>
      </c>
    </row>
    <row r="106" customFormat="false" ht="15" hidden="false" customHeight="true" outlineLevel="0" collapsed="false">
      <c r="A106" s="54"/>
      <c r="B106" s="54"/>
      <c r="C106" s="53"/>
      <c r="D106" s="54"/>
      <c r="E106" s="55" t="str">
        <f aca="false">IF(ISNUMBER(C106),CHOOSE(WEEKDAY(C106),"Domingo","Segunda","Terça","Quarta","Quinta","Sexta","Sábado"),"")</f>
        <v/>
      </c>
      <c r="F106" s="55" t="str">
        <f aca="true">IF(NOT(ISNUMBER(C106)),"",IF(C106=TODAY(),"HOJE",IF(C106=TODAY()+1,"AMANHÃ",IF(C106&lt;TODAY(),"Realizada",IF(C106-TODAY()&lt;=7,"Em "&amp;(C106-TODAY())&amp;" dias","Agendada")))))</f>
        <v/>
      </c>
      <c r="G106" s="55" t="str">
        <f aca="false">IF(OR(A106="",NOT(ISNUMBER(C106))),"",IF(COUNTIFS($A$2:$A$301,A106,$C$2:$C$301,C106)&gt;1,"⚠ Folga duplicada",IF(COUNTIFS(FÉRIAS!$A$2:$A$301,A106,FÉRIAS!$C$2:$C$301,"&lt;="&amp;C106,FÉRIAS!$D$2:$D$301,"&gt;="&amp;C106)&gt;0,"⚠ Está de férias nesta data",IF(COUNTIFS(NATAL!$A$2:$A$301,A106,NATAL!$C$2:$C$301,C106,NATAL!$D$2:$D$301,"FOLGA")+COUNTIFS('ANO NOVO'!$A$2:$A$301,A106,'ANO NOVO'!$C$2:$C$301,C106,'ANO NOVO'!$D$2:$D$301,"FOLGA")&gt;0,"⚠ Folga já lançada em NATAL/ANO NOVO",IF(COUNTIFS(NATAL!$A$2:$A$301,A106,NATAL!$C$2:$C$301,C106,NATAL!$D$2:$D$301,"TRABALHA")+COUNTIFS('ANO NOVO'!$A$2:$A$301,A106,'ANO NOVO'!$C$2:$C$301,C106,'ANO NOVO'!$D$2:$D$301,"TRABALHA")&gt;0,"⚠ Marcado TRABALHA em NATAL/ANO NOVO",IF(COUNTIFS($B$2:$B$301,B106,$C$2:$C$301,C106)&gt;1,"⚠ "&amp;COUNTIFS($B$2:$B$301,B106,$C$2:$C$301,C106)&amp;" pessoas do setor de folga no dia",""))))))</f>
        <v/>
      </c>
    </row>
    <row r="107" customFormat="false" ht="15" hidden="false" customHeight="true" outlineLevel="0" collapsed="false">
      <c r="A107" s="54"/>
      <c r="B107" s="54"/>
      <c r="C107" s="53"/>
      <c r="D107" s="54"/>
      <c r="E107" s="55" t="str">
        <f aca="false">IF(ISNUMBER(C107),CHOOSE(WEEKDAY(C107),"Domingo","Segunda","Terça","Quarta","Quinta","Sexta","Sábado"),"")</f>
        <v/>
      </c>
      <c r="F107" s="55" t="str">
        <f aca="true">IF(NOT(ISNUMBER(C107)),"",IF(C107=TODAY(),"HOJE",IF(C107=TODAY()+1,"AMANHÃ",IF(C107&lt;TODAY(),"Realizada",IF(C107-TODAY()&lt;=7,"Em "&amp;(C107-TODAY())&amp;" dias","Agendada")))))</f>
        <v/>
      </c>
      <c r="G107" s="55" t="str">
        <f aca="false">IF(OR(A107="",NOT(ISNUMBER(C107))),"",IF(COUNTIFS($A$2:$A$301,A107,$C$2:$C$301,C107)&gt;1,"⚠ Folga duplicada",IF(COUNTIFS(FÉRIAS!$A$2:$A$301,A107,FÉRIAS!$C$2:$C$301,"&lt;="&amp;C107,FÉRIAS!$D$2:$D$301,"&gt;="&amp;C107)&gt;0,"⚠ Está de férias nesta data",IF(COUNTIFS(NATAL!$A$2:$A$301,A107,NATAL!$C$2:$C$301,C107,NATAL!$D$2:$D$301,"FOLGA")+COUNTIFS('ANO NOVO'!$A$2:$A$301,A107,'ANO NOVO'!$C$2:$C$301,C107,'ANO NOVO'!$D$2:$D$301,"FOLGA")&gt;0,"⚠ Folga já lançada em NATAL/ANO NOVO",IF(COUNTIFS(NATAL!$A$2:$A$301,A107,NATAL!$C$2:$C$301,C107,NATAL!$D$2:$D$301,"TRABALHA")+COUNTIFS('ANO NOVO'!$A$2:$A$301,A107,'ANO NOVO'!$C$2:$C$301,C107,'ANO NOVO'!$D$2:$D$301,"TRABALHA")&gt;0,"⚠ Marcado TRABALHA em NATAL/ANO NOVO",IF(COUNTIFS($B$2:$B$301,B107,$C$2:$C$301,C107)&gt;1,"⚠ "&amp;COUNTIFS($B$2:$B$301,B107,$C$2:$C$301,C107)&amp;" pessoas do setor de folga no dia",""))))))</f>
        <v/>
      </c>
    </row>
    <row r="108" customFormat="false" ht="15" hidden="false" customHeight="true" outlineLevel="0" collapsed="false">
      <c r="A108" s="54"/>
      <c r="B108" s="54"/>
      <c r="C108" s="53"/>
      <c r="D108" s="54"/>
      <c r="E108" s="55" t="str">
        <f aca="false">IF(ISNUMBER(C108),CHOOSE(WEEKDAY(C108),"Domingo","Segunda","Terça","Quarta","Quinta","Sexta","Sábado"),"")</f>
        <v/>
      </c>
      <c r="F108" s="55" t="str">
        <f aca="true">IF(NOT(ISNUMBER(C108)),"",IF(C108=TODAY(),"HOJE",IF(C108=TODAY()+1,"AMANHÃ",IF(C108&lt;TODAY(),"Realizada",IF(C108-TODAY()&lt;=7,"Em "&amp;(C108-TODAY())&amp;" dias","Agendada")))))</f>
        <v/>
      </c>
      <c r="G108" s="55" t="str">
        <f aca="false">IF(OR(A108="",NOT(ISNUMBER(C108))),"",IF(COUNTIFS($A$2:$A$301,A108,$C$2:$C$301,C108)&gt;1,"⚠ Folga duplicada",IF(COUNTIFS(FÉRIAS!$A$2:$A$301,A108,FÉRIAS!$C$2:$C$301,"&lt;="&amp;C108,FÉRIAS!$D$2:$D$301,"&gt;="&amp;C108)&gt;0,"⚠ Está de férias nesta data",IF(COUNTIFS(NATAL!$A$2:$A$301,A108,NATAL!$C$2:$C$301,C108,NATAL!$D$2:$D$301,"FOLGA")+COUNTIFS('ANO NOVO'!$A$2:$A$301,A108,'ANO NOVO'!$C$2:$C$301,C108,'ANO NOVO'!$D$2:$D$301,"FOLGA")&gt;0,"⚠ Folga já lançada em NATAL/ANO NOVO",IF(COUNTIFS(NATAL!$A$2:$A$301,A108,NATAL!$C$2:$C$301,C108,NATAL!$D$2:$D$301,"TRABALHA")+COUNTIFS('ANO NOVO'!$A$2:$A$301,A108,'ANO NOVO'!$C$2:$C$301,C108,'ANO NOVO'!$D$2:$D$301,"TRABALHA")&gt;0,"⚠ Marcado TRABALHA em NATAL/ANO NOVO",IF(COUNTIFS($B$2:$B$301,B108,$C$2:$C$301,C108)&gt;1,"⚠ "&amp;COUNTIFS($B$2:$B$301,B108,$C$2:$C$301,C108)&amp;" pessoas do setor de folga no dia",""))))))</f>
        <v/>
      </c>
    </row>
    <row r="109" customFormat="false" ht="15" hidden="false" customHeight="true" outlineLevel="0" collapsed="false">
      <c r="A109" s="54"/>
      <c r="B109" s="54"/>
      <c r="C109" s="53"/>
      <c r="D109" s="54"/>
      <c r="E109" s="55" t="str">
        <f aca="false">IF(ISNUMBER(C109),CHOOSE(WEEKDAY(C109),"Domingo","Segunda","Terça","Quarta","Quinta","Sexta","Sábado"),"")</f>
        <v/>
      </c>
      <c r="F109" s="55" t="str">
        <f aca="true">IF(NOT(ISNUMBER(C109)),"",IF(C109=TODAY(),"HOJE",IF(C109=TODAY()+1,"AMANHÃ",IF(C109&lt;TODAY(),"Realizada",IF(C109-TODAY()&lt;=7,"Em "&amp;(C109-TODAY())&amp;" dias","Agendada")))))</f>
        <v/>
      </c>
      <c r="G109" s="55" t="str">
        <f aca="false">IF(OR(A109="",NOT(ISNUMBER(C109))),"",IF(COUNTIFS($A$2:$A$301,A109,$C$2:$C$301,C109)&gt;1,"⚠ Folga duplicada",IF(COUNTIFS(FÉRIAS!$A$2:$A$301,A109,FÉRIAS!$C$2:$C$301,"&lt;="&amp;C109,FÉRIAS!$D$2:$D$301,"&gt;="&amp;C109)&gt;0,"⚠ Está de férias nesta data",IF(COUNTIFS(NATAL!$A$2:$A$301,A109,NATAL!$C$2:$C$301,C109,NATAL!$D$2:$D$301,"FOLGA")+COUNTIFS('ANO NOVO'!$A$2:$A$301,A109,'ANO NOVO'!$C$2:$C$301,C109,'ANO NOVO'!$D$2:$D$301,"FOLGA")&gt;0,"⚠ Folga já lançada em NATAL/ANO NOVO",IF(COUNTIFS(NATAL!$A$2:$A$301,A109,NATAL!$C$2:$C$301,C109,NATAL!$D$2:$D$301,"TRABALHA")+COUNTIFS('ANO NOVO'!$A$2:$A$301,A109,'ANO NOVO'!$C$2:$C$301,C109,'ANO NOVO'!$D$2:$D$301,"TRABALHA")&gt;0,"⚠ Marcado TRABALHA em NATAL/ANO NOVO",IF(COUNTIFS($B$2:$B$301,B109,$C$2:$C$301,C109)&gt;1,"⚠ "&amp;COUNTIFS($B$2:$B$301,B109,$C$2:$C$301,C109)&amp;" pessoas do setor de folga no dia",""))))))</f>
        <v/>
      </c>
    </row>
    <row r="110" customFormat="false" ht="15" hidden="false" customHeight="true" outlineLevel="0" collapsed="false">
      <c r="A110" s="54"/>
      <c r="B110" s="54"/>
      <c r="C110" s="53"/>
      <c r="D110" s="54"/>
      <c r="E110" s="55" t="str">
        <f aca="false">IF(ISNUMBER(C110),CHOOSE(WEEKDAY(C110),"Domingo","Segunda","Terça","Quarta","Quinta","Sexta","Sábado"),"")</f>
        <v/>
      </c>
      <c r="F110" s="55" t="str">
        <f aca="true">IF(NOT(ISNUMBER(C110)),"",IF(C110=TODAY(),"HOJE",IF(C110=TODAY()+1,"AMANHÃ",IF(C110&lt;TODAY(),"Realizada",IF(C110-TODAY()&lt;=7,"Em "&amp;(C110-TODAY())&amp;" dias","Agendada")))))</f>
        <v/>
      </c>
      <c r="G110" s="55" t="str">
        <f aca="false">IF(OR(A110="",NOT(ISNUMBER(C110))),"",IF(COUNTIFS($A$2:$A$301,A110,$C$2:$C$301,C110)&gt;1,"⚠ Folga duplicada",IF(COUNTIFS(FÉRIAS!$A$2:$A$301,A110,FÉRIAS!$C$2:$C$301,"&lt;="&amp;C110,FÉRIAS!$D$2:$D$301,"&gt;="&amp;C110)&gt;0,"⚠ Está de férias nesta data",IF(COUNTIFS(NATAL!$A$2:$A$301,A110,NATAL!$C$2:$C$301,C110,NATAL!$D$2:$D$301,"FOLGA")+COUNTIFS('ANO NOVO'!$A$2:$A$301,A110,'ANO NOVO'!$C$2:$C$301,C110,'ANO NOVO'!$D$2:$D$301,"FOLGA")&gt;0,"⚠ Folga já lançada em NATAL/ANO NOVO",IF(COUNTIFS(NATAL!$A$2:$A$301,A110,NATAL!$C$2:$C$301,C110,NATAL!$D$2:$D$301,"TRABALHA")+COUNTIFS('ANO NOVO'!$A$2:$A$301,A110,'ANO NOVO'!$C$2:$C$301,C110,'ANO NOVO'!$D$2:$D$301,"TRABALHA")&gt;0,"⚠ Marcado TRABALHA em NATAL/ANO NOVO",IF(COUNTIFS($B$2:$B$301,B110,$C$2:$C$301,C110)&gt;1,"⚠ "&amp;COUNTIFS($B$2:$B$301,B110,$C$2:$C$301,C110)&amp;" pessoas do setor de folga no dia",""))))))</f>
        <v/>
      </c>
    </row>
    <row r="111" customFormat="false" ht="15" hidden="false" customHeight="true" outlineLevel="0" collapsed="false">
      <c r="A111" s="54"/>
      <c r="B111" s="54"/>
      <c r="C111" s="53"/>
      <c r="D111" s="54"/>
      <c r="E111" s="55" t="str">
        <f aca="false">IF(ISNUMBER(C111),CHOOSE(WEEKDAY(C111),"Domingo","Segunda","Terça","Quarta","Quinta","Sexta","Sábado"),"")</f>
        <v/>
      </c>
      <c r="F111" s="55" t="str">
        <f aca="true">IF(NOT(ISNUMBER(C111)),"",IF(C111=TODAY(),"HOJE",IF(C111=TODAY()+1,"AMANHÃ",IF(C111&lt;TODAY(),"Realizada",IF(C111-TODAY()&lt;=7,"Em "&amp;(C111-TODAY())&amp;" dias","Agendada")))))</f>
        <v/>
      </c>
      <c r="G111" s="55" t="str">
        <f aca="false">IF(OR(A111="",NOT(ISNUMBER(C111))),"",IF(COUNTIFS($A$2:$A$301,A111,$C$2:$C$301,C111)&gt;1,"⚠ Folga duplicada",IF(COUNTIFS(FÉRIAS!$A$2:$A$301,A111,FÉRIAS!$C$2:$C$301,"&lt;="&amp;C111,FÉRIAS!$D$2:$D$301,"&gt;="&amp;C111)&gt;0,"⚠ Está de férias nesta data",IF(COUNTIFS(NATAL!$A$2:$A$301,A111,NATAL!$C$2:$C$301,C111,NATAL!$D$2:$D$301,"FOLGA")+COUNTIFS('ANO NOVO'!$A$2:$A$301,A111,'ANO NOVO'!$C$2:$C$301,C111,'ANO NOVO'!$D$2:$D$301,"FOLGA")&gt;0,"⚠ Folga já lançada em NATAL/ANO NOVO",IF(COUNTIFS(NATAL!$A$2:$A$301,A111,NATAL!$C$2:$C$301,C111,NATAL!$D$2:$D$301,"TRABALHA")+COUNTIFS('ANO NOVO'!$A$2:$A$301,A111,'ANO NOVO'!$C$2:$C$301,C111,'ANO NOVO'!$D$2:$D$301,"TRABALHA")&gt;0,"⚠ Marcado TRABALHA em NATAL/ANO NOVO",IF(COUNTIFS($B$2:$B$301,B111,$C$2:$C$301,C111)&gt;1,"⚠ "&amp;COUNTIFS($B$2:$B$301,B111,$C$2:$C$301,C111)&amp;" pessoas do setor de folga no dia",""))))))</f>
        <v/>
      </c>
    </row>
    <row r="112" customFormat="false" ht="15" hidden="false" customHeight="true" outlineLevel="0" collapsed="false">
      <c r="A112" s="54"/>
      <c r="B112" s="54"/>
      <c r="C112" s="53"/>
      <c r="D112" s="54"/>
      <c r="E112" s="55" t="str">
        <f aca="false">IF(ISNUMBER(C112),CHOOSE(WEEKDAY(C112),"Domingo","Segunda","Terça","Quarta","Quinta","Sexta","Sábado"),"")</f>
        <v/>
      </c>
      <c r="F112" s="55" t="str">
        <f aca="true">IF(NOT(ISNUMBER(C112)),"",IF(C112=TODAY(),"HOJE",IF(C112=TODAY()+1,"AMANHÃ",IF(C112&lt;TODAY(),"Realizada",IF(C112-TODAY()&lt;=7,"Em "&amp;(C112-TODAY())&amp;" dias","Agendada")))))</f>
        <v/>
      </c>
      <c r="G112" s="55" t="str">
        <f aca="false">IF(OR(A112="",NOT(ISNUMBER(C112))),"",IF(COUNTIFS($A$2:$A$301,A112,$C$2:$C$301,C112)&gt;1,"⚠ Folga duplicada",IF(COUNTIFS(FÉRIAS!$A$2:$A$301,A112,FÉRIAS!$C$2:$C$301,"&lt;="&amp;C112,FÉRIAS!$D$2:$D$301,"&gt;="&amp;C112)&gt;0,"⚠ Está de férias nesta data",IF(COUNTIFS(NATAL!$A$2:$A$301,A112,NATAL!$C$2:$C$301,C112,NATAL!$D$2:$D$301,"FOLGA")+COUNTIFS('ANO NOVO'!$A$2:$A$301,A112,'ANO NOVO'!$C$2:$C$301,C112,'ANO NOVO'!$D$2:$D$301,"FOLGA")&gt;0,"⚠ Folga já lançada em NATAL/ANO NOVO",IF(COUNTIFS(NATAL!$A$2:$A$301,A112,NATAL!$C$2:$C$301,C112,NATAL!$D$2:$D$301,"TRABALHA")+COUNTIFS('ANO NOVO'!$A$2:$A$301,A112,'ANO NOVO'!$C$2:$C$301,C112,'ANO NOVO'!$D$2:$D$301,"TRABALHA")&gt;0,"⚠ Marcado TRABALHA em NATAL/ANO NOVO",IF(COUNTIFS($B$2:$B$301,B112,$C$2:$C$301,C112)&gt;1,"⚠ "&amp;COUNTIFS($B$2:$B$301,B112,$C$2:$C$301,C112)&amp;" pessoas do setor de folga no dia",""))))))</f>
        <v/>
      </c>
    </row>
    <row r="113" customFormat="false" ht="15" hidden="false" customHeight="true" outlineLevel="0" collapsed="false">
      <c r="A113" s="54"/>
      <c r="B113" s="54"/>
      <c r="C113" s="53"/>
      <c r="D113" s="54"/>
      <c r="E113" s="55" t="str">
        <f aca="false">IF(ISNUMBER(C113),CHOOSE(WEEKDAY(C113),"Domingo","Segunda","Terça","Quarta","Quinta","Sexta","Sábado"),"")</f>
        <v/>
      </c>
      <c r="F113" s="55" t="str">
        <f aca="true">IF(NOT(ISNUMBER(C113)),"",IF(C113=TODAY(),"HOJE",IF(C113=TODAY()+1,"AMANHÃ",IF(C113&lt;TODAY(),"Realizada",IF(C113-TODAY()&lt;=7,"Em "&amp;(C113-TODAY())&amp;" dias","Agendada")))))</f>
        <v/>
      </c>
      <c r="G113" s="55" t="str">
        <f aca="false">IF(OR(A113="",NOT(ISNUMBER(C113))),"",IF(COUNTIFS($A$2:$A$301,A113,$C$2:$C$301,C113)&gt;1,"⚠ Folga duplicada",IF(COUNTIFS(FÉRIAS!$A$2:$A$301,A113,FÉRIAS!$C$2:$C$301,"&lt;="&amp;C113,FÉRIAS!$D$2:$D$301,"&gt;="&amp;C113)&gt;0,"⚠ Está de férias nesta data",IF(COUNTIFS(NATAL!$A$2:$A$301,A113,NATAL!$C$2:$C$301,C113,NATAL!$D$2:$D$301,"FOLGA")+COUNTIFS('ANO NOVO'!$A$2:$A$301,A113,'ANO NOVO'!$C$2:$C$301,C113,'ANO NOVO'!$D$2:$D$301,"FOLGA")&gt;0,"⚠ Folga já lançada em NATAL/ANO NOVO",IF(COUNTIFS(NATAL!$A$2:$A$301,A113,NATAL!$C$2:$C$301,C113,NATAL!$D$2:$D$301,"TRABALHA")+COUNTIFS('ANO NOVO'!$A$2:$A$301,A113,'ANO NOVO'!$C$2:$C$301,C113,'ANO NOVO'!$D$2:$D$301,"TRABALHA")&gt;0,"⚠ Marcado TRABALHA em NATAL/ANO NOVO",IF(COUNTIFS($B$2:$B$301,B113,$C$2:$C$301,C113)&gt;1,"⚠ "&amp;COUNTIFS($B$2:$B$301,B113,$C$2:$C$301,C113)&amp;" pessoas do setor de folga no dia",""))))))</f>
        <v/>
      </c>
    </row>
    <row r="114" customFormat="false" ht="15" hidden="false" customHeight="true" outlineLevel="0" collapsed="false">
      <c r="A114" s="54"/>
      <c r="B114" s="54"/>
      <c r="C114" s="53"/>
      <c r="D114" s="54"/>
      <c r="E114" s="55" t="str">
        <f aca="false">IF(ISNUMBER(C114),CHOOSE(WEEKDAY(C114),"Domingo","Segunda","Terça","Quarta","Quinta","Sexta","Sábado"),"")</f>
        <v/>
      </c>
      <c r="F114" s="55" t="str">
        <f aca="true">IF(NOT(ISNUMBER(C114)),"",IF(C114=TODAY(),"HOJE",IF(C114=TODAY()+1,"AMANHÃ",IF(C114&lt;TODAY(),"Realizada",IF(C114-TODAY()&lt;=7,"Em "&amp;(C114-TODAY())&amp;" dias","Agendada")))))</f>
        <v/>
      </c>
      <c r="G114" s="55" t="str">
        <f aca="false">IF(OR(A114="",NOT(ISNUMBER(C114))),"",IF(COUNTIFS($A$2:$A$301,A114,$C$2:$C$301,C114)&gt;1,"⚠ Folga duplicada",IF(COUNTIFS(FÉRIAS!$A$2:$A$301,A114,FÉRIAS!$C$2:$C$301,"&lt;="&amp;C114,FÉRIAS!$D$2:$D$301,"&gt;="&amp;C114)&gt;0,"⚠ Está de férias nesta data",IF(COUNTIFS(NATAL!$A$2:$A$301,A114,NATAL!$C$2:$C$301,C114,NATAL!$D$2:$D$301,"FOLGA")+COUNTIFS('ANO NOVO'!$A$2:$A$301,A114,'ANO NOVO'!$C$2:$C$301,C114,'ANO NOVO'!$D$2:$D$301,"FOLGA")&gt;0,"⚠ Folga já lançada em NATAL/ANO NOVO",IF(COUNTIFS(NATAL!$A$2:$A$301,A114,NATAL!$C$2:$C$301,C114,NATAL!$D$2:$D$301,"TRABALHA")+COUNTIFS('ANO NOVO'!$A$2:$A$301,A114,'ANO NOVO'!$C$2:$C$301,C114,'ANO NOVO'!$D$2:$D$301,"TRABALHA")&gt;0,"⚠ Marcado TRABALHA em NATAL/ANO NOVO",IF(COUNTIFS($B$2:$B$301,B114,$C$2:$C$301,C114)&gt;1,"⚠ "&amp;COUNTIFS($B$2:$B$301,B114,$C$2:$C$301,C114)&amp;" pessoas do setor de folga no dia",""))))))</f>
        <v/>
      </c>
    </row>
    <row r="115" customFormat="false" ht="15" hidden="false" customHeight="true" outlineLevel="0" collapsed="false">
      <c r="A115" s="54"/>
      <c r="B115" s="54"/>
      <c r="C115" s="53"/>
      <c r="D115" s="54"/>
      <c r="E115" s="55" t="str">
        <f aca="false">IF(ISNUMBER(C115),CHOOSE(WEEKDAY(C115),"Domingo","Segunda","Terça","Quarta","Quinta","Sexta","Sábado"),"")</f>
        <v/>
      </c>
      <c r="F115" s="55" t="str">
        <f aca="true">IF(NOT(ISNUMBER(C115)),"",IF(C115=TODAY(),"HOJE",IF(C115=TODAY()+1,"AMANHÃ",IF(C115&lt;TODAY(),"Realizada",IF(C115-TODAY()&lt;=7,"Em "&amp;(C115-TODAY())&amp;" dias","Agendada")))))</f>
        <v/>
      </c>
      <c r="G115" s="55" t="str">
        <f aca="false">IF(OR(A115="",NOT(ISNUMBER(C115))),"",IF(COUNTIFS($A$2:$A$301,A115,$C$2:$C$301,C115)&gt;1,"⚠ Folga duplicada",IF(COUNTIFS(FÉRIAS!$A$2:$A$301,A115,FÉRIAS!$C$2:$C$301,"&lt;="&amp;C115,FÉRIAS!$D$2:$D$301,"&gt;="&amp;C115)&gt;0,"⚠ Está de férias nesta data",IF(COUNTIFS(NATAL!$A$2:$A$301,A115,NATAL!$C$2:$C$301,C115,NATAL!$D$2:$D$301,"FOLGA")+COUNTIFS('ANO NOVO'!$A$2:$A$301,A115,'ANO NOVO'!$C$2:$C$301,C115,'ANO NOVO'!$D$2:$D$301,"FOLGA")&gt;0,"⚠ Folga já lançada em NATAL/ANO NOVO",IF(COUNTIFS(NATAL!$A$2:$A$301,A115,NATAL!$C$2:$C$301,C115,NATAL!$D$2:$D$301,"TRABALHA")+COUNTIFS('ANO NOVO'!$A$2:$A$301,A115,'ANO NOVO'!$C$2:$C$301,C115,'ANO NOVO'!$D$2:$D$301,"TRABALHA")&gt;0,"⚠ Marcado TRABALHA em NATAL/ANO NOVO",IF(COUNTIFS($B$2:$B$301,B115,$C$2:$C$301,C115)&gt;1,"⚠ "&amp;COUNTIFS($B$2:$B$301,B115,$C$2:$C$301,C115)&amp;" pessoas do setor de folga no dia",""))))))</f>
        <v/>
      </c>
    </row>
    <row r="116" customFormat="false" ht="15" hidden="false" customHeight="true" outlineLevel="0" collapsed="false">
      <c r="A116" s="54"/>
      <c r="B116" s="54"/>
      <c r="C116" s="53"/>
      <c r="D116" s="54"/>
      <c r="E116" s="55" t="str">
        <f aca="false">IF(ISNUMBER(C116),CHOOSE(WEEKDAY(C116),"Domingo","Segunda","Terça","Quarta","Quinta","Sexta","Sábado"),"")</f>
        <v/>
      </c>
      <c r="F116" s="55" t="str">
        <f aca="true">IF(NOT(ISNUMBER(C116)),"",IF(C116=TODAY(),"HOJE",IF(C116=TODAY()+1,"AMANHÃ",IF(C116&lt;TODAY(),"Realizada",IF(C116-TODAY()&lt;=7,"Em "&amp;(C116-TODAY())&amp;" dias","Agendada")))))</f>
        <v/>
      </c>
      <c r="G116" s="55" t="str">
        <f aca="false">IF(OR(A116="",NOT(ISNUMBER(C116))),"",IF(COUNTIFS($A$2:$A$301,A116,$C$2:$C$301,C116)&gt;1,"⚠ Folga duplicada",IF(COUNTIFS(FÉRIAS!$A$2:$A$301,A116,FÉRIAS!$C$2:$C$301,"&lt;="&amp;C116,FÉRIAS!$D$2:$D$301,"&gt;="&amp;C116)&gt;0,"⚠ Está de férias nesta data",IF(COUNTIFS(NATAL!$A$2:$A$301,A116,NATAL!$C$2:$C$301,C116,NATAL!$D$2:$D$301,"FOLGA")+COUNTIFS('ANO NOVO'!$A$2:$A$301,A116,'ANO NOVO'!$C$2:$C$301,C116,'ANO NOVO'!$D$2:$D$301,"FOLGA")&gt;0,"⚠ Folga já lançada em NATAL/ANO NOVO",IF(COUNTIFS(NATAL!$A$2:$A$301,A116,NATAL!$C$2:$C$301,C116,NATAL!$D$2:$D$301,"TRABALHA")+COUNTIFS('ANO NOVO'!$A$2:$A$301,A116,'ANO NOVO'!$C$2:$C$301,C116,'ANO NOVO'!$D$2:$D$301,"TRABALHA")&gt;0,"⚠ Marcado TRABALHA em NATAL/ANO NOVO",IF(COUNTIFS($B$2:$B$301,B116,$C$2:$C$301,C116)&gt;1,"⚠ "&amp;COUNTIFS($B$2:$B$301,B116,$C$2:$C$301,C116)&amp;" pessoas do setor de folga no dia",""))))))</f>
        <v/>
      </c>
    </row>
    <row r="117" customFormat="false" ht="15" hidden="false" customHeight="true" outlineLevel="0" collapsed="false">
      <c r="A117" s="54"/>
      <c r="B117" s="54"/>
      <c r="C117" s="53"/>
      <c r="D117" s="54"/>
      <c r="E117" s="55" t="str">
        <f aca="false">IF(ISNUMBER(C117),CHOOSE(WEEKDAY(C117),"Domingo","Segunda","Terça","Quarta","Quinta","Sexta","Sábado"),"")</f>
        <v/>
      </c>
      <c r="F117" s="55" t="str">
        <f aca="true">IF(NOT(ISNUMBER(C117)),"",IF(C117=TODAY(),"HOJE",IF(C117=TODAY()+1,"AMANHÃ",IF(C117&lt;TODAY(),"Realizada",IF(C117-TODAY()&lt;=7,"Em "&amp;(C117-TODAY())&amp;" dias","Agendada")))))</f>
        <v/>
      </c>
      <c r="G117" s="55" t="str">
        <f aca="false">IF(OR(A117="",NOT(ISNUMBER(C117))),"",IF(COUNTIFS($A$2:$A$301,A117,$C$2:$C$301,C117)&gt;1,"⚠ Folga duplicada",IF(COUNTIFS(FÉRIAS!$A$2:$A$301,A117,FÉRIAS!$C$2:$C$301,"&lt;="&amp;C117,FÉRIAS!$D$2:$D$301,"&gt;="&amp;C117)&gt;0,"⚠ Está de férias nesta data",IF(COUNTIFS(NATAL!$A$2:$A$301,A117,NATAL!$C$2:$C$301,C117,NATAL!$D$2:$D$301,"FOLGA")+COUNTIFS('ANO NOVO'!$A$2:$A$301,A117,'ANO NOVO'!$C$2:$C$301,C117,'ANO NOVO'!$D$2:$D$301,"FOLGA")&gt;0,"⚠ Folga já lançada em NATAL/ANO NOVO",IF(COUNTIFS(NATAL!$A$2:$A$301,A117,NATAL!$C$2:$C$301,C117,NATAL!$D$2:$D$301,"TRABALHA")+COUNTIFS('ANO NOVO'!$A$2:$A$301,A117,'ANO NOVO'!$C$2:$C$301,C117,'ANO NOVO'!$D$2:$D$301,"TRABALHA")&gt;0,"⚠ Marcado TRABALHA em NATAL/ANO NOVO",IF(COUNTIFS($B$2:$B$301,B117,$C$2:$C$301,C117)&gt;1,"⚠ "&amp;COUNTIFS($B$2:$B$301,B117,$C$2:$C$301,C117)&amp;" pessoas do setor de folga no dia",""))))))</f>
        <v/>
      </c>
    </row>
    <row r="118" customFormat="false" ht="15" hidden="false" customHeight="true" outlineLevel="0" collapsed="false">
      <c r="A118" s="54"/>
      <c r="B118" s="54"/>
      <c r="C118" s="53"/>
      <c r="D118" s="54"/>
      <c r="E118" s="55" t="str">
        <f aca="false">IF(ISNUMBER(C118),CHOOSE(WEEKDAY(C118),"Domingo","Segunda","Terça","Quarta","Quinta","Sexta","Sábado"),"")</f>
        <v/>
      </c>
      <c r="F118" s="55" t="str">
        <f aca="true">IF(NOT(ISNUMBER(C118)),"",IF(C118=TODAY(),"HOJE",IF(C118=TODAY()+1,"AMANHÃ",IF(C118&lt;TODAY(),"Realizada",IF(C118-TODAY()&lt;=7,"Em "&amp;(C118-TODAY())&amp;" dias","Agendada")))))</f>
        <v/>
      </c>
      <c r="G118" s="55" t="str">
        <f aca="false">IF(OR(A118="",NOT(ISNUMBER(C118))),"",IF(COUNTIFS($A$2:$A$301,A118,$C$2:$C$301,C118)&gt;1,"⚠ Folga duplicada",IF(COUNTIFS(FÉRIAS!$A$2:$A$301,A118,FÉRIAS!$C$2:$C$301,"&lt;="&amp;C118,FÉRIAS!$D$2:$D$301,"&gt;="&amp;C118)&gt;0,"⚠ Está de férias nesta data",IF(COUNTIFS(NATAL!$A$2:$A$301,A118,NATAL!$C$2:$C$301,C118,NATAL!$D$2:$D$301,"FOLGA")+COUNTIFS('ANO NOVO'!$A$2:$A$301,A118,'ANO NOVO'!$C$2:$C$301,C118,'ANO NOVO'!$D$2:$D$301,"FOLGA")&gt;0,"⚠ Folga já lançada em NATAL/ANO NOVO",IF(COUNTIFS(NATAL!$A$2:$A$301,A118,NATAL!$C$2:$C$301,C118,NATAL!$D$2:$D$301,"TRABALHA")+COUNTIFS('ANO NOVO'!$A$2:$A$301,A118,'ANO NOVO'!$C$2:$C$301,C118,'ANO NOVO'!$D$2:$D$301,"TRABALHA")&gt;0,"⚠ Marcado TRABALHA em NATAL/ANO NOVO",IF(COUNTIFS($B$2:$B$301,B118,$C$2:$C$301,C118)&gt;1,"⚠ "&amp;COUNTIFS($B$2:$B$301,B118,$C$2:$C$301,C118)&amp;" pessoas do setor de folga no dia",""))))))</f>
        <v/>
      </c>
    </row>
    <row r="119" customFormat="false" ht="15" hidden="false" customHeight="true" outlineLevel="0" collapsed="false">
      <c r="A119" s="54"/>
      <c r="B119" s="54"/>
      <c r="C119" s="53"/>
      <c r="D119" s="54"/>
      <c r="E119" s="55" t="str">
        <f aca="false">IF(ISNUMBER(C119),CHOOSE(WEEKDAY(C119),"Domingo","Segunda","Terça","Quarta","Quinta","Sexta","Sábado"),"")</f>
        <v/>
      </c>
      <c r="F119" s="55" t="str">
        <f aca="true">IF(NOT(ISNUMBER(C119)),"",IF(C119=TODAY(),"HOJE",IF(C119=TODAY()+1,"AMANHÃ",IF(C119&lt;TODAY(),"Realizada",IF(C119-TODAY()&lt;=7,"Em "&amp;(C119-TODAY())&amp;" dias","Agendada")))))</f>
        <v/>
      </c>
      <c r="G119" s="55" t="str">
        <f aca="false">IF(OR(A119="",NOT(ISNUMBER(C119))),"",IF(COUNTIFS($A$2:$A$301,A119,$C$2:$C$301,C119)&gt;1,"⚠ Folga duplicada",IF(COUNTIFS(FÉRIAS!$A$2:$A$301,A119,FÉRIAS!$C$2:$C$301,"&lt;="&amp;C119,FÉRIAS!$D$2:$D$301,"&gt;="&amp;C119)&gt;0,"⚠ Está de férias nesta data",IF(COUNTIFS(NATAL!$A$2:$A$301,A119,NATAL!$C$2:$C$301,C119,NATAL!$D$2:$D$301,"FOLGA")+COUNTIFS('ANO NOVO'!$A$2:$A$301,A119,'ANO NOVO'!$C$2:$C$301,C119,'ANO NOVO'!$D$2:$D$301,"FOLGA")&gt;0,"⚠ Folga já lançada em NATAL/ANO NOVO",IF(COUNTIFS(NATAL!$A$2:$A$301,A119,NATAL!$C$2:$C$301,C119,NATAL!$D$2:$D$301,"TRABALHA")+COUNTIFS('ANO NOVO'!$A$2:$A$301,A119,'ANO NOVO'!$C$2:$C$301,C119,'ANO NOVO'!$D$2:$D$301,"TRABALHA")&gt;0,"⚠ Marcado TRABALHA em NATAL/ANO NOVO",IF(COUNTIFS($B$2:$B$301,B119,$C$2:$C$301,C119)&gt;1,"⚠ "&amp;COUNTIFS($B$2:$B$301,B119,$C$2:$C$301,C119)&amp;" pessoas do setor de folga no dia",""))))))</f>
        <v/>
      </c>
    </row>
    <row r="120" customFormat="false" ht="15" hidden="false" customHeight="true" outlineLevel="0" collapsed="false">
      <c r="A120" s="54"/>
      <c r="B120" s="54"/>
      <c r="C120" s="53"/>
      <c r="D120" s="54"/>
      <c r="E120" s="55" t="str">
        <f aca="false">IF(ISNUMBER(C120),CHOOSE(WEEKDAY(C120),"Domingo","Segunda","Terça","Quarta","Quinta","Sexta","Sábado"),"")</f>
        <v/>
      </c>
      <c r="F120" s="55" t="str">
        <f aca="true">IF(NOT(ISNUMBER(C120)),"",IF(C120=TODAY(),"HOJE",IF(C120=TODAY()+1,"AMANHÃ",IF(C120&lt;TODAY(),"Realizada",IF(C120-TODAY()&lt;=7,"Em "&amp;(C120-TODAY())&amp;" dias","Agendada")))))</f>
        <v/>
      </c>
      <c r="G120" s="55" t="str">
        <f aca="false">IF(OR(A120="",NOT(ISNUMBER(C120))),"",IF(COUNTIFS($A$2:$A$301,A120,$C$2:$C$301,C120)&gt;1,"⚠ Folga duplicada",IF(COUNTIFS(FÉRIAS!$A$2:$A$301,A120,FÉRIAS!$C$2:$C$301,"&lt;="&amp;C120,FÉRIAS!$D$2:$D$301,"&gt;="&amp;C120)&gt;0,"⚠ Está de férias nesta data",IF(COUNTIFS(NATAL!$A$2:$A$301,A120,NATAL!$C$2:$C$301,C120,NATAL!$D$2:$D$301,"FOLGA")+COUNTIFS('ANO NOVO'!$A$2:$A$301,A120,'ANO NOVO'!$C$2:$C$301,C120,'ANO NOVO'!$D$2:$D$301,"FOLGA")&gt;0,"⚠ Folga já lançada em NATAL/ANO NOVO",IF(COUNTIFS(NATAL!$A$2:$A$301,A120,NATAL!$C$2:$C$301,C120,NATAL!$D$2:$D$301,"TRABALHA")+COUNTIFS('ANO NOVO'!$A$2:$A$301,A120,'ANO NOVO'!$C$2:$C$301,C120,'ANO NOVO'!$D$2:$D$301,"TRABALHA")&gt;0,"⚠ Marcado TRABALHA em NATAL/ANO NOVO",IF(COUNTIFS($B$2:$B$301,B120,$C$2:$C$301,C120)&gt;1,"⚠ "&amp;COUNTIFS($B$2:$B$301,B120,$C$2:$C$301,C120)&amp;" pessoas do setor de folga no dia",""))))))</f>
        <v/>
      </c>
    </row>
    <row r="121" customFormat="false" ht="15" hidden="false" customHeight="true" outlineLevel="0" collapsed="false">
      <c r="A121" s="54"/>
      <c r="B121" s="54"/>
      <c r="C121" s="53"/>
      <c r="D121" s="54"/>
      <c r="E121" s="55" t="str">
        <f aca="false">IF(ISNUMBER(C121),CHOOSE(WEEKDAY(C121),"Domingo","Segunda","Terça","Quarta","Quinta","Sexta","Sábado"),"")</f>
        <v/>
      </c>
      <c r="F121" s="55" t="str">
        <f aca="true">IF(NOT(ISNUMBER(C121)),"",IF(C121=TODAY(),"HOJE",IF(C121=TODAY()+1,"AMANHÃ",IF(C121&lt;TODAY(),"Realizada",IF(C121-TODAY()&lt;=7,"Em "&amp;(C121-TODAY())&amp;" dias","Agendada")))))</f>
        <v/>
      </c>
      <c r="G121" s="55" t="str">
        <f aca="false">IF(OR(A121="",NOT(ISNUMBER(C121))),"",IF(COUNTIFS($A$2:$A$301,A121,$C$2:$C$301,C121)&gt;1,"⚠ Folga duplicada",IF(COUNTIFS(FÉRIAS!$A$2:$A$301,A121,FÉRIAS!$C$2:$C$301,"&lt;="&amp;C121,FÉRIAS!$D$2:$D$301,"&gt;="&amp;C121)&gt;0,"⚠ Está de férias nesta data",IF(COUNTIFS(NATAL!$A$2:$A$301,A121,NATAL!$C$2:$C$301,C121,NATAL!$D$2:$D$301,"FOLGA")+COUNTIFS('ANO NOVO'!$A$2:$A$301,A121,'ANO NOVO'!$C$2:$C$301,C121,'ANO NOVO'!$D$2:$D$301,"FOLGA")&gt;0,"⚠ Folga já lançada em NATAL/ANO NOVO",IF(COUNTIFS(NATAL!$A$2:$A$301,A121,NATAL!$C$2:$C$301,C121,NATAL!$D$2:$D$301,"TRABALHA")+COUNTIFS('ANO NOVO'!$A$2:$A$301,A121,'ANO NOVO'!$C$2:$C$301,C121,'ANO NOVO'!$D$2:$D$301,"TRABALHA")&gt;0,"⚠ Marcado TRABALHA em NATAL/ANO NOVO",IF(COUNTIFS($B$2:$B$301,B121,$C$2:$C$301,C121)&gt;1,"⚠ "&amp;COUNTIFS($B$2:$B$301,B121,$C$2:$C$301,C121)&amp;" pessoas do setor de folga no dia",""))))))</f>
        <v/>
      </c>
    </row>
    <row r="122" customFormat="false" ht="15" hidden="false" customHeight="true" outlineLevel="0" collapsed="false">
      <c r="A122" s="54"/>
      <c r="B122" s="54"/>
      <c r="C122" s="53"/>
      <c r="D122" s="54"/>
      <c r="E122" s="55" t="str">
        <f aca="false">IF(ISNUMBER(C122),CHOOSE(WEEKDAY(C122),"Domingo","Segunda","Terça","Quarta","Quinta","Sexta","Sábado"),"")</f>
        <v/>
      </c>
      <c r="F122" s="55" t="str">
        <f aca="true">IF(NOT(ISNUMBER(C122)),"",IF(C122=TODAY(),"HOJE",IF(C122=TODAY()+1,"AMANHÃ",IF(C122&lt;TODAY(),"Realizada",IF(C122-TODAY()&lt;=7,"Em "&amp;(C122-TODAY())&amp;" dias","Agendada")))))</f>
        <v/>
      </c>
      <c r="G122" s="55" t="str">
        <f aca="false">IF(OR(A122="",NOT(ISNUMBER(C122))),"",IF(COUNTIFS($A$2:$A$301,A122,$C$2:$C$301,C122)&gt;1,"⚠ Folga duplicada",IF(COUNTIFS(FÉRIAS!$A$2:$A$301,A122,FÉRIAS!$C$2:$C$301,"&lt;="&amp;C122,FÉRIAS!$D$2:$D$301,"&gt;="&amp;C122)&gt;0,"⚠ Está de férias nesta data",IF(COUNTIFS(NATAL!$A$2:$A$301,A122,NATAL!$C$2:$C$301,C122,NATAL!$D$2:$D$301,"FOLGA")+COUNTIFS('ANO NOVO'!$A$2:$A$301,A122,'ANO NOVO'!$C$2:$C$301,C122,'ANO NOVO'!$D$2:$D$301,"FOLGA")&gt;0,"⚠ Folga já lançada em NATAL/ANO NOVO",IF(COUNTIFS(NATAL!$A$2:$A$301,A122,NATAL!$C$2:$C$301,C122,NATAL!$D$2:$D$301,"TRABALHA")+COUNTIFS('ANO NOVO'!$A$2:$A$301,A122,'ANO NOVO'!$C$2:$C$301,C122,'ANO NOVO'!$D$2:$D$301,"TRABALHA")&gt;0,"⚠ Marcado TRABALHA em NATAL/ANO NOVO",IF(COUNTIFS($B$2:$B$301,B122,$C$2:$C$301,C122)&gt;1,"⚠ "&amp;COUNTIFS($B$2:$B$301,B122,$C$2:$C$301,C122)&amp;" pessoas do setor de folga no dia",""))))))</f>
        <v/>
      </c>
    </row>
    <row r="123" customFormat="false" ht="15" hidden="false" customHeight="true" outlineLevel="0" collapsed="false">
      <c r="A123" s="54"/>
      <c r="B123" s="54"/>
      <c r="C123" s="53"/>
      <c r="D123" s="54"/>
      <c r="E123" s="55" t="str">
        <f aca="false">IF(ISNUMBER(C123),CHOOSE(WEEKDAY(C123),"Domingo","Segunda","Terça","Quarta","Quinta","Sexta","Sábado"),"")</f>
        <v/>
      </c>
      <c r="F123" s="55" t="str">
        <f aca="true">IF(NOT(ISNUMBER(C123)),"",IF(C123=TODAY(),"HOJE",IF(C123=TODAY()+1,"AMANHÃ",IF(C123&lt;TODAY(),"Realizada",IF(C123-TODAY()&lt;=7,"Em "&amp;(C123-TODAY())&amp;" dias","Agendada")))))</f>
        <v/>
      </c>
      <c r="G123" s="55" t="str">
        <f aca="false">IF(OR(A123="",NOT(ISNUMBER(C123))),"",IF(COUNTIFS($A$2:$A$301,A123,$C$2:$C$301,C123)&gt;1,"⚠ Folga duplicada",IF(COUNTIFS(FÉRIAS!$A$2:$A$301,A123,FÉRIAS!$C$2:$C$301,"&lt;="&amp;C123,FÉRIAS!$D$2:$D$301,"&gt;="&amp;C123)&gt;0,"⚠ Está de férias nesta data",IF(COUNTIFS(NATAL!$A$2:$A$301,A123,NATAL!$C$2:$C$301,C123,NATAL!$D$2:$D$301,"FOLGA")+COUNTIFS('ANO NOVO'!$A$2:$A$301,A123,'ANO NOVO'!$C$2:$C$301,C123,'ANO NOVO'!$D$2:$D$301,"FOLGA")&gt;0,"⚠ Folga já lançada em NATAL/ANO NOVO",IF(COUNTIFS(NATAL!$A$2:$A$301,A123,NATAL!$C$2:$C$301,C123,NATAL!$D$2:$D$301,"TRABALHA")+COUNTIFS('ANO NOVO'!$A$2:$A$301,A123,'ANO NOVO'!$C$2:$C$301,C123,'ANO NOVO'!$D$2:$D$301,"TRABALHA")&gt;0,"⚠ Marcado TRABALHA em NATAL/ANO NOVO",IF(COUNTIFS($B$2:$B$301,B123,$C$2:$C$301,C123)&gt;1,"⚠ "&amp;COUNTIFS($B$2:$B$301,B123,$C$2:$C$301,C123)&amp;" pessoas do setor de folga no dia",""))))))</f>
        <v/>
      </c>
    </row>
    <row r="124" customFormat="false" ht="15" hidden="false" customHeight="true" outlineLevel="0" collapsed="false">
      <c r="A124" s="54"/>
      <c r="B124" s="54"/>
      <c r="C124" s="53"/>
      <c r="D124" s="54"/>
      <c r="E124" s="55" t="str">
        <f aca="false">IF(ISNUMBER(C124),CHOOSE(WEEKDAY(C124),"Domingo","Segunda","Terça","Quarta","Quinta","Sexta","Sábado"),"")</f>
        <v/>
      </c>
      <c r="F124" s="55" t="str">
        <f aca="true">IF(NOT(ISNUMBER(C124)),"",IF(C124=TODAY(),"HOJE",IF(C124=TODAY()+1,"AMANHÃ",IF(C124&lt;TODAY(),"Realizada",IF(C124-TODAY()&lt;=7,"Em "&amp;(C124-TODAY())&amp;" dias","Agendada")))))</f>
        <v/>
      </c>
      <c r="G124" s="55" t="str">
        <f aca="false">IF(OR(A124="",NOT(ISNUMBER(C124))),"",IF(COUNTIFS($A$2:$A$301,A124,$C$2:$C$301,C124)&gt;1,"⚠ Folga duplicada",IF(COUNTIFS(FÉRIAS!$A$2:$A$301,A124,FÉRIAS!$C$2:$C$301,"&lt;="&amp;C124,FÉRIAS!$D$2:$D$301,"&gt;="&amp;C124)&gt;0,"⚠ Está de férias nesta data",IF(COUNTIFS(NATAL!$A$2:$A$301,A124,NATAL!$C$2:$C$301,C124,NATAL!$D$2:$D$301,"FOLGA")+COUNTIFS('ANO NOVO'!$A$2:$A$301,A124,'ANO NOVO'!$C$2:$C$301,C124,'ANO NOVO'!$D$2:$D$301,"FOLGA")&gt;0,"⚠ Folga já lançada em NATAL/ANO NOVO",IF(COUNTIFS(NATAL!$A$2:$A$301,A124,NATAL!$C$2:$C$301,C124,NATAL!$D$2:$D$301,"TRABALHA")+COUNTIFS('ANO NOVO'!$A$2:$A$301,A124,'ANO NOVO'!$C$2:$C$301,C124,'ANO NOVO'!$D$2:$D$301,"TRABALHA")&gt;0,"⚠ Marcado TRABALHA em NATAL/ANO NOVO",IF(COUNTIFS($B$2:$B$301,B124,$C$2:$C$301,C124)&gt;1,"⚠ "&amp;COUNTIFS($B$2:$B$301,B124,$C$2:$C$301,C124)&amp;" pessoas do setor de folga no dia",""))))))</f>
        <v/>
      </c>
    </row>
    <row r="125" customFormat="false" ht="15" hidden="false" customHeight="true" outlineLevel="0" collapsed="false">
      <c r="A125" s="54"/>
      <c r="B125" s="54"/>
      <c r="C125" s="53"/>
      <c r="D125" s="54"/>
      <c r="E125" s="55" t="str">
        <f aca="false">IF(ISNUMBER(C125),CHOOSE(WEEKDAY(C125),"Domingo","Segunda","Terça","Quarta","Quinta","Sexta","Sábado"),"")</f>
        <v/>
      </c>
      <c r="F125" s="55" t="str">
        <f aca="true">IF(NOT(ISNUMBER(C125)),"",IF(C125=TODAY(),"HOJE",IF(C125=TODAY()+1,"AMANHÃ",IF(C125&lt;TODAY(),"Realizada",IF(C125-TODAY()&lt;=7,"Em "&amp;(C125-TODAY())&amp;" dias","Agendada")))))</f>
        <v/>
      </c>
      <c r="G125" s="55" t="str">
        <f aca="false">IF(OR(A125="",NOT(ISNUMBER(C125))),"",IF(COUNTIFS($A$2:$A$301,A125,$C$2:$C$301,C125)&gt;1,"⚠ Folga duplicada",IF(COUNTIFS(FÉRIAS!$A$2:$A$301,A125,FÉRIAS!$C$2:$C$301,"&lt;="&amp;C125,FÉRIAS!$D$2:$D$301,"&gt;="&amp;C125)&gt;0,"⚠ Está de férias nesta data",IF(COUNTIFS(NATAL!$A$2:$A$301,A125,NATAL!$C$2:$C$301,C125,NATAL!$D$2:$D$301,"FOLGA")+COUNTIFS('ANO NOVO'!$A$2:$A$301,A125,'ANO NOVO'!$C$2:$C$301,C125,'ANO NOVO'!$D$2:$D$301,"FOLGA")&gt;0,"⚠ Folga já lançada em NATAL/ANO NOVO",IF(COUNTIFS(NATAL!$A$2:$A$301,A125,NATAL!$C$2:$C$301,C125,NATAL!$D$2:$D$301,"TRABALHA")+COUNTIFS('ANO NOVO'!$A$2:$A$301,A125,'ANO NOVO'!$C$2:$C$301,C125,'ANO NOVO'!$D$2:$D$301,"TRABALHA")&gt;0,"⚠ Marcado TRABALHA em NATAL/ANO NOVO",IF(COUNTIFS($B$2:$B$301,B125,$C$2:$C$301,C125)&gt;1,"⚠ "&amp;COUNTIFS($B$2:$B$301,B125,$C$2:$C$301,C125)&amp;" pessoas do setor de folga no dia",""))))))</f>
        <v/>
      </c>
    </row>
    <row r="126" customFormat="false" ht="15" hidden="false" customHeight="true" outlineLevel="0" collapsed="false">
      <c r="A126" s="54"/>
      <c r="B126" s="54"/>
      <c r="C126" s="53"/>
      <c r="D126" s="54"/>
      <c r="E126" s="55" t="str">
        <f aca="false">IF(ISNUMBER(C126),CHOOSE(WEEKDAY(C126),"Domingo","Segunda","Terça","Quarta","Quinta","Sexta","Sábado"),"")</f>
        <v/>
      </c>
      <c r="F126" s="55" t="str">
        <f aca="true">IF(NOT(ISNUMBER(C126)),"",IF(C126=TODAY(),"HOJE",IF(C126=TODAY()+1,"AMANHÃ",IF(C126&lt;TODAY(),"Realizada",IF(C126-TODAY()&lt;=7,"Em "&amp;(C126-TODAY())&amp;" dias","Agendada")))))</f>
        <v/>
      </c>
      <c r="G126" s="55" t="str">
        <f aca="false">IF(OR(A126="",NOT(ISNUMBER(C126))),"",IF(COUNTIFS($A$2:$A$301,A126,$C$2:$C$301,C126)&gt;1,"⚠ Folga duplicada",IF(COUNTIFS(FÉRIAS!$A$2:$A$301,A126,FÉRIAS!$C$2:$C$301,"&lt;="&amp;C126,FÉRIAS!$D$2:$D$301,"&gt;="&amp;C126)&gt;0,"⚠ Está de férias nesta data",IF(COUNTIFS(NATAL!$A$2:$A$301,A126,NATAL!$C$2:$C$301,C126,NATAL!$D$2:$D$301,"FOLGA")+COUNTIFS('ANO NOVO'!$A$2:$A$301,A126,'ANO NOVO'!$C$2:$C$301,C126,'ANO NOVO'!$D$2:$D$301,"FOLGA")&gt;0,"⚠ Folga já lançada em NATAL/ANO NOVO",IF(COUNTIFS(NATAL!$A$2:$A$301,A126,NATAL!$C$2:$C$301,C126,NATAL!$D$2:$D$301,"TRABALHA")+COUNTIFS('ANO NOVO'!$A$2:$A$301,A126,'ANO NOVO'!$C$2:$C$301,C126,'ANO NOVO'!$D$2:$D$301,"TRABALHA")&gt;0,"⚠ Marcado TRABALHA em NATAL/ANO NOVO",IF(COUNTIFS($B$2:$B$301,B126,$C$2:$C$301,C126)&gt;1,"⚠ "&amp;COUNTIFS($B$2:$B$301,B126,$C$2:$C$301,C126)&amp;" pessoas do setor de folga no dia",""))))))</f>
        <v/>
      </c>
    </row>
    <row r="127" customFormat="false" ht="15" hidden="false" customHeight="true" outlineLevel="0" collapsed="false">
      <c r="A127" s="54"/>
      <c r="B127" s="54"/>
      <c r="C127" s="53"/>
      <c r="D127" s="54"/>
      <c r="E127" s="55" t="str">
        <f aca="false">IF(ISNUMBER(C127),CHOOSE(WEEKDAY(C127),"Domingo","Segunda","Terça","Quarta","Quinta","Sexta","Sábado"),"")</f>
        <v/>
      </c>
      <c r="F127" s="55" t="str">
        <f aca="true">IF(NOT(ISNUMBER(C127)),"",IF(C127=TODAY(),"HOJE",IF(C127=TODAY()+1,"AMANHÃ",IF(C127&lt;TODAY(),"Realizada",IF(C127-TODAY()&lt;=7,"Em "&amp;(C127-TODAY())&amp;" dias","Agendada")))))</f>
        <v/>
      </c>
      <c r="G127" s="55" t="str">
        <f aca="false">IF(OR(A127="",NOT(ISNUMBER(C127))),"",IF(COUNTIFS($A$2:$A$301,A127,$C$2:$C$301,C127)&gt;1,"⚠ Folga duplicada",IF(COUNTIFS(FÉRIAS!$A$2:$A$301,A127,FÉRIAS!$C$2:$C$301,"&lt;="&amp;C127,FÉRIAS!$D$2:$D$301,"&gt;="&amp;C127)&gt;0,"⚠ Está de férias nesta data",IF(COUNTIFS(NATAL!$A$2:$A$301,A127,NATAL!$C$2:$C$301,C127,NATAL!$D$2:$D$301,"FOLGA")+COUNTIFS('ANO NOVO'!$A$2:$A$301,A127,'ANO NOVO'!$C$2:$C$301,C127,'ANO NOVO'!$D$2:$D$301,"FOLGA")&gt;0,"⚠ Folga já lançada em NATAL/ANO NOVO",IF(COUNTIFS(NATAL!$A$2:$A$301,A127,NATAL!$C$2:$C$301,C127,NATAL!$D$2:$D$301,"TRABALHA")+COUNTIFS('ANO NOVO'!$A$2:$A$301,A127,'ANO NOVO'!$C$2:$C$301,C127,'ANO NOVO'!$D$2:$D$301,"TRABALHA")&gt;0,"⚠ Marcado TRABALHA em NATAL/ANO NOVO",IF(COUNTIFS($B$2:$B$301,B127,$C$2:$C$301,C127)&gt;1,"⚠ "&amp;COUNTIFS($B$2:$B$301,B127,$C$2:$C$301,C127)&amp;" pessoas do setor de folga no dia",""))))))</f>
        <v/>
      </c>
    </row>
    <row r="128" customFormat="false" ht="15" hidden="false" customHeight="true" outlineLevel="0" collapsed="false">
      <c r="A128" s="54"/>
      <c r="B128" s="54"/>
      <c r="C128" s="53"/>
      <c r="D128" s="54"/>
      <c r="E128" s="55" t="str">
        <f aca="false">IF(ISNUMBER(C128),CHOOSE(WEEKDAY(C128),"Domingo","Segunda","Terça","Quarta","Quinta","Sexta","Sábado"),"")</f>
        <v/>
      </c>
      <c r="F128" s="55" t="str">
        <f aca="true">IF(NOT(ISNUMBER(C128)),"",IF(C128=TODAY(),"HOJE",IF(C128=TODAY()+1,"AMANHÃ",IF(C128&lt;TODAY(),"Realizada",IF(C128-TODAY()&lt;=7,"Em "&amp;(C128-TODAY())&amp;" dias","Agendada")))))</f>
        <v/>
      </c>
      <c r="G128" s="55" t="str">
        <f aca="false">IF(OR(A128="",NOT(ISNUMBER(C128))),"",IF(COUNTIFS($A$2:$A$301,A128,$C$2:$C$301,C128)&gt;1,"⚠ Folga duplicada",IF(COUNTIFS(FÉRIAS!$A$2:$A$301,A128,FÉRIAS!$C$2:$C$301,"&lt;="&amp;C128,FÉRIAS!$D$2:$D$301,"&gt;="&amp;C128)&gt;0,"⚠ Está de férias nesta data",IF(COUNTIFS(NATAL!$A$2:$A$301,A128,NATAL!$C$2:$C$301,C128,NATAL!$D$2:$D$301,"FOLGA")+COUNTIFS('ANO NOVO'!$A$2:$A$301,A128,'ANO NOVO'!$C$2:$C$301,C128,'ANO NOVO'!$D$2:$D$301,"FOLGA")&gt;0,"⚠ Folga já lançada em NATAL/ANO NOVO",IF(COUNTIFS(NATAL!$A$2:$A$301,A128,NATAL!$C$2:$C$301,C128,NATAL!$D$2:$D$301,"TRABALHA")+COUNTIFS('ANO NOVO'!$A$2:$A$301,A128,'ANO NOVO'!$C$2:$C$301,C128,'ANO NOVO'!$D$2:$D$301,"TRABALHA")&gt;0,"⚠ Marcado TRABALHA em NATAL/ANO NOVO",IF(COUNTIFS($B$2:$B$301,B128,$C$2:$C$301,C128)&gt;1,"⚠ "&amp;COUNTIFS($B$2:$B$301,B128,$C$2:$C$301,C128)&amp;" pessoas do setor de folga no dia",""))))))</f>
        <v/>
      </c>
    </row>
    <row r="129" customFormat="false" ht="15" hidden="false" customHeight="true" outlineLevel="0" collapsed="false">
      <c r="A129" s="54"/>
      <c r="B129" s="54"/>
      <c r="C129" s="53"/>
      <c r="D129" s="54"/>
      <c r="E129" s="55" t="str">
        <f aca="false">IF(ISNUMBER(C129),CHOOSE(WEEKDAY(C129),"Domingo","Segunda","Terça","Quarta","Quinta","Sexta","Sábado"),"")</f>
        <v/>
      </c>
      <c r="F129" s="55" t="str">
        <f aca="true">IF(NOT(ISNUMBER(C129)),"",IF(C129=TODAY(),"HOJE",IF(C129=TODAY()+1,"AMANHÃ",IF(C129&lt;TODAY(),"Realizada",IF(C129-TODAY()&lt;=7,"Em "&amp;(C129-TODAY())&amp;" dias","Agendada")))))</f>
        <v/>
      </c>
      <c r="G129" s="55" t="str">
        <f aca="false">IF(OR(A129="",NOT(ISNUMBER(C129))),"",IF(COUNTIFS($A$2:$A$301,A129,$C$2:$C$301,C129)&gt;1,"⚠ Folga duplicada",IF(COUNTIFS(FÉRIAS!$A$2:$A$301,A129,FÉRIAS!$C$2:$C$301,"&lt;="&amp;C129,FÉRIAS!$D$2:$D$301,"&gt;="&amp;C129)&gt;0,"⚠ Está de férias nesta data",IF(COUNTIFS(NATAL!$A$2:$A$301,A129,NATAL!$C$2:$C$301,C129,NATAL!$D$2:$D$301,"FOLGA")+COUNTIFS('ANO NOVO'!$A$2:$A$301,A129,'ANO NOVO'!$C$2:$C$301,C129,'ANO NOVO'!$D$2:$D$301,"FOLGA")&gt;0,"⚠ Folga já lançada em NATAL/ANO NOVO",IF(COUNTIFS(NATAL!$A$2:$A$301,A129,NATAL!$C$2:$C$301,C129,NATAL!$D$2:$D$301,"TRABALHA")+COUNTIFS('ANO NOVO'!$A$2:$A$301,A129,'ANO NOVO'!$C$2:$C$301,C129,'ANO NOVO'!$D$2:$D$301,"TRABALHA")&gt;0,"⚠ Marcado TRABALHA em NATAL/ANO NOVO",IF(COUNTIFS($B$2:$B$301,B129,$C$2:$C$301,C129)&gt;1,"⚠ "&amp;COUNTIFS($B$2:$B$301,B129,$C$2:$C$301,C129)&amp;" pessoas do setor de folga no dia",""))))))</f>
        <v/>
      </c>
    </row>
    <row r="130" customFormat="false" ht="15" hidden="false" customHeight="true" outlineLevel="0" collapsed="false">
      <c r="A130" s="54"/>
      <c r="B130" s="54"/>
      <c r="C130" s="53"/>
      <c r="D130" s="54"/>
      <c r="E130" s="55" t="str">
        <f aca="false">IF(ISNUMBER(C130),CHOOSE(WEEKDAY(C130),"Domingo","Segunda","Terça","Quarta","Quinta","Sexta","Sábado"),"")</f>
        <v/>
      </c>
      <c r="F130" s="55" t="str">
        <f aca="true">IF(NOT(ISNUMBER(C130)),"",IF(C130=TODAY(),"HOJE",IF(C130=TODAY()+1,"AMANHÃ",IF(C130&lt;TODAY(),"Realizada",IF(C130-TODAY()&lt;=7,"Em "&amp;(C130-TODAY())&amp;" dias","Agendada")))))</f>
        <v/>
      </c>
      <c r="G130" s="55" t="str">
        <f aca="false">IF(OR(A130="",NOT(ISNUMBER(C130))),"",IF(COUNTIFS($A$2:$A$301,A130,$C$2:$C$301,C130)&gt;1,"⚠ Folga duplicada",IF(COUNTIFS(FÉRIAS!$A$2:$A$301,A130,FÉRIAS!$C$2:$C$301,"&lt;="&amp;C130,FÉRIAS!$D$2:$D$301,"&gt;="&amp;C130)&gt;0,"⚠ Está de férias nesta data",IF(COUNTIFS(NATAL!$A$2:$A$301,A130,NATAL!$C$2:$C$301,C130,NATAL!$D$2:$D$301,"FOLGA")+COUNTIFS('ANO NOVO'!$A$2:$A$301,A130,'ANO NOVO'!$C$2:$C$301,C130,'ANO NOVO'!$D$2:$D$301,"FOLGA")&gt;0,"⚠ Folga já lançada em NATAL/ANO NOVO",IF(COUNTIFS(NATAL!$A$2:$A$301,A130,NATAL!$C$2:$C$301,C130,NATAL!$D$2:$D$301,"TRABALHA")+COUNTIFS('ANO NOVO'!$A$2:$A$301,A130,'ANO NOVO'!$C$2:$C$301,C130,'ANO NOVO'!$D$2:$D$301,"TRABALHA")&gt;0,"⚠ Marcado TRABALHA em NATAL/ANO NOVO",IF(COUNTIFS($B$2:$B$301,B130,$C$2:$C$301,C130)&gt;1,"⚠ "&amp;COUNTIFS($B$2:$B$301,B130,$C$2:$C$301,C130)&amp;" pessoas do setor de folga no dia",""))))))</f>
        <v/>
      </c>
    </row>
    <row r="131" customFormat="false" ht="15" hidden="false" customHeight="true" outlineLevel="0" collapsed="false">
      <c r="A131" s="54"/>
      <c r="B131" s="54"/>
      <c r="C131" s="53"/>
      <c r="D131" s="54"/>
      <c r="E131" s="55" t="str">
        <f aca="false">IF(ISNUMBER(C131),CHOOSE(WEEKDAY(C131),"Domingo","Segunda","Terça","Quarta","Quinta","Sexta","Sábado"),"")</f>
        <v/>
      </c>
      <c r="F131" s="55" t="str">
        <f aca="true">IF(NOT(ISNUMBER(C131)),"",IF(C131=TODAY(),"HOJE",IF(C131=TODAY()+1,"AMANHÃ",IF(C131&lt;TODAY(),"Realizada",IF(C131-TODAY()&lt;=7,"Em "&amp;(C131-TODAY())&amp;" dias","Agendada")))))</f>
        <v/>
      </c>
      <c r="G131" s="55" t="str">
        <f aca="false">IF(OR(A131="",NOT(ISNUMBER(C131))),"",IF(COUNTIFS($A$2:$A$301,A131,$C$2:$C$301,C131)&gt;1,"⚠ Folga duplicada",IF(COUNTIFS(FÉRIAS!$A$2:$A$301,A131,FÉRIAS!$C$2:$C$301,"&lt;="&amp;C131,FÉRIAS!$D$2:$D$301,"&gt;="&amp;C131)&gt;0,"⚠ Está de férias nesta data",IF(COUNTIFS(NATAL!$A$2:$A$301,A131,NATAL!$C$2:$C$301,C131,NATAL!$D$2:$D$301,"FOLGA")+COUNTIFS('ANO NOVO'!$A$2:$A$301,A131,'ANO NOVO'!$C$2:$C$301,C131,'ANO NOVO'!$D$2:$D$301,"FOLGA")&gt;0,"⚠ Folga já lançada em NATAL/ANO NOVO",IF(COUNTIFS(NATAL!$A$2:$A$301,A131,NATAL!$C$2:$C$301,C131,NATAL!$D$2:$D$301,"TRABALHA")+COUNTIFS('ANO NOVO'!$A$2:$A$301,A131,'ANO NOVO'!$C$2:$C$301,C131,'ANO NOVO'!$D$2:$D$301,"TRABALHA")&gt;0,"⚠ Marcado TRABALHA em NATAL/ANO NOVO",IF(COUNTIFS($B$2:$B$301,B131,$C$2:$C$301,C131)&gt;1,"⚠ "&amp;COUNTIFS($B$2:$B$301,B131,$C$2:$C$301,C131)&amp;" pessoas do setor de folga no dia",""))))))</f>
        <v/>
      </c>
    </row>
    <row r="132" customFormat="false" ht="15" hidden="false" customHeight="true" outlineLevel="0" collapsed="false">
      <c r="A132" s="54"/>
      <c r="B132" s="54"/>
      <c r="C132" s="53"/>
      <c r="D132" s="54"/>
      <c r="E132" s="55" t="str">
        <f aca="false">IF(ISNUMBER(C132),CHOOSE(WEEKDAY(C132),"Domingo","Segunda","Terça","Quarta","Quinta","Sexta","Sábado"),"")</f>
        <v/>
      </c>
      <c r="F132" s="55" t="str">
        <f aca="true">IF(NOT(ISNUMBER(C132)),"",IF(C132=TODAY(),"HOJE",IF(C132=TODAY()+1,"AMANHÃ",IF(C132&lt;TODAY(),"Realizada",IF(C132-TODAY()&lt;=7,"Em "&amp;(C132-TODAY())&amp;" dias","Agendada")))))</f>
        <v/>
      </c>
      <c r="G132" s="55" t="str">
        <f aca="false">IF(OR(A132="",NOT(ISNUMBER(C132))),"",IF(COUNTIFS($A$2:$A$301,A132,$C$2:$C$301,C132)&gt;1,"⚠ Folga duplicada",IF(COUNTIFS(FÉRIAS!$A$2:$A$301,A132,FÉRIAS!$C$2:$C$301,"&lt;="&amp;C132,FÉRIAS!$D$2:$D$301,"&gt;="&amp;C132)&gt;0,"⚠ Está de férias nesta data",IF(COUNTIFS(NATAL!$A$2:$A$301,A132,NATAL!$C$2:$C$301,C132,NATAL!$D$2:$D$301,"FOLGA")+COUNTIFS('ANO NOVO'!$A$2:$A$301,A132,'ANO NOVO'!$C$2:$C$301,C132,'ANO NOVO'!$D$2:$D$301,"FOLGA")&gt;0,"⚠ Folga já lançada em NATAL/ANO NOVO",IF(COUNTIFS(NATAL!$A$2:$A$301,A132,NATAL!$C$2:$C$301,C132,NATAL!$D$2:$D$301,"TRABALHA")+COUNTIFS('ANO NOVO'!$A$2:$A$301,A132,'ANO NOVO'!$C$2:$C$301,C132,'ANO NOVO'!$D$2:$D$301,"TRABALHA")&gt;0,"⚠ Marcado TRABALHA em NATAL/ANO NOVO",IF(COUNTIFS($B$2:$B$301,B132,$C$2:$C$301,C132)&gt;1,"⚠ "&amp;COUNTIFS($B$2:$B$301,B132,$C$2:$C$301,C132)&amp;" pessoas do setor de folga no dia",""))))))</f>
        <v/>
      </c>
    </row>
    <row r="133" customFormat="false" ht="15" hidden="false" customHeight="true" outlineLevel="0" collapsed="false">
      <c r="A133" s="54"/>
      <c r="B133" s="54"/>
      <c r="C133" s="53"/>
      <c r="D133" s="54"/>
      <c r="E133" s="55" t="str">
        <f aca="false">IF(ISNUMBER(C133),CHOOSE(WEEKDAY(C133),"Domingo","Segunda","Terça","Quarta","Quinta","Sexta","Sábado"),"")</f>
        <v/>
      </c>
      <c r="F133" s="55" t="str">
        <f aca="true">IF(NOT(ISNUMBER(C133)),"",IF(C133=TODAY(),"HOJE",IF(C133=TODAY()+1,"AMANHÃ",IF(C133&lt;TODAY(),"Realizada",IF(C133-TODAY()&lt;=7,"Em "&amp;(C133-TODAY())&amp;" dias","Agendada")))))</f>
        <v/>
      </c>
      <c r="G133" s="55" t="str">
        <f aca="false">IF(OR(A133="",NOT(ISNUMBER(C133))),"",IF(COUNTIFS($A$2:$A$301,A133,$C$2:$C$301,C133)&gt;1,"⚠ Folga duplicada",IF(COUNTIFS(FÉRIAS!$A$2:$A$301,A133,FÉRIAS!$C$2:$C$301,"&lt;="&amp;C133,FÉRIAS!$D$2:$D$301,"&gt;="&amp;C133)&gt;0,"⚠ Está de férias nesta data",IF(COUNTIFS(NATAL!$A$2:$A$301,A133,NATAL!$C$2:$C$301,C133,NATAL!$D$2:$D$301,"FOLGA")+COUNTIFS('ANO NOVO'!$A$2:$A$301,A133,'ANO NOVO'!$C$2:$C$301,C133,'ANO NOVO'!$D$2:$D$301,"FOLGA")&gt;0,"⚠ Folga já lançada em NATAL/ANO NOVO",IF(COUNTIFS(NATAL!$A$2:$A$301,A133,NATAL!$C$2:$C$301,C133,NATAL!$D$2:$D$301,"TRABALHA")+COUNTIFS('ANO NOVO'!$A$2:$A$301,A133,'ANO NOVO'!$C$2:$C$301,C133,'ANO NOVO'!$D$2:$D$301,"TRABALHA")&gt;0,"⚠ Marcado TRABALHA em NATAL/ANO NOVO",IF(COUNTIFS($B$2:$B$301,B133,$C$2:$C$301,C133)&gt;1,"⚠ "&amp;COUNTIFS($B$2:$B$301,B133,$C$2:$C$301,C133)&amp;" pessoas do setor de folga no dia",""))))))</f>
        <v/>
      </c>
    </row>
    <row r="134" customFormat="false" ht="15" hidden="false" customHeight="true" outlineLevel="0" collapsed="false">
      <c r="A134" s="54"/>
      <c r="B134" s="54"/>
      <c r="C134" s="53"/>
      <c r="D134" s="54"/>
      <c r="E134" s="55" t="str">
        <f aca="false">IF(ISNUMBER(C134),CHOOSE(WEEKDAY(C134),"Domingo","Segunda","Terça","Quarta","Quinta","Sexta","Sábado"),"")</f>
        <v/>
      </c>
      <c r="F134" s="55" t="str">
        <f aca="true">IF(NOT(ISNUMBER(C134)),"",IF(C134=TODAY(),"HOJE",IF(C134=TODAY()+1,"AMANHÃ",IF(C134&lt;TODAY(),"Realizada",IF(C134-TODAY()&lt;=7,"Em "&amp;(C134-TODAY())&amp;" dias","Agendada")))))</f>
        <v/>
      </c>
      <c r="G134" s="55" t="str">
        <f aca="false">IF(OR(A134="",NOT(ISNUMBER(C134))),"",IF(COUNTIFS($A$2:$A$301,A134,$C$2:$C$301,C134)&gt;1,"⚠ Folga duplicada",IF(COUNTIFS(FÉRIAS!$A$2:$A$301,A134,FÉRIAS!$C$2:$C$301,"&lt;="&amp;C134,FÉRIAS!$D$2:$D$301,"&gt;="&amp;C134)&gt;0,"⚠ Está de férias nesta data",IF(COUNTIFS(NATAL!$A$2:$A$301,A134,NATAL!$C$2:$C$301,C134,NATAL!$D$2:$D$301,"FOLGA")+COUNTIFS('ANO NOVO'!$A$2:$A$301,A134,'ANO NOVO'!$C$2:$C$301,C134,'ANO NOVO'!$D$2:$D$301,"FOLGA")&gt;0,"⚠ Folga já lançada em NATAL/ANO NOVO",IF(COUNTIFS(NATAL!$A$2:$A$301,A134,NATAL!$C$2:$C$301,C134,NATAL!$D$2:$D$301,"TRABALHA")+COUNTIFS('ANO NOVO'!$A$2:$A$301,A134,'ANO NOVO'!$C$2:$C$301,C134,'ANO NOVO'!$D$2:$D$301,"TRABALHA")&gt;0,"⚠ Marcado TRABALHA em NATAL/ANO NOVO",IF(COUNTIFS($B$2:$B$301,B134,$C$2:$C$301,C134)&gt;1,"⚠ "&amp;COUNTIFS($B$2:$B$301,B134,$C$2:$C$301,C134)&amp;" pessoas do setor de folga no dia",""))))))</f>
        <v/>
      </c>
    </row>
    <row r="135" customFormat="false" ht="15" hidden="false" customHeight="true" outlineLevel="0" collapsed="false">
      <c r="A135" s="54"/>
      <c r="B135" s="54"/>
      <c r="C135" s="53"/>
      <c r="D135" s="54"/>
      <c r="E135" s="55" t="str">
        <f aca="false">IF(ISNUMBER(C135),CHOOSE(WEEKDAY(C135),"Domingo","Segunda","Terça","Quarta","Quinta","Sexta","Sábado"),"")</f>
        <v/>
      </c>
      <c r="F135" s="55" t="str">
        <f aca="true">IF(NOT(ISNUMBER(C135)),"",IF(C135=TODAY(),"HOJE",IF(C135=TODAY()+1,"AMANHÃ",IF(C135&lt;TODAY(),"Realizada",IF(C135-TODAY()&lt;=7,"Em "&amp;(C135-TODAY())&amp;" dias","Agendada")))))</f>
        <v/>
      </c>
      <c r="G135" s="55" t="str">
        <f aca="false">IF(OR(A135="",NOT(ISNUMBER(C135))),"",IF(COUNTIFS($A$2:$A$301,A135,$C$2:$C$301,C135)&gt;1,"⚠ Folga duplicada",IF(COUNTIFS(FÉRIAS!$A$2:$A$301,A135,FÉRIAS!$C$2:$C$301,"&lt;="&amp;C135,FÉRIAS!$D$2:$D$301,"&gt;="&amp;C135)&gt;0,"⚠ Está de férias nesta data",IF(COUNTIFS(NATAL!$A$2:$A$301,A135,NATAL!$C$2:$C$301,C135,NATAL!$D$2:$D$301,"FOLGA")+COUNTIFS('ANO NOVO'!$A$2:$A$301,A135,'ANO NOVO'!$C$2:$C$301,C135,'ANO NOVO'!$D$2:$D$301,"FOLGA")&gt;0,"⚠ Folga já lançada em NATAL/ANO NOVO",IF(COUNTIFS(NATAL!$A$2:$A$301,A135,NATAL!$C$2:$C$301,C135,NATAL!$D$2:$D$301,"TRABALHA")+COUNTIFS('ANO NOVO'!$A$2:$A$301,A135,'ANO NOVO'!$C$2:$C$301,C135,'ANO NOVO'!$D$2:$D$301,"TRABALHA")&gt;0,"⚠ Marcado TRABALHA em NATAL/ANO NOVO",IF(COUNTIFS($B$2:$B$301,B135,$C$2:$C$301,C135)&gt;1,"⚠ "&amp;COUNTIFS($B$2:$B$301,B135,$C$2:$C$301,C135)&amp;" pessoas do setor de folga no dia",""))))))</f>
        <v/>
      </c>
    </row>
    <row r="136" customFormat="false" ht="15" hidden="false" customHeight="true" outlineLevel="0" collapsed="false">
      <c r="A136" s="54"/>
      <c r="B136" s="54"/>
      <c r="C136" s="53"/>
      <c r="D136" s="54"/>
      <c r="E136" s="55" t="str">
        <f aca="false">IF(ISNUMBER(C136),CHOOSE(WEEKDAY(C136),"Domingo","Segunda","Terça","Quarta","Quinta","Sexta","Sábado"),"")</f>
        <v/>
      </c>
      <c r="F136" s="55" t="str">
        <f aca="true">IF(NOT(ISNUMBER(C136)),"",IF(C136=TODAY(),"HOJE",IF(C136=TODAY()+1,"AMANHÃ",IF(C136&lt;TODAY(),"Realizada",IF(C136-TODAY()&lt;=7,"Em "&amp;(C136-TODAY())&amp;" dias","Agendada")))))</f>
        <v/>
      </c>
      <c r="G136" s="55" t="str">
        <f aca="false">IF(OR(A136="",NOT(ISNUMBER(C136))),"",IF(COUNTIFS($A$2:$A$301,A136,$C$2:$C$301,C136)&gt;1,"⚠ Folga duplicada",IF(COUNTIFS(FÉRIAS!$A$2:$A$301,A136,FÉRIAS!$C$2:$C$301,"&lt;="&amp;C136,FÉRIAS!$D$2:$D$301,"&gt;="&amp;C136)&gt;0,"⚠ Está de férias nesta data",IF(COUNTIFS(NATAL!$A$2:$A$301,A136,NATAL!$C$2:$C$301,C136,NATAL!$D$2:$D$301,"FOLGA")+COUNTIFS('ANO NOVO'!$A$2:$A$301,A136,'ANO NOVO'!$C$2:$C$301,C136,'ANO NOVO'!$D$2:$D$301,"FOLGA")&gt;0,"⚠ Folga já lançada em NATAL/ANO NOVO",IF(COUNTIFS(NATAL!$A$2:$A$301,A136,NATAL!$C$2:$C$301,C136,NATAL!$D$2:$D$301,"TRABALHA")+COUNTIFS('ANO NOVO'!$A$2:$A$301,A136,'ANO NOVO'!$C$2:$C$301,C136,'ANO NOVO'!$D$2:$D$301,"TRABALHA")&gt;0,"⚠ Marcado TRABALHA em NATAL/ANO NOVO",IF(COUNTIFS($B$2:$B$301,B136,$C$2:$C$301,C136)&gt;1,"⚠ "&amp;COUNTIFS($B$2:$B$301,B136,$C$2:$C$301,C136)&amp;" pessoas do setor de folga no dia",""))))))</f>
        <v/>
      </c>
    </row>
    <row r="137" customFormat="false" ht="15" hidden="false" customHeight="true" outlineLevel="0" collapsed="false">
      <c r="A137" s="54"/>
      <c r="B137" s="54"/>
      <c r="C137" s="53"/>
      <c r="D137" s="54"/>
      <c r="E137" s="55" t="str">
        <f aca="false">IF(ISNUMBER(C137),CHOOSE(WEEKDAY(C137),"Domingo","Segunda","Terça","Quarta","Quinta","Sexta","Sábado"),"")</f>
        <v/>
      </c>
      <c r="F137" s="55" t="str">
        <f aca="true">IF(NOT(ISNUMBER(C137)),"",IF(C137=TODAY(),"HOJE",IF(C137=TODAY()+1,"AMANHÃ",IF(C137&lt;TODAY(),"Realizada",IF(C137-TODAY()&lt;=7,"Em "&amp;(C137-TODAY())&amp;" dias","Agendada")))))</f>
        <v/>
      </c>
      <c r="G137" s="55" t="str">
        <f aca="false">IF(OR(A137="",NOT(ISNUMBER(C137))),"",IF(COUNTIFS($A$2:$A$301,A137,$C$2:$C$301,C137)&gt;1,"⚠ Folga duplicada",IF(COUNTIFS(FÉRIAS!$A$2:$A$301,A137,FÉRIAS!$C$2:$C$301,"&lt;="&amp;C137,FÉRIAS!$D$2:$D$301,"&gt;="&amp;C137)&gt;0,"⚠ Está de férias nesta data",IF(COUNTIFS(NATAL!$A$2:$A$301,A137,NATAL!$C$2:$C$301,C137,NATAL!$D$2:$D$301,"FOLGA")+COUNTIFS('ANO NOVO'!$A$2:$A$301,A137,'ANO NOVO'!$C$2:$C$301,C137,'ANO NOVO'!$D$2:$D$301,"FOLGA")&gt;0,"⚠ Folga já lançada em NATAL/ANO NOVO",IF(COUNTIFS(NATAL!$A$2:$A$301,A137,NATAL!$C$2:$C$301,C137,NATAL!$D$2:$D$301,"TRABALHA")+COUNTIFS('ANO NOVO'!$A$2:$A$301,A137,'ANO NOVO'!$C$2:$C$301,C137,'ANO NOVO'!$D$2:$D$301,"TRABALHA")&gt;0,"⚠ Marcado TRABALHA em NATAL/ANO NOVO",IF(COUNTIFS($B$2:$B$301,B137,$C$2:$C$301,C137)&gt;1,"⚠ "&amp;COUNTIFS($B$2:$B$301,B137,$C$2:$C$301,C137)&amp;" pessoas do setor de folga no dia",""))))))</f>
        <v/>
      </c>
    </row>
    <row r="138" customFormat="false" ht="15" hidden="false" customHeight="true" outlineLevel="0" collapsed="false">
      <c r="A138" s="54"/>
      <c r="B138" s="54"/>
      <c r="C138" s="53"/>
      <c r="D138" s="54"/>
      <c r="E138" s="55" t="str">
        <f aca="false">IF(ISNUMBER(C138),CHOOSE(WEEKDAY(C138),"Domingo","Segunda","Terça","Quarta","Quinta","Sexta","Sábado"),"")</f>
        <v/>
      </c>
      <c r="F138" s="55" t="str">
        <f aca="true">IF(NOT(ISNUMBER(C138)),"",IF(C138=TODAY(),"HOJE",IF(C138=TODAY()+1,"AMANHÃ",IF(C138&lt;TODAY(),"Realizada",IF(C138-TODAY()&lt;=7,"Em "&amp;(C138-TODAY())&amp;" dias","Agendada")))))</f>
        <v/>
      </c>
      <c r="G138" s="55" t="str">
        <f aca="false">IF(OR(A138="",NOT(ISNUMBER(C138))),"",IF(COUNTIFS($A$2:$A$301,A138,$C$2:$C$301,C138)&gt;1,"⚠ Folga duplicada",IF(COUNTIFS(FÉRIAS!$A$2:$A$301,A138,FÉRIAS!$C$2:$C$301,"&lt;="&amp;C138,FÉRIAS!$D$2:$D$301,"&gt;="&amp;C138)&gt;0,"⚠ Está de férias nesta data",IF(COUNTIFS(NATAL!$A$2:$A$301,A138,NATAL!$C$2:$C$301,C138,NATAL!$D$2:$D$301,"FOLGA")+COUNTIFS('ANO NOVO'!$A$2:$A$301,A138,'ANO NOVO'!$C$2:$C$301,C138,'ANO NOVO'!$D$2:$D$301,"FOLGA")&gt;0,"⚠ Folga já lançada em NATAL/ANO NOVO",IF(COUNTIFS(NATAL!$A$2:$A$301,A138,NATAL!$C$2:$C$301,C138,NATAL!$D$2:$D$301,"TRABALHA")+COUNTIFS('ANO NOVO'!$A$2:$A$301,A138,'ANO NOVO'!$C$2:$C$301,C138,'ANO NOVO'!$D$2:$D$301,"TRABALHA")&gt;0,"⚠ Marcado TRABALHA em NATAL/ANO NOVO",IF(COUNTIFS($B$2:$B$301,B138,$C$2:$C$301,C138)&gt;1,"⚠ "&amp;COUNTIFS($B$2:$B$301,B138,$C$2:$C$301,C138)&amp;" pessoas do setor de folga no dia",""))))))</f>
        <v/>
      </c>
    </row>
    <row r="139" customFormat="false" ht="15" hidden="false" customHeight="true" outlineLevel="0" collapsed="false">
      <c r="A139" s="54"/>
      <c r="B139" s="54"/>
      <c r="C139" s="53"/>
      <c r="D139" s="54"/>
      <c r="E139" s="55" t="str">
        <f aca="false">IF(ISNUMBER(C139),CHOOSE(WEEKDAY(C139),"Domingo","Segunda","Terça","Quarta","Quinta","Sexta","Sábado"),"")</f>
        <v/>
      </c>
      <c r="F139" s="55" t="str">
        <f aca="true">IF(NOT(ISNUMBER(C139)),"",IF(C139=TODAY(),"HOJE",IF(C139=TODAY()+1,"AMANHÃ",IF(C139&lt;TODAY(),"Realizada",IF(C139-TODAY()&lt;=7,"Em "&amp;(C139-TODAY())&amp;" dias","Agendada")))))</f>
        <v/>
      </c>
      <c r="G139" s="55" t="str">
        <f aca="false">IF(OR(A139="",NOT(ISNUMBER(C139))),"",IF(COUNTIFS($A$2:$A$301,A139,$C$2:$C$301,C139)&gt;1,"⚠ Folga duplicada",IF(COUNTIFS(FÉRIAS!$A$2:$A$301,A139,FÉRIAS!$C$2:$C$301,"&lt;="&amp;C139,FÉRIAS!$D$2:$D$301,"&gt;="&amp;C139)&gt;0,"⚠ Está de férias nesta data",IF(COUNTIFS(NATAL!$A$2:$A$301,A139,NATAL!$C$2:$C$301,C139,NATAL!$D$2:$D$301,"FOLGA")+COUNTIFS('ANO NOVO'!$A$2:$A$301,A139,'ANO NOVO'!$C$2:$C$301,C139,'ANO NOVO'!$D$2:$D$301,"FOLGA")&gt;0,"⚠ Folga já lançada em NATAL/ANO NOVO",IF(COUNTIFS(NATAL!$A$2:$A$301,A139,NATAL!$C$2:$C$301,C139,NATAL!$D$2:$D$301,"TRABALHA")+COUNTIFS('ANO NOVO'!$A$2:$A$301,A139,'ANO NOVO'!$C$2:$C$301,C139,'ANO NOVO'!$D$2:$D$301,"TRABALHA")&gt;0,"⚠ Marcado TRABALHA em NATAL/ANO NOVO",IF(COUNTIFS($B$2:$B$301,B139,$C$2:$C$301,C139)&gt;1,"⚠ "&amp;COUNTIFS($B$2:$B$301,B139,$C$2:$C$301,C139)&amp;" pessoas do setor de folga no dia",""))))))</f>
        <v/>
      </c>
    </row>
    <row r="140" customFormat="false" ht="15" hidden="false" customHeight="true" outlineLevel="0" collapsed="false">
      <c r="A140" s="54"/>
      <c r="B140" s="54"/>
      <c r="C140" s="53"/>
      <c r="D140" s="54"/>
      <c r="E140" s="55" t="str">
        <f aca="false">IF(ISNUMBER(C140),CHOOSE(WEEKDAY(C140),"Domingo","Segunda","Terça","Quarta","Quinta","Sexta","Sábado"),"")</f>
        <v/>
      </c>
      <c r="F140" s="55" t="str">
        <f aca="true">IF(NOT(ISNUMBER(C140)),"",IF(C140=TODAY(),"HOJE",IF(C140=TODAY()+1,"AMANHÃ",IF(C140&lt;TODAY(),"Realizada",IF(C140-TODAY()&lt;=7,"Em "&amp;(C140-TODAY())&amp;" dias","Agendada")))))</f>
        <v/>
      </c>
      <c r="G140" s="55" t="str">
        <f aca="false">IF(OR(A140="",NOT(ISNUMBER(C140))),"",IF(COUNTIFS($A$2:$A$301,A140,$C$2:$C$301,C140)&gt;1,"⚠ Folga duplicada",IF(COUNTIFS(FÉRIAS!$A$2:$A$301,A140,FÉRIAS!$C$2:$C$301,"&lt;="&amp;C140,FÉRIAS!$D$2:$D$301,"&gt;="&amp;C140)&gt;0,"⚠ Está de férias nesta data",IF(COUNTIFS(NATAL!$A$2:$A$301,A140,NATAL!$C$2:$C$301,C140,NATAL!$D$2:$D$301,"FOLGA")+COUNTIFS('ANO NOVO'!$A$2:$A$301,A140,'ANO NOVO'!$C$2:$C$301,C140,'ANO NOVO'!$D$2:$D$301,"FOLGA")&gt;0,"⚠ Folga já lançada em NATAL/ANO NOVO",IF(COUNTIFS(NATAL!$A$2:$A$301,A140,NATAL!$C$2:$C$301,C140,NATAL!$D$2:$D$301,"TRABALHA")+COUNTIFS('ANO NOVO'!$A$2:$A$301,A140,'ANO NOVO'!$C$2:$C$301,C140,'ANO NOVO'!$D$2:$D$301,"TRABALHA")&gt;0,"⚠ Marcado TRABALHA em NATAL/ANO NOVO",IF(COUNTIFS($B$2:$B$301,B140,$C$2:$C$301,C140)&gt;1,"⚠ "&amp;COUNTIFS($B$2:$B$301,B140,$C$2:$C$301,C140)&amp;" pessoas do setor de folga no dia",""))))))</f>
        <v/>
      </c>
    </row>
    <row r="141" customFormat="false" ht="15" hidden="false" customHeight="true" outlineLevel="0" collapsed="false">
      <c r="A141" s="54"/>
      <c r="B141" s="54"/>
      <c r="C141" s="53"/>
      <c r="D141" s="54"/>
      <c r="E141" s="55" t="str">
        <f aca="false">IF(ISNUMBER(C141),CHOOSE(WEEKDAY(C141),"Domingo","Segunda","Terça","Quarta","Quinta","Sexta","Sábado"),"")</f>
        <v/>
      </c>
      <c r="F141" s="55" t="str">
        <f aca="true">IF(NOT(ISNUMBER(C141)),"",IF(C141=TODAY(),"HOJE",IF(C141=TODAY()+1,"AMANHÃ",IF(C141&lt;TODAY(),"Realizada",IF(C141-TODAY()&lt;=7,"Em "&amp;(C141-TODAY())&amp;" dias","Agendada")))))</f>
        <v/>
      </c>
      <c r="G141" s="55" t="str">
        <f aca="false">IF(OR(A141="",NOT(ISNUMBER(C141))),"",IF(COUNTIFS($A$2:$A$301,A141,$C$2:$C$301,C141)&gt;1,"⚠ Folga duplicada",IF(COUNTIFS(FÉRIAS!$A$2:$A$301,A141,FÉRIAS!$C$2:$C$301,"&lt;="&amp;C141,FÉRIAS!$D$2:$D$301,"&gt;="&amp;C141)&gt;0,"⚠ Está de férias nesta data",IF(COUNTIFS(NATAL!$A$2:$A$301,A141,NATAL!$C$2:$C$301,C141,NATAL!$D$2:$D$301,"FOLGA")+COUNTIFS('ANO NOVO'!$A$2:$A$301,A141,'ANO NOVO'!$C$2:$C$301,C141,'ANO NOVO'!$D$2:$D$301,"FOLGA")&gt;0,"⚠ Folga já lançada em NATAL/ANO NOVO",IF(COUNTIFS(NATAL!$A$2:$A$301,A141,NATAL!$C$2:$C$301,C141,NATAL!$D$2:$D$301,"TRABALHA")+COUNTIFS('ANO NOVO'!$A$2:$A$301,A141,'ANO NOVO'!$C$2:$C$301,C141,'ANO NOVO'!$D$2:$D$301,"TRABALHA")&gt;0,"⚠ Marcado TRABALHA em NATAL/ANO NOVO",IF(COUNTIFS($B$2:$B$301,B141,$C$2:$C$301,C141)&gt;1,"⚠ "&amp;COUNTIFS($B$2:$B$301,B141,$C$2:$C$301,C141)&amp;" pessoas do setor de folga no dia",""))))))</f>
        <v/>
      </c>
    </row>
    <row r="142" customFormat="false" ht="15" hidden="false" customHeight="true" outlineLevel="0" collapsed="false">
      <c r="A142" s="54"/>
      <c r="B142" s="54"/>
      <c r="C142" s="53"/>
      <c r="D142" s="54"/>
      <c r="E142" s="55" t="str">
        <f aca="false">IF(ISNUMBER(C142),CHOOSE(WEEKDAY(C142),"Domingo","Segunda","Terça","Quarta","Quinta","Sexta","Sábado"),"")</f>
        <v/>
      </c>
      <c r="F142" s="55" t="str">
        <f aca="true">IF(NOT(ISNUMBER(C142)),"",IF(C142=TODAY(),"HOJE",IF(C142=TODAY()+1,"AMANHÃ",IF(C142&lt;TODAY(),"Realizada",IF(C142-TODAY()&lt;=7,"Em "&amp;(C142-TODAY())&amp;" dias","Agendada")))))</f>
        <v/>
      </c>
      <c r="G142" s="55" t="str">
        <f aca="false">IF(OR(A142="",NOT(ISNUMBER(C142))),"",IF(COUNTIFS($A$2:$A$301,A142,$C$2:$C$301,C142)&gt;1,"⚠ Folga duplicada",IF(COUNTIFS(FÉRIAS!$A$2:$A$301,A142,FÉRIAS!$C$2:$C$301,"&lt;="&amp;C142,FÉRIAS!$D$2:$D$301,"&gt;="&amp;C142)&gt;0,"⚠ Está de férias nesta data",IF(COUNTIFS(NATAL!$A$2:$A$301,A142,NATAL!$C$2:$C$301,C142,NATAL!$D$2:$D$301,"FOLGA")+COUNTIFS('ANO NOVO'!$A$2:$A$301,A142,'ANO NOVO'!$C$2:$C$301,C142,'ANO NOVO'!$D$2:$D$301,"FOLGA")&gt;0,"⚠ Folga já lançada em NATAL/ANO NOVO",IF(COUNTIFS(NATAL!$A$2:$A$301,A142,NATAL!$C$2:$C$301,C142,NATAL!$D$2:$D$301,"TRABALHA")+COUNTIFS('ANO NOVO'!$A$2:$A$301,A142,'ANO NOVO'!$C$2:$C$301,C142,'ANO NOVO'!$D$2:$D$301,"TRABALHA")&gt;0,"⚠ Marcado TRABALHA em NATAL/ANO NOVO",IF(COUNTIFS($B$2:$B$301,B142,$C$2:$C$301,C142)&gt;1,"⚠ "&amp;COUNTIFS($B$2:$B$301,B142,$C$2:$C$301,C142)&amp;" pessoas do setor de folga no dia",""))))))</f>
        <v/>
      </c>
    </row>
    <row r="143" customFormat="false" ht="15" hidden="false" customHeight="true" outlineLevel="0" collapsed="false">
      <c r="A143" s="54"/>
      <c r="B143" s="54"/>
      <c r="C143" s="53"/>
      <c r="D143" s="54"/>
      <c r="E143" s="55" t="str">
        <f aca="false">IF(ISNUMBER(C143),CHOOSE(WEEKDAY(C143),"Domingo","Segunda","Terça","Quarta","Quinta","Sexta","Sábado"),"")</f>
        <v/>
      </c>
      <c r="F143" s="55" t="str">
        <f aca="true">IF(NOT(ISNUMBER(C143)),"",IF(C143=TODAY(),"HOJE",IF(C143=TODAY()+1,"AMANHÃ",IF(C143&lt;TODAY(),"Realizada",IF(C143-TODAY()&lt;=7,"Em "&amp;(C143-TODAY())&amp;" dias","Agendada")))))</f>
        <v/>
      </c>
      <c r="G143" s="55" t="str">
        <f aca="false">IF(OR(A143="",NOT(ISNUMBER(C143))),"",IF(COUNTIFS($A$2:$A$301,A143,$C$2:$C$301,C143)&gt;1,"⚠ Folga duplicada",IF(COUNTIFS(FÉRIAS!$A$2:$A$301,A143,FÉRIAS!$C$2:$C$301,"&lt;="&amp;C143,FÉRIAS!$D$2:$D$301,"&gt;="&amp;C143)&gt;0,"⚠ Está de férias nesta data",IF(COUNTIFS(NATAL!$A$2:$A$301,A143,NATAL!$C$2:$C$301,C143,NATAL!$D$2:$D$301,"FOLGA")+COUNTIFS('ANO NOVO'!$A$2:$A$301,A143,'ANO NOVO'!$C$2:$C$301,C143,'ANO NOVO'!$D$2:$D$301,"FOLGA")&gt;0,"⚠ Folga já lançada em NATAL/ANO NOVO",IF(COUNTIFS(NATAL!$A$2:$A$301,A143,NATAL!$C$2:$C$301,C143,NATAL!$D$2:$D$301,"TRABALHA")+COUNTIFS('ANO NOVO'!$A$2:$A$301,A143,'ANO NOVO'!$C$2:$C$301,C143,'ANO NOVO'!$D$2:$D$301,"TRABALHA")&gt;0,"⚠ Marcado TRABALHA em NATAL/ANO NOVO",IF(COUNTIFS($B$2:$B$301,B143,$C$2:$C$301,C143)&gt;1,"⚠ "&amp;COUNTIFS($B$2:$B$301,B143,$C$2:$C$301,C143)&amp;" pessoas do setor de folga no dia",""))))))</f>
        <v/>
      </c>
    </row>
    <row r="144" customFormat="false" ht="15" hidden="false" customHeight="true" outlineLevel="0" collapsed="false">
      <c r="A144" s="54"/>
      <c r="B144" s="54"/>
      <c r="C144" s="53"/>
      <c r="D144" s="54"/>
      <c r="E144" s="55" t="str">
        <f aca="false">IF(ISNUMBER(C144),CHOOSE(WEEKDAY(C144),"Domingo","Segunda","Terça","Quarta","Quinta","Sexta","Sábado"),"")</f>
        <v/>
      </c>
      <c r="F144" s="55" t="str">
        <f aca="true">IF(NOT(ISNUMBER(C144)),"",IF(C144=TODAY(),"HOJE",IF(C144=TODAY()+1,"AMANHÃ",IF(C144&lt;TODAY(),"Realizada",IF(C144-TODAY()&lt;=7,"Em "&amp;(C144-TODAY())&amp;" dias","Agendada")))))</f>
        <v/>
      </c>
      <c r="G144" s="55" t="str">
        <f aca="false">IF(OR(A144="",NOT(ISNUMBER(C144))),"",IF(COUNTIFS($A$2:$A$301,A144,$C$2:$C$301,C144)&gt;1,"⚠ Folga duplicada",IF(COUNTIFS(FÉRIAS!$A$2:$A$301,A144,FÉRIAS!$C$2:$C$301,"&lt;="&amp;C144,FÉRIAS!$D$2:$D$301,"&gt;="&amp;C144)&gt;0,"⚠ Está de férias nesta data",IF(COUNTIFS(NATAL!$A$2:$A$301,A144,NATAL!$C$2:$C$301,C144,NATAL!$D$2:$D$301,"FOLGA")+COUNTIFS('ANO NOVO'!$A$2:$A$301,A144,'ANO NOVO'!$C$2:$C$301,C144,'ANO NOVO'!$D$2:$D$301,"FOLGA")&gt;0,"⚠ Folga já lançada em NATAL/ANO NOVO",IF(COUNTIFS(NATAL!$A$2:$A$301,A144,NATAL!$C$2:$C$301,C144,NATAL!$D$2:$D$301,"TRABALHA")+COUNTIFS('ANO NOVO'!$A$2:$A$301,A144,'ANO NOVO'!$C$2:$C$301,C144,'ANO NOVO'!$D$2:$D$301,"TRABALHA")&gt;0,"⚠ Marcado TRABALHA em NATAL/ANO NOVO",IF(COUNTIFS($B$2:$B$301,B144,$C$2:$C$301,C144)&gt;1,"⚠ "&amp;COUNTIFS($B$2:$B$301,B144,$C$2:$C$301,C144)&amp;" pessoas do setor de folga no dia",""))))))</f>
        <v/>
      </c>
    </row>
    <row r="145" customFormat="false" ht="15" hidden="false" customHeight="true" outlineLevel="0" collapsed="false">
      <c r="A145" s="54"/>
      <c r="B145" s="54"/>
      <c r="C145" s="53"/>
      <c r="D145" s="54"/>
      <c r="E145" s="55" t="str">
        <f aca="false">IF(ISNUMBER(C145),CHOOSE(WEEKDAY(C145),"Domingo","Segunda","Terça","Quarta","Quinta","Sexta","Sábado"),"")</f>
        <v/>
      </c>
      <c r="F145" s="55" t="str">
        <f aca="true">IF(NOT(ISNUMBER(C145)),"",IF(C145=TODAY(),"HOJE",IF(C145=TODAY()+1,"AMANHÃ",IF(C145&lt;TODAY(),"Realizada",IF(C145-TODAY()&lt;=7,"Em "&amp;(C145-TODAY())&amp;" dias","Agendada")))))</f>
        <v/>
      </c>
      <c r="G145" s="55" t="str">
        <f aca="false">IF(OR(A145="",NOT(ISNUMBER(C145))),"",IF(COUNTIFS($A$2:$A$301,A145,$C$2:$C$301,C145)&gt;1,"⚠ Folga duplicada",IF(COUNTIFS(FÉRIAS!$A$2:$A$301,A145,FÉRIAS!$C$2:$C$301,"&lt;="&amp;C145,FÉRIAS!$D$2:$D$301,"&gt;="&amp;C145)&gt;0,"⚠ Está de férias nesta data",IF(COUNTIFS(NATAL!$A$2:$A$301,A145,NATAL!$C$2:$C$301,C145,NATAL!$D$2:$D$301,"FOLGA")+COUNTIFS('ANO NOVO'!$A$2:$A$301,A145,'ANO NOVO'!$C$2:$C$301,C145,'ANO NOVO'!$D$2:$D$301,"FOLGA")&gt;0,"⚠ Folga já lançada em NATAL/ANO NOVO",IF(COUNTIFS(NATAL!$A$2:$A$301,A145,NATAL!$C$2:$C$301,C145,NATAL!$D$2:$D$301,"TRABALHA")+COUNTIFS('ANO NOVO'!$A$2:$A$301,A145,'ANO NOVO'!$C$2:$C$301,C145,'ANO NOVO'!$D$2:$D$301,"TRABALHA")&gt;0,"⚠ Marcado TRABALHA em NATAL/ANO NOVO",IF(COUNTIFS($B$2:$B$301,B145,$C$2:$C$301,C145)&gt;1,"⚠ "&amp;COUNTIFS($B$2:$B$301,B145,$C$2:$C$301,C145)&amp;" pessoas do setor de folga no dia",""))))))</f>
        <v/>
      </c>
    </row>
    <row r="146" customFormat="false" ht="15" hidden="false" customHeight="true" outlineLevel="0" collapsed="false">
      <c r="A146" s="54"/>
      <c r="B146" s="54"/>
      <c r="C146" s="53"/>
      <c r="D146" s="54"/>
      <c r="E146" s="55" t="str">
        <f aca="false">IF(ISNUMBER(C146),CHOOSE(WEEKDAY(C146),"Domingo","Segunda","Terça","Quarta","Quinta","Sexta","Sábado"),"")</f>
        <v/>
      </c>
      <c r="F146" s="55" t="str">
        <f aca="true">IF(NOT(ISNUMBER(C146)),"",IF(C146=TODAY(),"HOJE",IF(C146=TODAY()+1,"AMANHÃ",IF(C146&lt;TODAY(),"Realizada",IF(C146-TODAY()&lt;=7,"Em "&amp;(C146-TODAY())&amp;" dias","Agendada")))))</f>
        <v/>
      </c>
      <c r="G146" s="55" t="str">
        <f aca="false">IF(OR(A146="",NOT(ISNUMBER(C146))),"",IF(COUNTIFS($A$2:$A$301,A146,$C$2:$C$301,C146)&gt;1,"⚠ Folga duplicada",IF(COUNTIFS(FÉRIAS!$A$2:$A$301,A146,FÉRIAS!$C$2:$C$301,"&lt;="&amp;C146,FÉRIAS!$D$2:$D$301,"&gt;="&amp;C146)&gt;0,"⚠ Está de férias nesta data",IF(COUNTIFS(NATAL!$A$2:$A$301,A146,NATAL!$C$2:$C$301,C146,NATAL!$D$2:$D$301,"FOLGA")+COUNTIFS('ANO NOVO'!$A$2:$A$301,A146,'ANO NOVO'!$C$2:$C$301,C146,'ANO NOVO'!$D$2:$D$301,"FOLGA")&gt;0,"⚠ Folga já lançada em NATAL/ANO NOVO",IF(COUNTIFS(NATAL!$A$2:$A$301,A146,NATAL!$C$2:$C$301,C146,NATAL!$D$2:$D$301,"TRABALHA")+COUNTIFS('ANO NOVO'!$A$2:$A$301,A146,'ANO NOVO'!$C$2:$C$301,C146,'ANO NOVO'!$D$2:$D$301,"TRABALHA")&gt;0,"⚠ Marcado TRABALHA em NATAL/ANO NOVO",IF(COUNTIFS($B$2:$B$301,B146,$C$2:$C$301,C146)&gt;1,"⚠ "&amp;COUNTIFS($B$2:$B$301,B146,$C$2:$C$301,C146)&amp;" pessoas do setor de folga no dia",""))))))</f>
        <v/>
      </c>
    </row>
    <row r="147" customFormat="false" ht="15" hidden="false" customHeight="true" outlineLevel="0" collapsed="false">
      <c r="A147" s="54"/>
      <c r="B147" s="54"/>
      <c r="C147" s="53"/>
      <c r="D147" s="54"/>
      <c r="E147" s="55" t="str">
        <f aca="false">IF(ISNUMBER(C147),CHOOSE(WEEKDAY(C147),"Domingo","Segunda","Terça","Quarta","Quinta","Sexta","Sábado"),"")</f>
        <v/>
      </c>
      <c r="F147" s="55" t="str">
        <f aca="true">IF(NOT(ISNUMBER(C147)),"",IF(C147=TODAY(),"HOJE",IF(C147=TODAY()+1,"AMANHÃ",IF(C147&lt;TODAY(),"Realizada",IF(C147-TODAY()&lt;=7,"Em "&amp;(C147-TODAY())&amp;" dias","Agendada")))))</f>
        <v/>
      </c>
      <c r="G147" s="55" t="str">
        <f aca="false">IF(OR(A147="",NOT(ISNUMBER(C147))),"",IF(COUNTIFS($A$2:$A$301,A147,$C$2:$C$301,C147)&gt;1,"⚠ Folga duplicada",IF(COUNTIFS(FÉRIAS!$A$2:$A$301,A147,FÉRIAS!$C$2:$C$301,"&lt;="&amp;C147,FÉRIAS!$D$2:$D$301,"&gt;="&amp;C147)&gt;0,"⚠ Está de férias nesta data",IF(COUNTIFS(NATAL!$A$2:$A$301,A147,NATAL!$C$2:$C$301,C147,NATAL!$D$2:$D$301,"FOLGA")+COUNTIFS('ANO NOVO'!$A$2:$A$301,A147,'ANO NOVO'!$C$2:$C$301,C147,'ANO NOVO'!$D$2:$D$301,"FOLGA")&gt;0,"⚠ Folga já lançada em NATAL/ANO NOVO",IF(COUNTIFS(NATAL!$A$2:$A$301,A147,NATAL!$C$2:$C$301,C147,NATAL!$D$2:$D$301,"TRABALHA")+COUNTIFS('ANO NOVO'!$A$2:$A$301,A147,'ANO NOVO'!$C$2:$C$301,C147,'ANO NOVO'!$D$2:$D$301,"TRABALHA")&gt;0,"⚠ Marcado TRABALHA em NATAL/ANO NOVO",IF(COUNTIFS($B$2:$B$301,B147,$C$2:$C$301,C147)&gt;1,"⚠ "&amp;COUNTIFS($B$2:$B$301,B147,$C$2:$C$301,C147)&amp;" pessoas do setor de folga no dia",""))))))</f>
        <v/>
      </c>
    </row>
    <row r="148" customFormat="false" ht="15" hidden="false" customHeight="true" outlineLevel="0" collapsed="false">
      <c r="A148" s="54"/>
      <c r="B148" s="54"/>
      <c r="C148" s="53"/>
      <c r="D148" s="54"/>
      <c r="E148" s="55" t="str">
        <f aca="false">IF(ISNUMBER(C148),CHOOSE(WEEKDAY(C148),"Domingo","Segunda","Terça","Quarta","Quinta","Sexta","Sábado"),"")</f>
        <v/>
      </c>
      <c r="F148" s="55" t="str">
        <f aca="true">IF(NOT(ISNUMBER(C148)),"",IF(C148=TODAY(),"HOJE",IF(C148=TODAY()+1,"AMANHÃ",IF(C148&lt;TODAY(),"Realizada",IF(C148-TODAY()&lt;=7,"Em "&amp;(C148-TODAY())&amp;" dias","Agendada")))))</f>
        <v/>
      </c>
      <c r="G148" s="55" t="str">
        <f aca="false">IF(OR(A148="",NOT(ISNUMBER(C148))),"",IF(COUNTIFS($A$2:$A$301,A148,$C$2:$C$301,C148)&gt;1,"⚠ Folga duplicada",IF(COUNTIFS(FÉRIAS!$A$2:$A$301,A148,FÉRIAS!$C$2:$C$301,"&lt;="&amp;C148,FÉRIAS!$D$2:$D$301,"&gt;="&amp;C148)&gt;0,"⚠ Está de férias nesta data",IF(COUNTIFS(NATAL!$A$2:$A$301,A148,NATAL!$C$2:$C$301,C148,NATAL!$D$2:$D$301,"FOLGA")+COUNTIFS('ANO NOVO'!$A$2:$A$301,A148,'ANO NOVO'!$C$2:$C$301,C148,'ANO NOVO'!$D$2:$D$301,"FOLGA")&gt;0,"⚠ Folga já lançada em NATAL/ANO NOVO",IF(COUNTIFS(NATAL!$A$2:$A$301,A148,NATAL!$C$2:$C$301,C148,NATAL!$D$2:$D$301,"TRABALHA")+COUNTIFS('ANO NOVO'!$A$2:$A$301,A148,'ANO NOVO'!$C$2:$C$301,C148,'ANO NOVO'!$D$2:$D$301,"TRABALHA")&gt;0,"⚠ Marcado TRABALHA em NATAL/ANO NOVO",IF(COUNTIFS($B$2:$B$301,B148,$C$2:$C$301,C148)&gt;1,"⚠ "&amp;COUNTIFS($B$2:$B$301,B148,$C$2:$C$301,C148)&amp;" pessoas do setor de folga no dia",""))))))</f>
        <v/>
      </c>
    </row>
    <row r="149" customFormat="false" ht="15" hidden="false" customHeight="true" outlineLevel="0" collapsed="false">
      <c r="A149" s="54"/>
      <c r="B149" s="54"/>
      <c r="C149" s="53"/>
      <c r="D149" s="54"/>
      <c r="E149" s="55" t="str">
        <f aca="false">IF(ISNUMBER(C149),CHOOSE(WEEKDAY(C149),"Domingo","Segunda","Terça","Quarta","Quinta","Sexta","Sábado"),"")</f>
        <v/>
      </c>
      <c r="F149" s="55" t="str">
        <f aca="true">IF(NOT(ISNUMBER(C149)),"",IF(C149=TODAY(),"HOJE",IF(C149=TODAY()+1,"AMANHÃ",IF(C149&lt;TODAY(),"Realizada",IF(C149-TODAY()&lt;=7,"Em "&amp;(C149-TODAY())&amp;" dias","Agendada")))))</f>
        <v/>
      </c>
      <c r="G149" s="55" t="str">
        <f aca="false">IF(OR(A149="",NOT(ISNUMBER(C149))),"",IF(COUNTIFS($A$2:$A$301,A149,$C$2:$C$301,C149)&gt;1,"⚠ Folga duplicada",IF(COUNTIFS(FÉRIAS!$A$2:$A$301,A149,FÉRIAS!$C$2:$C$301,"&lt;="&amp;C149,FÉRIAS!$D$2:$D$301,"&gt;="&amp;C149)&gt;0,"⚠ Está de férias nesta data",IF(COUNTIFS(NATAL!$A$2:$A$301,A149,NATAL!$C$2:$C$301,C149,NATAL!$D$2:$D$301,"FOLGA")+COUNTIFS('ANO NOVO'!$A$2:$A$301,A149,'ANO NOVO'!$C$2:$C$301,C149,'ANO NOVO'!$D$2:$D$301,"FOLGA")&gt;0,"⚠ Folga já lançada em NATAL/ANO NOVO",IF(COUNTIFS(NATAL!$A$2:$A$301,A149,NATAL!$C$2:$C$301,C149,NATAL!$D$2:$D$301,"TRABALHA")+COUNTIFS('ANO NOVO'!$A$2:$A$301,A149,'ANO NOVO'!$C$2:$C$301,C149,'ANO NOVO'!$D$2:$D$301,"TRABALHA")&gt;0,"⚠ Marcado TRABALHA em NATAL/ANO NOVO",IF(COUNTIFS($B$2:$B$301,B149,$C$2:$C$301,C149)&gt;1,"⚠ "&amp;COUNTIFS($B$2:$B$301,B149,$C$2:$C$301,C149)&amp;" pessoas do setor de folga no dia",""))))))</f>
        <v/>
      </c>
    </row>
    <row r="150" customFormat="false" ht="15" hidden="false" customHeight="true" outlineLevel="0" collapsed="false">
      <c r="A150" s="54"/>
      <c r="B150" s="54"/>
      <c r="C150" s="53"/>
      <c r="D150" s="54"/>
      <c r="E150" s="55" t="str">
        <f aca="false">IF(ISNUMBER(C150),CHOOSE(WEEKDAY(C150),"Domingo","Segunda","Terça","Quarta","Quinta","Sexta","Sábado"),"")</f>
        <v/>
      </c>
      <c r="F150" s="55" t="str">
        <f aca="true">IF(NOT(ISNUMBER(C150)),"",IF(C150=TODAY(),"HOJE",IF(C150=TODAY()+1,"AMANHÃ",IF(C150&lt;TODAY(),"Realizada",IF(C150-TODAY()&lt;=7,"Em "&amp;(C150-TODAY())&amp;" dias","Agendada")))))</f>
        <v/>
      </c>
      <c r="G150" s="55" t="str">
        <f aca="false">IF(OR(A150="",NOT(ISNUMBER(C150))),"",IF(COUNTIFS($A$2:$A$301,A150,$C$2:$C$301,C150)&gt;1,"⚠ Folga duplicada",IF(COUNTIFS(FÉRIAS!$A$2:$A$301,A150,FÉRIAS!$C$2:$C$301,"&lt;="&amp;C150,FÉRIAS!$D$2:$D$301,"&gt;="&amp;C150)&gt;0,"⚠ Está de férias nesta data",IF(COUNTIFS(NATAL!$A$2:$A$301,A150,NATAL!$C$2:$C$301,C150,NATAL!$D$2:$D$301,"FOLGA")+COUNTIFS('ANO NOVO'!$A$2:$A$301,A150,'ANO NOVO'!$C$2:$C$301,C150,'ANO NOVO'!$D$2:$D$301,"FOLGA")&gt;0,"⚠ Folga já lançada em NATAL/ANO NOVO",IF(COUNTIFS(NATAL!$A$2:$A$301,A150,NATAL!$C$2:$C$301,C150,NATAL!$D$2:$D$301,"TRABALHA")+COUNTIFS('ANO NOVO'!$A$2:$A$301,A150,'ANO NOVO'!$C$2:$C$301,C150,'ANO NOVO'!$D$2:$D$301,"TRABALHA")&gt;0,"⚠ Marcado TRABALHA em NATAL/ANO NOVO",IF(COUNTIFS($B$2:$B$301,B150,$C$2:$C$301,C150)&gt;1,"⚠ "&amp;COUNTIFS($B$2:$B$301,B150,$C$2:$C$301,C150)&amp;" pessoas do setor de folga no dia",""))))))</f>
        <v/>
      </c>
    </row>
    <row r="151" customFormat="false" ht="15" hidden="false" customHeight="true" outlineLevel="0" collapsed="false">
      <c r="A151" s="54"/>
      <c r="B151" s="54"/>
      <c r="C151" s="53"/>
      <c r="D151" s="54"/>
      <c r="E151" s="55" t="str">
        <f aca="false">IF(ISNUMBER(C151),CHOOSE(WEEKDAY(C151),"Domingo","Segunda","Terça","Quarta","Quinta","Sexta","Sábado"),"")</f>
        <v/>
      </c>
      <c r="F151" s="55" t="str">
        <f aca="true">IF(NOT(ISNUMBER(C151)),"",IF(C151=TODAY(),"HOJE",IF(C151=TODAY()+1,"AMANHÃ",IF(C151&lt;TODAY(),"Realizada",IF(C151-TODAY()&lt;=7,"Em "&amp;(C151-TODAY())&amp;" dias","Agendada")))))</f>
        <v/>
      </c>
      <c r="G151" s="55" t="str">
        <f aca="false">IF(OR(A151="",NOT(ISNUMBER(C151))),"",IF(COUNTIFS($A$2:$A$301,A151,$C$2:$C$301,C151)&gt;1,"⚠ Folga duplicada",IF(COUNTIFS(FÉRIAS!$A$2:$A$301,A151,FÉRIAS!$C$2:$C$301,"&lt;="&amp;C151,FÉRIAS!$D$2:$D$301,"&gt;="&amp;C151)&gt;0,"⚠ Está de férias nesta data",IF(COUNTIFS(NATAL!$A$2:$A$301,A151,NATAL!$C$2:$C$301,C151,NATAL!$D$2:$D$301,"FOLGA")+COUNTIFS('ANO NOVO'!$A$2:$A$301,A151,'ANO NOVO'!$C$2:$C$301,C151,'ANO NOVO'!$D$2:$D$301,"FOLGA")&gt;0,"⚠ Folga já lançada em NATAL/ANO NOVO",IF(COUNTIFS(NATAL!$A$2:$A$301,A151,NATAL!$C$2:$C$301,C151,NATAL!$D$2:$D$301,"TRABALHA")+COUNTIFS('ANO NOVO'!$A$2:$A$301,A151,'ANO NOVO'!$C$2:$C$301,C151,'ANO NOVO'!$D$2:$D$301,"TRABALHA")&gt;0,"⚠ Marcado TRABALHA em NATAL/ANO NOVO",IF(COUNTIFS($B$2:$B$301,B151,$C$2:$C$301,C151)&gt;1,"⚠ "&amp;COUNTIFS($B$2:$B$301,B151,$C$2:$C$301,C151)&amp;" pessoas do setor de folga no dia",""))))))</f>
        <v/>
      </c>
    </row>
    <row r="152" customFormat="false" ht="15" hidden="false" customHeight="true" outlineLevel="0" collapsed="false">
      <c r="A152" s="54"/>
      <c r="B152" s="54"/>
      <c r="C152" s="53"/>
      <c r="D152" s="54"/>
      <c r="E152" s="55" t="str">
        <f aca="false">IF(ISNUMBER(C152),CHOOSE(WEEKDAY(C152),"Domingo","Segunda","Terça","Quarta","Quinta","Sexta","Sábado"),"")</f>
        <v/>
      </c>
      <c r="F152" s="55" t="str">
        <f aca="true">IF(NOT(ISNUMBER(C152)),"",IF(C152=TODAY(),"HOJE",IF(C152=TODAY()+1,"AMANHÃ",IF(C152&lt;TODAY(),"Realizada",IF(C152-TODAY()&lt;=7,"Em "&amp;(C152-TODAY())&amp;" dias","Agendada")))))</f>
        <v/>
      </c>
      <c r="G152" s="55" t="str">
        <f aca="false">IF(OR(A152="",NOT(ISNUMBER(C152))),"",IF(COUNTIFS($A$2:$A$301,A152,$C$2:$C$301,C152)&gt;1,"⚠ Folga duplicada",IF(COUNTIFS(FÉRIAS!$A$2:$A$301,A152,FÉRIAS!$C$2:$C$301,"&lt;="&amp;C152,FÉRIAS!$D$2:$D$301,"&gt;="&amp;C152)&gt;0,"⚠ Está de férias nesta data",IF(COUNTIFS(NATAL!$A$2:$A$301,A152,NATAL!$C$2:$C$301,C152,NATAL!$D$2:$D$301,"FOLGA")+COUNTIFS('ANO NOVO'!$A$2:$A$301,A152,'ANO NOVO'!$C$2:$C$301,C152,'ANO NOVO'!$D$2:$D$301,"FOLGA")&gt;0,"⚠ Folga já lançada em NATAL/ANO NOVO",IF(COUNTIFS(NATAL!$A$2:$A$301,A152,NATAL!$C$2:$C$301,C152,NATAL!$D$2:$D$301,"TRABALHA")+COUNTIFS('ANO NOVO'!$A$2:$A$301,A152,'ANO NOVO'!$C$2:$C$301,C152,'ANO NOVO'!$D$2:$D$301,"TRABALHA")&gt;0,"⚠ Marcado TRABALHA em NATAL/ANO NOVO",IF(COUNTIFS($B$2:$B$301,B152,$C$2:$C$301,C152)&gt;1,"⚠ "&amp;COUNTIFS($B$2:$B$301,B152,$C$2:$C$301,C152)&amp;" pessoas do setor de folga no dia",""))))))</f>
        <v/>
      </c>
    </row>
    <row r="153" customFormat="false" ht="15" hidden="false" customHeight="true" outlineLevel="0" collapsed="false">
      <c r="A153" s="54"/>
      <c r="B153" s="54"/>
      <c r="C153" s="53"/>
      <c r="D153" s="54"/>
      <c r="E153" s="55" t="str">
        <f aca="false">IF(ISNUMBER(C153),CHOOSE(WEEKDAY(C153),"Domingo","Segunda","Terça","Quarta","Quinta","Sexta","Sábado"),"")</f>
        <v/>
      </c>
      <c r="F153" s="55" t="str">
        <f aca="true">IF(NOT(ISNUMBER(C153)),"",IF(C153=TODAY(),"HOJE",IF(C153=TODAY()+1,"AMANHÃ",IF(C153&lt;TODAY(),"Realizada",IF(C153-TODAY()&lt;=7,"Em "&amp;(C153-TODAY())&amp;" dias","Agendada")))))</f>
        <v/>
      </c>
      <c r="G153" s="55" t="str">
        <f aca="false">IF(OR(A153="",NOT(ISNUMBER(C153))),"",IF(COUNTIFS($A$2:$A$301,A153,$C$2:$C$301,C153)&gt;1,"⚠ Folga duplicada",IF(COUNTIFS(FÉRIAS!$A$2:$A$301,A153,FÉRIAS!$C$2:$C$301,"&lt;="&amp;C153,FÉRIAS!$D$2:$D$301,"&gt;="&amp;C153)&gt;0,"⚠ Está de férias nesta data",IF(COUNTIFS(NATAL!$A$2:$A$301,A153,NATAL!$C$2:$C$301,C153,NATAL!$D$2:$D$301,"FOLGA")+COUNTIFS('ANO NOVO'!$A$2:$A$301,A153,'ANO NOVO'!$C$2:$C$301,C153,'ANO NOVO'!$D$2:$D$301,"FOLGA")&gt;0,"⚠ Folga já lançada em NATAL/ANO NOVO",IF(COUNTIFS(NATAL!$A$2:$A$301,A153,NATAL!$C$2:$C$301,C153,NATAL!$D$2:$D$301,"TRABALHA")+COUNTIFS('ANO NOVO'!$A$2:$A$301,A153,'ANO NOVO'!$C$2:$C$301,C153,'ANO NOVO'!$D$2:$D$301,"TRABALHA")&gt;0,"⚠ Marcado TRABALHA em NATAL/ANO NOVO",IF(COUNTIFS($B$2:$B$301,B153,$C$2:$C$301,C153)&gt;1,"⚠ "&amp;COUNTIFS($B$2:$B$301,B153,$C$2:$C$301,C153)&amp;" pessoas do setor de folga no dia",""))))))</f>
        <v/>
      </c>
    </row>
    <row r="154" customFormat="false" ht="15" hidden="false" customHeight="true" outlineLevel="0" collapsed="false">
      <c r="A154" s="54"/>
      <c r="B154" s="54"/>
      <c r="C154" s="53"/>
      <c r="D154" s="54"/>
      <c r="E154" s="55" t="str">
        <f aca="false">IF(ISNUMBER(C154),CHOOSE(WEEKDAY(C154),"Domingo","Segunda","Terça","Quarta","Quinta","Sexta","Sábado"),"")</f>
        <v/>
      </c>
      <c r="F154" s="55" t="str">
        <f aca="true">IF(NOT(ISNUMBER(C154)),"",IF(C154=TODAY(),"HOJE",IF(C154=TODAY()+1,"AMANHÃ",IF(C154&lt;TODAY(),"Realizada",IF(C154-TODAY()&lt;=7,"Em "&amp;(C154-TODAY())&amp;" dias","Agendada")))))</f>
        <v/>
      </c>
      <c r="G154" s="55" t="str">
        <f aca="false">IF(OR(A154="",NOT(ISNUMBER(C154))),"",IF(COUNTIFS($A$2:$A$301,A154,$C$2:$C$301,C154)&gt;1,"⚠ Folga duplicada",IF(COUNTIFS(FÉRIAS!$A$2:$A$301,A154,FÉRIAS!$C$2:$C$301,"&lt;="&amp;C154,FÉRIAS!$D$2:$D$301,"&gt;="&amp;C154)&gt;0,"⚠ Está de férias nesta data",IF(COUNTIFS(NATAL!$A$2:$A$301,A154,NATAL!$C$2:$C$301,C154,NATAL!$D$2:$D$301,"FOLGA")+COUNTIFS('ANO NOVO'!$A$2:$A$301,A154,'ANO NOVO'!$C$2:$C$301,C154,'ANO NOVO'!$D$2:$D$301,"FOLGA")&gt;0,"⚠ Folga já lançada em NATAL/ANO NOVO",IF(COUNTIFS(NATAL!$A$2:$A$301,A154,NATAL!$C$2:$C$301,C154,NATAL!$D$2:$D$301,"TRABALHA")+COUNTIFS('ANO NOVO'!$A$2:$A$301,A154,'ANO NOVO'!$C$2:$C$301,C154,'ANO NOVO'!$D$2:$D$301,"TRABALHA")&gt;0,"⚠ Marcado TRABALHA em NATAL/ANO NOVO",IF(COUNTIFS($B$2:$B$301,B154,$C$2:$C$301,C154)&gt;1,"⚠ "&amp;COUNTIFS($B$2:$B$301,B154,$C$2:$C$301,C154)&amp;" pessoas do setor de folga no dia",""))))))</f>
        <v/>
      </c>
    </row>
    <row r="155" customFormat="false" ht="15" hidden="false" customHeight="true" outlineLevel="0" collapsed="false">
      <c r="A155" s="54"/>
      <c r="B155" s="54"/>
      <c r="C155" s="53"/>
      <c r="D155" s="54"/>
      <c r="E155" s="55" t="str">
        <f aca="false">IF(ISNUMBER(C155),CHOOSE(WEEKDAY(C155),"Domingo","Segunda","Terça","Quarta","Quinta","Sexta","Sábado"),"")</f>
        <v/>
      </c>
      <c r="F155" s="55" t="str">
        <f aca="true">IF(NOT(ISNUMBER(C155)),"",IF(C155=TODAY(),"HOJE",IF(C155=TODAY()+1,"AMANHÃ",IF(C155&lt;TODAY(),"Realizada",IF(C155-TODAY()&lt;=7,"Em "&amp;(C155-TODAY())&amp;" dias","Agendada")))))</f>
        <v/>
      </c>
      <c r="G155" s="55" t="str">
        <f aca="false">IF(OR(A155="",NOT(ISNUMBER(C155))),"",IF(COUNTIFS($A$2:$A$301,A155,$C$2:$C$301,C155)&gt;1,"⚠ Folga duplicada",IF(COUNTIFS(FÉRIAS!$A$2:$A$301,A155,FÉRIAS!$C$2:$C$301,"&lt;="&amp;C155,FÉRIAS!$D$2:$D$301,"&gt;="&amp;C155)&gt;0,"⚠ Está de férias nesta data",IF(COUNTIFS(NATAL!$A$2:$A$301,A155,NATAL!$C$2:$C$301,C155,NATAL!$D$2:$D$301,"FOLGA")+COUNTIFS('ANO NOVO'!$A$2:$A$301,A155,'ANO NOVO'!$C$2:$C$301,C155,'ANO NOVO'!$D$2:$D$301,"FOLGA")&gt;0,"⚠ Folga já lançada em NATAL/ANO NOVO",IF(COUNTIFS(NATAL!$A$2:$A$301,A155,NATAL!$C$2:$C$301,C155,NATAL!$D$2:$D$301,"TRABALHA")+COUNTIFS('ANO NOVO'!$A$2:$A$301,A155,'ANO NOVO'!$C$2:$C$301,C155,'ANO NOVO'!$D$2:$D$301,"TRABALHA")&gt;0,"⚠ Marcado TRABALHA em NATAL/ANO NOVO",IF(COUNTIFS($B$2:$B$301,B155,$C$2:$C$301,C155)&gt;1,"⚠ "&amp;COUNTIFS($B$2:$B$301,B155,$C$2:$C$301,C155)&amp;" pessoas do setor de folga no dia",""))))))</f>
        <v/>
      </c>
    </row>
    <row r="156" customFormat="false" ht="15" hidden="false" customHeight="true" outlineLevel="0" collapsed="false">
      <c r="A156" s="54"/>
      <c r="B156" s="54"/>
      <c r="C156" s="53"/>
      <c r="D156" s="54"/>
      <c r="E156" s="55" t="str">
        <f aca="false">IF(ISNUMBER(C156),CHOOSE(WEEKDAY(C156),"Domingo","Segunda","Terça","Quarta","Quinta","Sexta","Sábado"),"")</f>
        <v/>
      </c>
      <c r="F156" s="55" t="str">
        <f aca="true">IF(NOT(ISNUMBER(C156)),"",IF(C156=TODAY(),"HOJE",IF(C156=TODAY()+1,"AMANHÃ",IF(C156&lt;TODAY(),"Realizada",IF(C156-TODAY()&lt;=7,"Em "&amp;(C156-TODAY())&amp;" dias","Agendada")))))</f>
        <v/>
      </c>
      <c r="G156" s="55" t="str">
        <f aca="false">IF(OR(A156="",NOT(ISNUMBER(C156))),"",IF(COUNTIFS($A$2:$A$301,A156,$C$2:$C$301,C156)&gt;1,"⚠ Folga duplicada",IF(COUNTIFS(FÉRIAS!$A$2:$A$301,A156,FÉRIAS!$C$2:$C$301,"&lt;="&amp;C156,FÉRIAS!$D$2:$D$301,"&gt;="&amp;C156)&gt;0,"⚠ Está de férias nesta data",IF(COUNTIFS(NATAL!$A$2:$A$301,A156,NATAL!$C$2:$C$301,C156,NATAL!$D$2:$D$301,"FOLGA")+COUNTIFS('ANO NOVO'!$A$2:$A$301,A156,'ANO NOVO'!$C$2:$C$301,C156,'ANO NOVO'!$D$2:$D$301,"FOLGA")&gt;0,"⚠ Folga já lançada em NATAL/ANO NOVO",IF(COUNTIFS(NATAL!$A$2:$A$301,A156,NATAL!$C$2:$C$301,C156,NATAL!$D$2:$D$301,"TRABALHA")+COUNTIFS('ANO NOVO'!$A$2:$A$301,A156,'ANO NOVO'!$C$2:$C$301,C156,'ANO NOVO'!$D$2:$D$301,"TRABALHA")&gt;0,"⚠ Marcado TRABALHA em NATAL/ANO NOVO",IF(COUNTIFS($B$2:$B$301,B156,$C$2:$C$301,C156)&gt;1,"⚠ "&amp;COUNTIFS($B$2:$B$301,B156,$C$2:$C$301,C156)&amp;" pessoas do setor de folga no dia",""))))))</f>
        <v/>
      </c>
    </row>
    <row r="157" customFormat="false" ht="15" hidden="false" customHeight="true" outlineLevel="0" collapsed="false">
      <c r="A157" s="54"/>
      <c r="B157" s="54"/>
      <c r="C157" s="53"/>
      <c r="D157" s="54"/>
      <c r="E157" s="55" t="str">
        <f aca="false">IF(ISNUMBER(C157),CHOOSE(WEEKDAY(C157),"Domingo","Segunda","Terça","Quarta","Quinta","Sexta","Sábado"),"")</f>
        <v/>
      </c>
      <c r="F157" s="55" t="str">
        <f aca="true">IF(NOT(ISNUMBER(C157)),"",IF(C157=TODAY(),"HOJE",IF(C157=TODAY()+1,"AMANHÃ",IF(C157&lt;TODAY(),"Realizada",IF(C157-TODAY()&lt;=7,"Em "&amp;(C157-TODAY())&amp;" dias","Agendada")))))</f>
        <v/>
      </c>
      <c r="G157" s="55" t="str">
        <f aca="false">IF(OR(A157="",NOT(ISNUMBER(C157))),"",IF(COUNTIFS($A$2:$A$301,A157,$C$2:$C$301,C157)&gt;1,"⚠ Folga duplicada",IF(COUNTIFS(FÉRIAS!$A$2:$A$301,A157,FÉRIAS!$C$2:$C$301,"&lt;="&amp;C157,FÉRIAS!$D$2:$D$301,"&gt;="&amp;C157)&gt;0,"⚠ Está de férias nesta data",IF(COUNTIFS(NATAL!$A$2:$A$301,A157,NATAL!$C$2:$C$301,C157,NATAL!$D$2:$D$301,"FOLGA")+COUNTIFS('ANO NOVO'!$A$2:$A$301,A157,'ANO NOVO'!$C$2:$C$301,C157,'ANO NOVO'!$D$2:$D$301,"FOLGA")&gt;0,"⚠ Folga já lançada em NATAL/ANO NOVO",IF(COUNTIFS(NATAL!$A$2:$A$301,A157,NATAL!$C$2:$C$301,C157,NATAL!$D$2:$D$301,"TRABALHA")+COUNTIFS('ANO NOVO'!$A$2:$A$301,A157,'ANO NOVO'!$C$2:$C$301,C157,'ANO NOVO'!$D$2:$D$301,"TRABALHA")&gt;0,"⚠ Marcado TRABALHA em NATAL/ANO NOVO",IF(COUNTIFS($B$2:$B$301,B157,$C$2:$C$301,C157)&gt;1,"⚠ "&amp;COUNTIFS($B$2:$B$301,B157,$C$2:$C$301,C157)&amp;" pessoas do setor de folga no dia",""))))))</f>
        <v/>
      </c>
    </row>
    <row r="158" customFormat="false" ht="15" hidden="false" customHeight="true" outlineLevel="0" collapsed="false">
      <c r="A158" s="54"/>
      <c r="B158" s="54"/>
      <c r="C158" s="53"/>
      <c r="D158" s="54"/>
      <c r="E158" s="55" t="str">
        <f aca="false">IF(ISNUMBER(C158),CHOOSE(WEEKDAY(C158),"Domingo","Segunda","Terça","Quarta","Quinta","Sexta","Sábado"),"")</f>
        <v/>
      </c>
      <c r="F158" s="55" t="str">
        <f aca="true">IF(NOT(ISNUMBER(C158)),"",IF(C158=TODAY(),"HOJE",IF(C158=TODAY()+1,"AMANHÃ",IF(C158&lt;TODAY(),"Realizada",IF(C158-TODAY()&lt;=7,"Em "&amp;(C158-TODAY())&amp;" dias","Agendada")))))</f>
        <v/>
      </c>
      <c r="G158" s="55" t="str">
        <f aca="false">IF(OR(A158="",NOT(ISNUMBER(C158))),"",IF(COUNTIFS($A$2:$A$301,A158,$C$2:$C$301,C158)&gt;1,"⚠ Folga duplicada",IF(COUNTIFS(FÉRIAS!$A$2:$A$301,A158,FÉRIAS!$C$2:$C$301,"&lt;="&amp;C158,FÉRIAS!$D$2:$D$301,"&gt;="&amp;C158)&gt;0,"⚠ Está de férias nesta data",IF(COUNTIFS(NATAL!$A$2:$A$301,A158,NATAL!$C$2:$C$301,C158,NATAL!$D$2:$D$301,"FOLGA")+COUNTIFS('ANO NOVO'!$A$2:$A$301,A158,'ANO NOVO'!$C$2:$C$301,C158,'ANO NOVO'!$D$2:$D$301,"FOLGA")&gt;0,"⚠ Folga já lançada em NATAL/ANO NOVO",IF(COUNTIFS(NATAL!$A$2:$A$301,A158,NATAL!$C$2:$C$301,C158,NATAL!$D$2:$D$301,"TRABALHA")+COUNTIFS('ANO NOVO'!$A$2:$A$301,A158,'ANO NOVO'!$C$2:$C$301,C158,'ANO NOVO'!$D$2:$D$301,"TRABALHA")&gt;0,"⚠ Marcado TRABALHA em NATAL/ANO NOVO",IF(COUNTIFS($B$2:$B$301,B158,$C$2:$C$301,C158)&gt;1,"⚠ "&amp;COUNTIFS($B$2:$B$301,B158,$C$2:$C$301,C158)&amp;" pessoas do setor de folga no dia",""))))))</f>
        <v/>
      </c>
    </row>
    <row r="159" customFormat="false" ht="15" hidden="false" customHeight="true" outlineLevel="0" collapsed="false">
      <c r="A159" s="54"/>
      <c r="B159" s="54"/>
      <c r="C159" s="53"/>
      <c r="D159" s="54"/>
      <c r="E159" s="55" t="str">
        <f aca="false">IF(ISNUMBER(C159),CHOOSE(WEEKDAY(C159),"Domingo","Segunda","Terça","Quarta","Quinta","Sexta","Sábado"),"")</f>
        <v/>
      </c>
      <c r="F159" s="55" t="str">
        <f aca="true">IF(NOT(ISNUMBER(C159)),"",IF(C159=TODAY(),"HOJE",IF(C159=TODAY()+1,"AMANHÃ",IF(C159&lt;TODAY(),"Realizada",IF(C159-TODAY()&lt;=7,"Em "&amp;(C159-TODAY())&amp;" dias","Agendada")))))</f>
        <v/>
      </c>
      <c r="G159" s="55" t="str">
        <f aca="false">IF(OR(A159="",NOT(ISNUMBER(C159))),"",IF(COUNTIFS($A$2:$A$301,A159,$C$2:$C$301,C159)&gt;1,"⚠ Folga duplicada",IF(COUNTIFS(FÉRIAS!$A$2:$A$301,A159,FÉRIAS!$C$2:$C$301,"&lt;="&amp;C159,FÉRIAS!$D$2:$D$301,"&gt;="&amp;C159)&gt;0,"⚠ Está de férias nesta data",IF(COUNTIFS(NATAL!$A$2:$A$301,A159,NATAL!$C$2:$C$301,C159,NATAL!$D$2:$D$301,"FOLGA")+COUNTIFS('ANO NOVO'!$A$2:$A$301,A159,'ANO NOVO'!$C$2:$C$301,C159,'ANO NOVO'!$D$2:$D$301,"FOLGA")&gt;0,"⚠ Folga já lançada em NATAL/ANO NOVO",IF(COUNTIFS(NATAL!$A$2:$A$301,A159,NATAL!$C$2:$C$301,C159,NATAL!$D$2:$D$301,"TRABALHA")+COUNTIFS('ANO NOVO'!$A$2:$A$301,A159,'ANO NOVO'!$C$2:$C$301,C159,'ANO NOVO'!$D$2:$D$301,"TRABALHA")&gt;0,"⚠ Marcado TRABALHA em NATAL/ANO NOVO",IF(COUNTIFS($B$2:$B$301,B159,$C$2:$C$301,C159)&gt;1,"⚠ "&amp;COUNTIFS($B$2:$B$301,B159,$C$2:$C$301,C159)&amp;" pessoas do setor de folga no dia",""))))))</f>
        <v/>
      </c>
    </row>
    <row r="160" customFormat="false" ht="15" hidden="false" customHeight="true" outlineLevel="0" collapsed="false">
      <c r="A160" s="54"/>
      <c r="B160" s="54"/>
      <c r="C160" s="53"/>
      <c r="D160" s="54"/>
      <c r="E160" s="55" t="str">
        <f aca="false">IF(ISNUMBER(C160),CHOOSE(WEEKDAY(C160),"Domingo","Segunda","Terça","Quarta","Quinta","Sexta","Sábado"),"")</f>
        <v/>
      </c>
      <c r="F160" s="55" t="str">
        <f aca="true">IF(NOT(ISNUMBER(C160)),"",IF(C160=TODAY(),"HOJE",IF(C160=TODAY()+1,"AMANHÃ",IF(C160&lt;TODAY(),"Realizada",IF(C160-TODAY()&lt;=7,"Em "&amp;(C160-TODAY())&amp;" dias","Agendada")))))</f>
        <v/>
      </c>
      <c r="G160" s="55" t="str">
        <f aca="false">IF(OR(A160="",NOT(ISNUMBER(C160))),"",IF(COUNTIFS($A$2:$A$301,A160,$C$2:$C$301,C160)&gt;1,"⚠ Folga duplicada",IF(COUNTIFS(FÉRIAS!$A$2:$A$301,A160,FÉRIAS!$C$2:$C$301,"&lt;="&amp;C160,FÉRIAS!$D$2:$D$301,"&gt;="&amp;C160)&gt;0,"⚠ Está de férias nesta data",IF(COUNTIFS(NATAL!$A$2:$A$301,A160,NATAL!$C$2:$C$301,C160,NATAL!$D$2:$D$301,"FOLGA")+COUNTIFS('ANO NOVO'!$A$2:$A$301,A160,'ANO NOVO'!$C$2:$C$301,C160,'ANO NOVO'!$D$2:$D$301,"FOLGA")&gt;0,"⚠ Folga já lançada em NATAL/ANO NOVO",IF(COUNTIFS(NATAL!$A$2:$A$301,A160,NATAL!$C$2:$C$301,C160,NATAL!$D$2:$D$301,"TRABALHA")+COUNTIFS('ANO NOVO'!$A$2:$A$301,A160,'ANO NOVO'!$C$2:$C$301,C160,'ANO NOVO'!$D$2:$D$301,"TRABALHA")&gt;0,"⚠ Marcado TRABALHA em NATAL/ANO NOVO",IF(COUNTIFS($B$2:$B$301,B160,$C$2:$C$301,C160)&gt;1,"⚠ "&amp;COUNTIFS($B$2:$B$301,B160,$C$2:$C$301,C160)&amp;" pessoas do setor de folga no dia",""))))))</f>
        <v/>
      </c>
    </row>
    <row r="161" customFormat="false" ht="15" hidden="false" customHeight="true" outlineLevel="0" collapsed="false">
      <c r="A161" s="54"/>
      <c r="B161" s="54"/>
      <c r="C161" s="53"/>
      <c r="D161" s="54"/>
      <c r="E161" s="55" t="str">
        <f aca="false">IF(ISNUMBER(C161),CHOOSE(WEEKDAY(C161),"Domingo","Segunda","Terça","Quarta","Quinta","Sexta","Sábado"),"")</f>
        <v/>
      </c>
      <c r="F161" s="55" t="str">
        <f aca="true">IF(NOT(ISNUMBER(C161)),"",IF(C161=TODAY(),"HOJE",IF(C161=TODAY()+1,"AMANHÃ",IF(C161&lt;TODAY(),"Realizada",IF(C161-TODAY()&lt;=7,"Em "&amp;(C161-TODAY())&amp;" dias","Agendada")))))</f>
        <v/>
      </c>
      <c r="G161" s="55" t="str">
        <f aca="false">IF(OR(A161="",NOT(ISNUMBER(C161))),"",IF(COUNTIFS($A$2:$A$301,A161,$C$2:$C$301,C161)&gt;1,"⚠ Folga duplicada",IF(COUNTIFS(FÉRIAS!$A$2:$A$301,A161,FÉRIAS!$C$2:$C$301,"&lt;="&amp;C161,FÉRIAS!$D$2:$D$301,"&gt;="&amp;C161)&gt;0,"⚠ Está de férias nesta data",IF(COUNTIFS(NATAL!$A$2:$A$301,A161,NATAL!$C$2:$C$301,C161,NATAL!$D$2:$D$301,"FOLGA")+COUNTIFS('ANO NOVO'!$A$2:$A$301,A161,'ANO NOVO'!$C$2:$C$301,C161,'ANO NOVO'!$D$2:$D$301,"FOLGA")&gt;0,"⚠ Folga já lançada em NATAL/ANO NOVO",IF(COUNTIFS(NATAL!$A$2:$A$301,A161,NATAL!$C$2:$C$301,C161,NATAL!$D$2:$D$301,"TRABALHA")+COUNTIFS('ANO NOVO'!$A$2:$A$301,A161,'ANO NOVO'!$C$2:$C$301,C161,'ANO NOVO'!$D$2:$D$301,"TRABALHA")&gt;0,"⚠ Marcado TRABALHA em NATAL/ANO NOVO",IF(COUNTIFS($B$2:$B$301,B161,$C$2:$C$301,C161)&gt;1,"⚠ "&amp;COUNTIFS($B$2:$B$301,B161,$C$2:$C$301,C161)&amp;" pessoas do setor de folga no dia",""))))))</f>
        <v/>
      </c>
    </row>
    <row r="162" customFormat="false" ht="15" hidden="false" customHeight="true" outlineLevel="0" collapsed="false">
      <c r="A162" s="54"/>
      <c r="B162" s="54"/>
      <c r="C162" s="53"/>
      <c r="D162" s="54"/>
      <c r="E162" s="55" t="str">
        <f aca="false">IF(ISNUMBER(C162),CHOOSE(WEEKDAY(C162),"Domingo","Segunda","Terça","Quarta","Quinta","Sexta","Sábado"),"")</f>
        <v/>
      </c>
      <c r="F162" s="55" t="str">
        <f aca="true">IF(NOT(ISNUMBER(C162)),"",IF(C162=TODAY(),"HOJE",IF(C162=TODAY()+1,"AMANHÃ",IF(C162&lt;TODAY(),"Realizada",IF(C162-TODAY()&lt;=7,"Em "&amp;(C162-TODAY())&amp;" dias","Agendada")))))</f>
        <v/>
      </c>
      <c r="G162" s="55" t="str">
        <f aca="false">IF(OR(A162="",NOT(ISNUMBER(C162))),"",IF(COUNTIFS($A$2:$A$301,A162,$C$2:$C$301,C162)&gt;1,"⚠ Folga duplicada",IF(COUNTIFS(FÉRIAS!$A$2:$A$301,A162,FÉRIAS!$C$2:$C$301,"&lt;="&amp;C162,FÉRIAS!$D$2:$D$301,"&gt;="&amp;C162)&gt;0,"⚠ Está de férias nesta data",IF(COUNTIFS(NATAL!$A$2:$A$301,A162,NATAL!$C$2:$C$301,C162,NATAL!$D$2:$D$301,"FOLGA")+COUNTIFS('ANO NOVO'!$A$2:$A$301,A162,'ANO NOVO'!$C$2:$C$301,C162,'ANO NOVO'!$D$2:$D$301,"FOLGA")&gt;0,"⚠ Folga já lançada em NATAL/ANO NOVO",IF(COUNTIFS(NATAL!$A$2:$A$301,A162,NATAL!$C$2:$C$301,C162,NATAL!$D$2:$D$301,"TRABALHA")+COUNTIFS('ANO NOVO'!$A$2:$A$301,A162,'ANO NOVO'!$C$2:$C$301,C162,'ANO NOVO'!$D$2:$D$301,"TRABALHA")&gt;0,"⚠ Marcado TRABALHA em NATAL/ANO NOVO",IF(COUNTIFS($B$2:$B$301,B162,$C$2:$C$301,C162)&gt;1,"⚠ "&amp;COUNTIFS($B$2:$B$301,B162,$C$2:$C$301,C162)&amp;" pessoas do setor de folga no dia",""))))))</f>
        <v/>
      </c>
    </row>
    <row r="163" customFormat="false" ht="15" hidden="false" customHeight="true" outlineLevel="0" collapsed="false">
      <c r="A163" s="54"/>
      <c r="B163" s="54"/>
      <c r="C163" s="53"/>
      <c r="D163" s="54"/>
      <c r="E163" s="55" t="str">
        <f aca="false">IF(ISNUMBER(C163),CHOOSE(WEEKDAY(C163),"Domingo","Segunda","Terça","Quarta","Quinta","Sexta","Sábado"),"")</f>
        <v/>
      </c>
      <c r="F163" s="55" t="str">
        <f aca="true">IF(NOT(ISNUMBER(C163)),"",IF(C163=TODAY(),"HOJE",IF(C163=TODAY()+1,"AMANHÃ",IF(C163&lt;TODAY(),"Realizada",IF(C163-TODAY()&lt;=7,"Em "&amp;(C163-TODAY())&amp;" dias","Agendada")))))</f>
        <v/>
      </c>
      <c r="G163" s="55" t="str">
        <f aca="false">IF(OR(A163="",NOT(ISNUMBER(C163))),"",IF(COUNTIFS($A$2:$A$301,A163,$C$2:$C$301,C163)&gt;1,"⚠ Folga duplicada",IF(COUNTIFS(FÉRIAS!$A$2:$A$301,A163,FÉRIAS!$C$2:$C$301,"&lt;="&amp;C163,FÉRIAS!$D$2:$D$301,"&gt;="&amp;C163)&gt;0,"⚠ Está de férias nesta data",IF(COUNTIFS(NATAL!$A$2:$A$301,A163,NATAL!$C$2:$C$301,C163,NATAL!$D$2:$D$301,"FOLGA")+COUNTIFS('ANO NOVO'!$A$2:$A$301,A163,'ANO NOVO'!$C$2:$C$301,C163,'ANO NOVO'!$D$2:$D$301,"FOLGA")&gt;0,"⚠ Folga já lançada em NATAL/ANO NOVO",IF(COUNTIFS(NATAL!$A$2:$A$301,A163,NATAL!$C$2:$C$301,C163,NATAL!$D$2:$D$301,"TRABALHA")+COUNTIFS('ANO NOVO'!$A$2:$A$301,A163,'ANO NOVO'!$C$2:$C$301,C163,'ANO NOVO'!$D$2:$D$301,"TRABALHA")&gt;0,"⚠ Marcado TRABALHA em NATAL/ANO NOVO",IF(COUNTIFS($B$2:$B$301,B163,$C$2:$C$301,C163)&gt;1,"⚠ "&amp;COUNTIFS($B$2:$B$301,B163,$C$2:$C$301,C163)&amp;" pessoas do setor de folga no dia",""))))))</f>
        <v/>
      </c>
    </row>
    <row r="164" customFormat="false" ht="15" hidden="false" customHeight="true" outlineLevel="0" collapsed="false">
      <c r="A164" s="54"/>
      <c r="B164" s="54"/>
      <c r="C164" s="53"/>
      <c r="D164" s="54"/>
      <c r="E164" s="55" t="str">
        <f aca="false">IF(ISNUMBER(C164),CHOOSE(WEEKDAY(C164),"Domingo","Segunda","Terça","Quarta","Quinta","Sexta","Sábado"),"")</f>
        <v/>
      </c>
      <c r="F164" s="55" t="str">
        <f aca="true">IF(NOT(ISNUMBER(C164)),"",IF(C164=TODAY(),"HOJE",IF(C164=TODAY()+1,"AMANHÃ",IF(C164&lt;TODAY(),"Realizada",IF(C164-TODAY()&lt;=7,"Em "&amp;(C164-TODAY())&amp;" dias","Agendada")))))</f>
        <v/>
      </c>
      <c r="G164" s="55" t="str">
        <f aca="false">IF(OR(A164="",NOT(ISNUMBER(C164))),"",IF(COUNTIFS($A$2:$A$301,A164,$C$2:$C$301,C164)&gt;1,"⚠ Folga duplicada",IF(COUNTIFS(FÉRIAS!$A$2:$A$301,A164,FÉRIAS!$C$2:$C$301,"&lt;="&amp;C164,FÉRIAS!$D$2:$D$301,"&gt;="&amp;C164)&gt;0,"⚠ Está de férias nesta data",IF(COUNTIFS(NATAL!$A$2:$A$301,A164,NATAL!$C$2:$C$301,C164,NATAL!$D$2:$D$301,"FOLGA")+COUNTIFS('ANO NOVO'!$A$2:$A$301,A164,'ANO NOVO'!$C$2:$C$301,C164,'ANO NOVO'!$D$2:$D$301,"FOLGA")&gt;0,"⚠ Folga já lançada em NATAL/ANO NOVO",IF(COUNTIFS(NATAL!$A$2:$A$301,A164,NATAL!$C$2:$C$301,C164,NATAL!$D$2:$D$301,"TRABALHA")+COUNTIFS('ANO NOVO'!$A$2:$A$301,A164,'ANO NOVO'!$C$2:$C$301,C164,'ANO NOVO'!$D$2:$D$301,"TRABALHA")&gt;0,"⚠ Marcado TRABALHA em NATAL/ANO NOVO",IF(COUNTIFS($B$2:$B$301,B164,$C$2:$C$301,C164)&gt;1,"⚠ "&amp;COUNTIFS($B$2:$B$301,B164,$C$2:$C$301,C164)&amp;" pessoas do setor de folga no dia",""))))))</f>
        <v/>
      </c>
    </row>
    <row r="165" customFormat="false" ht="15" hidden="false" customHeight="true" outlineLevel="0" collapsed="false">
      <c r="A165" s="54"/>
      <c r="B165" s="54"/>
      <c r="C165" s="53"/>
      <c r="D165" s="54"/>
      <c r="E165" s="55" t="str">
        <f aca="false">IF(ISNUMBER(C165),CHOOSE(WEEKDAY(C165),"Domingo","Segunda","Terça","Quarta","Quinta","Sexta","Sábado"),"")</f>
        <v/>
      </c>
      <c r="F165" s="55" t="str">
        <f aca="true">IF(NOT(ISNUMBER(C165)),"",IF(C165=TODAY(),"HOJE",IF(C165=TODAY()+1,"AMANHÃ",IF(C165&lt;TODAY(),"Realizada",IF(C165-TODAY()&lt;=7,"Em "&amp;(C165-TODAY())&amp;" dias","Agendada")))))</f>
        <v/>
      </c>
      <c r="G165" s="55" t="str">
        <f aca="false">IF(OR(A165="",NOT(ISNUMBER(C165))),"",IF(COUNTIFS($A$2:$A$301,A165,$C$2:$C$301,C165)&gt;1,"⚠ Folga duplicada",IF(COUNTIFS(FÉRIAS!$A$2:$A$301,A165,FÉRIAS!$C$2:$C$301,"&lt;="&amp;C165,FÉRIAS!$D$2:$D$301,"&gt;="&amp;C165)&gt;0,"⚠ Está de férias nesta data",IF(COUNTIFS(NATAL!$A$2:$A$301,A165,NATAL!$C$2:$C$301,C165,NATAL!$D$2:$D$301,"FOLGA")+COUNTIFS('ANO NOVO'!$A$2:$A$301,A165,'ANO NOVO'!$C$2:$C$301,C165,'ANO NOVO'!$D$2:$D$301,"FOLGA")&gt;0,"⚠ Folga já lançada em NATAL/ANO NOVO",IF(COUNTIFS(NATAL!$A$2:$A$301,A165,NATAL!$C$2:$C$301,C165,NATAL!$D$2:$D$301,"TRABALHA")+COUNTIFS('ANO NOVO'!$A$2:$A$301,A165,'ANO NOVO'!$C$2:$C$301,C165,'ANO NOVO'!$D$2:$D$301,"TRABALHA")&gt;0,"⚠ Marcado TRABALHA em NATAL/ANO NOVO",IF(COUNTIFS($B$2:$B$301,B165,$C$2:$C$301,C165)&gt;1,"⚠ "&amp;COUNTIFS($B$2:$B$301,B165,$C$2:$C$301,C165)&amp;" pessoas do setor de folga no dia",""))))))</f>
        <v/>
      </c>
    </row>
    <row r="166" customFormat="false" ht="15" hidden="false" customHeight="true" outlineLevel="0" collapsed="false">
      <c r="A166" s="54"/>
      <c r="B166" s="54"/>
      <c r="C166" s="53"/>
      <c r="D166" s="54"/>
      <c r="E166" s="55" t="str">
        <f aca="false">IF(ISNUMBER(C166),CHOOSE(WEEKDAY(C166),"Domingo","Segunda","Terça","Quarta","Quinta","Sexta","Sábado"),"")</f>
        <v/>
      </c>
      <c r="F166" s="55" t="str">
        <f aca="true">IF(NOT(ISNUMBER(C166)),"",IF(C166=TODAY(),"HOJE",IF(C166=TODAY()+1,"AMANHÃ",IF(C166&lt;TODAY(),"Realizada",IF(C166-TODAY()&lt;=7,"Em "&amp;(C166-TODAY())&amp;" dias","Agendada")))))</f>
        <v/>
      </c>
      <c r="G166" s="55" t="str">
        <f aca="false">IF(OR(A166="",NOT(ISNUMBER(C166))),"",IF(COUNTIFS($A$2:$A$301,A166,$C$2:$C$301,C166)&gt;1,"⚠ Folga duplicada",IF(COUNTIFS(FÉRIAS!$A$2:$A$301,A166,FÉRIAS!$C$2:$C$301,"&lt;="&amp;C166,FÉRIAS!$D$2:$D$301,"&gt;="&amp;C166)&gt;0,"⚠ Está de férias nesta data",IF(COUNTIFS(NATAL!$A$2:$A$301,A166,NATAL!$C$2:$C$301,C166,NATAL!$D$2:$D$301,"FOLGA")+COUNTIFS('ANO NOVO'!$A$2:$A$301,A166,'ANO NOVO'!$C$2:$C$301,C166,'ANO NOVO'!$D$2:$D$301,"FOLGA")&gt;0,"⚠ Folga já lançada em NATAL/ANO NOVO",IF(COUNTIFS(NATAL!$A$2:$A$301,A166,NATAL!$C$2:$C$301,C166,NATAL!$D$2:$D$301,"TRABALHA")+COUNTIFS('ANO NOVO'!$A$2:$A$301,A166,'ANO NOVO'!$C$2:$C$301,C166,'ANO NOVO'!$D$2:$D$301,"TRABALHA")&gt;0,"⚠ Marcado TRABALHA em NATAL/ANO NOVO",IF(COUNTIFS($B$2:$B$301,B166,$C$2:$C$301,C166)&gt;1,"⚠ "&amp;COUNTIFS($B$2:$B$301,B166,$C$2:$C$301,C166)&amp;" pessoas do setor de folga no dia",""))))))</f>
        <v/>
      </c>
    </row>
    <row r="167" customFormat="false" ht="15" hidden="false" customHeight="true" outlineLevel="0" collapsed="false">
      <c r="A167" s="54"/>
      <c r="B167" s="54"/>
      <c r="C167" s="53"/>
      <c r="D167" s="54"/>
      <c r="E167" s="55" t="str">
        <f aca="false">IF(ISNUMBER(C167),CHOOSE(WEEKDAY(C167),"Domingo","Segunda","Terça","Quarta","Quinta","Sexta","Sábado"),"")</f>
        <v/>
      </c>
      <c r="F167" s="55" t="str">
        <f aca="true">IF(NOT(ISNUMBER(C167)),"",IF(C167=TODAY(),"HOJE",IF(C167=TODAY()+1,"AMANHÃ",IF(C167&lt;TODAY(),"Realizada",IF(C167-TODAY()&lt;=7,"Em "&amp;(C167-TODAY())&amp;" dias","Agendada")))))</f>
        <v/>
      </c>
      <c r="G167" s="55" t="str">
        <f aca="false">IF(OR(A167="",NOT(ISNUMBER(C167))),"",IF(COUNTIFS($A$2:$A$301,A167,$C$2:$C$301,C167)&gt;1,"⚠ Folga duplicada",IF(COUNTIFS(FÉRIAS!$A$2:$A$301,A167,FÉRIAS!$C$2:$C$301,"&lt;="&amp;C167,FÉRIAS!$D$2:$D$301,"&gt;="&amp;C167)&gt;0,"⚠ Está de férias nesta data",IF(COUNTIFS(NATAL!$A$2:$A$301,A167,NATAL!$C$2:$C$301,C167,NATAL!$D$2:$D$301,"FOLGA")+COUNTIFS('ANO NOVO'!$A$2:$A$301,A167,'ANO NOVO'!$C$2:$C$301,C167,'ANO NOVO'!$D$2:$D$301,"FOLGA")&gt;0,"⚠ Folga já lançada em NATAL/ANO NOVO",IF(COUNTIFS(NATAL!$A$2:$A$301,A167,NATAL!$C$2:$C$301,C167,NATAL!$D$2:$D$301,"TRABALHA")+COUNTIFS('ANO NOVO'!$A$2:$A$301,A167,'ANO NOVO'!$C$2:$C$301,C167,'ANO NOVO'!$D$2:$D$301,"TRABALHA")&gt;0,"⚠ Marcado TRABALHA em NATAL/ANO NOVO",IF(COUNTIFS($B$2:$B$301,B167,$C$2:$C$301,C167)&gt;1,"⚠ "&amp;COUNTIFS($B$2:$B$301,B167,$C$2:$C$301,C167)&amp;" pessoas do setor de folga no dia",""))))))</f>
        <v/>
      </c>
    </row>
    <row r="168" customFormat="false" ht="15" hidden="false" customHeight="true" outlineLevel="0" collapsed="false">
      <c r="A168" s="54"/>
      <c r="B168" s="54"/>
      <c r="C168" s="53"/>
      <c r="D168" s="54"/>
      <c r="E168" s="55" t="str">
        <f aca="false">IF(ISNUMBER(C168),CHOOSE(WEEKDAY(C168),"Domingo","Segunda","Terça","Quarta","Quinta","Sexta","Sábado"),"")</f>
        <v/>
      </c>
      <c r="F168" s="55" t="str">
        <f aca="true">IF(NOT(ISNUMBER(C168)),"",IF(C168=TODAY(),"HOJE",IF(C168=TODAY()+1,"AMANHÃ",IF(C168&lt;TODAY(),"Realizada",IF(C168-TODAY()&lt;=7,"Em "&amp;(C168-TODAY())&amp;" dias","Agendada")))))</f>
        <v/>
      </c>
      <c r="G168" s="55" t="str">
        <f aca="false">IF(OR(A168="",NOT(ISNUMBER(C168))),"",IF(COUNTIFS($A$2:$A$301,A168,$C$2:$C$301,C168)&gt;1,"⚠ Folga duplicada",IF(COUNTIFS(FÉRIAS!$A$2:$A$301,A168,FÉRIAS!$C$2:$C$301,"&lt;="&amp;C168,FÉRIAS!$D$2:$D$301,"&gt;="&amp;C168)&gt;0,"⚠ Está de férias nesta data",IF(COUNTIFS(NATAL!$A$2:$A$301,A168,NATAL!$C$2:$C$301,C168,NATAL!$D$2:$D$301,"FOLGA")+COUNTIFS('ANO NOVO'!$A$2:$A$301,A168,'ANO NOVO'!$C$2:$C$301,C168,'ANO NOVO'!$D$2:$D$301,"FOLGA")&gt;0,"⚠ Folga já lançada em NATAL/ANO NOVO",IF(COUNTIFS(NATAL!$A$2:$A$301,A168,NATAL!$C$2:$C$301,C168,NATAL!$D$2:$D$301,"TRABALHA")+COUNTIFS('ANO NOVO'!$A$2:$A$301,A168,'ANO NOVO'!$C$2:$C$301,C168,'ANO NOVO'!$D$2:$D$301,"TRABALHA")&gt;0,"⚠ Marcado TRABALHA em NATAL/ANO NOVO",IF(COUNTIFS($B$2:$B$301,B168,$C$2:$C$301,C168)&gt;1,"⚠ "&amp;COUNTIFS($B$2:$B$301,B168,$C$2:$C$301,C168)&amp;" pessoas do setor de folga no dia",""))))))</f>
        <v/>
      </c>
    </row>
    <row r="169" customFormat="false" ht="15" hidden="false" customHeight="true" outlineLevel="0" collapsed="false">
      <c r="A169" s="54"/>
      <c r="B169" s="54"/>
      <c r="C169" s="53"/>
      <c r="D169" s="54"/>
      <c r="E169" s="55" t="str">
        <f aca="false">IF(ISNUMBER(C169),CHOOSE(WEEKDAY(C169),"Domingo","Segunda","Terça","Quarta","Quinta","Sexta","Sábado"),"")</f>
        <v/>
      </c>
      <c r="F169" s="55" t="str">
        <f aca="true">IF(NOT(ISNUMBER(C169)),"",IF(C169=TODAY(),"HOJE",IF(C169=TODAY()+1,"AMANHÃ",IF(C169&lt;TODAY(),"Realizada",IF(C169-TODAY()&lt;=7,"Em "&amp;(C169-TODAY())&amp;" dias","Agendada")))))</f>
        <v/>
      </c>
      <c r="G169" s="55" t="str">
        <f aca="false">IF(OR(A169="",NOT(ISNUMBER(C169))),"",IF(COUNTIFS($A$2:$A$301,A169,$C$2:$C$301,C169)&gt;1,"⚠ Folga duplicada",IF(COUNTIFS(FÉRIAS!$A$2:$A$301,A169,FÉRIAS!$C$2:$C$301,"&lt;="&amp;C169,FÉRIAS!$D$2:$D$301,"&gt;="&amp;C169)&gt;0,"⚠ Está de férias nesta data",IF(COUNTIFS(NATAL!$A$2:$A$301,A169,NATAL!$C$2:$C$301,C169,NATAL!$D$2:$D$301,"FOLGA")+COUNTIFS('ANO NOVO'!$A$2:$A$301,A169,'ANO NOVO'!$C$2:$C$301,C169,'ANO NOVO'!$D$2:$D$301,"FOLGA")&gt;0,"⚠ Folga já lançada em NATAL/ANO NOVO",IF(COUNTIFS(NATAL!$A$2:$A$301,A169,NATAL!$C$2:$C$301,C169,NATAL!$D$2:$D$301,"TRABALHA")+COUNTIFS('ANO NOVO'!$A$2:$A$301,A169,'ANO NOVO'!$C$2:$C$301,C169,'ANO NOVO'!$D$2:$D$301,"TRABALHA")&gt;0,"⚠ Marcado TRABALHA em NATAL/ANO NOVO",IF(COUNTIFS($B$2:$B$301,B169,$C$2:$C$301,C169)&gt;1,"⚠ "&amp;COUNTIFS($B$2:$B$301,B169,$C$2:$C$301,C169)&amp;" pessoas do setor de folga no dia",""))))))</f>
        <v/>
      </c>
    </row>
    <row r="170" customFormat="false" ht="15" hidden="false" customHeight="true" outlineLevel="0" collapsed="false">
      <c r="A170" s="54"/>
      <c r="B170" s="54"/>
      <c r="C170" s="53"/>
      <c r="D170" s="54"/>
      <c r="E170" s="55" t="str">
        <f aca="false">IF(ISNUMBER(C170),CHOOSE(WEEKDAY(C170),"Domingo","Segunda","Terça","Quarta","Quinta","Sexta","Sábado"),"")</f>
        <v/>
      </c>
      <c r="F170" s="55" t="str">
        <f aca="true">IF(NOT(ISNUMBER(C170)),"",IF(C170=TODAY(),"HOJE",IF(C170=TODAY()+1,"AMANHÃ",IF(C170&lt;TODAY(),"Realizada",IF(C170-TODAY()&lt;=7,"Em "&amp;(C170-TODAY())&amp;" dias","Agendada")))))</f>
        <v/>
      </c>
      <c r="G170" s="55" t="str">
        <f aca="false">IF(OR(A170="",NOT(ISNUMBER(C170))),"",IF(COUNTIFS($A$2:$A$301,A170,$C$2:$C$301,C170)&gt;1,"⚠ Folga duplicada",IF(COUNTIFS(FÉRIAS!$A$2:$A$301,A170,FÉRIAS!$C$2:$C$301,"&lt;="&amp;C170,FÉRIAS!$D$2:$D$301,"&gt;="&amp;C170)&gt;0,"⚠ Está de férias nesta data",IF(COUNTIFS(NATAL!$A$2:$A$301,A170,NATAL!$C$2:$C$301,C170,NATAL!$D$2:$D$301,"FOLGA")+COUNTIFS('ANO NOVO'!$A$2:$A$301,A170,'ANO NOVO'!$C$2:$C$301,C170,'ANO NOVO'!$D$2:$D$301,"FOLGA")&gt;0,"⚠ Folga já lançada em NATAL/ANO NOVO",IF(COUNTIFS(NATAL!$A$2:$A$301,A170,NATAL!$C$2:$C$301,C170,NATAL!$D$2:$D$301,"TRABALHA")+COUNTIFS('ANO NOVO'!$A$2:$A$301,A170,'ANO NOVO'!$C$2:$C$301,C170,'ANO NOVO'!$D$2:$D$301,"TRABALHA")&gt;0,"⚠ Marcado TRABALHA em NATAL/ANO NOVO",IF(COUNTIFS($B$2:$B$301,B170,$C$2:$C$301,C170)&gt;1,"⚠ "&amp;COUNTIFS($B$2:$B$301,B170,$C$2:$C$301,C170)&amp;" pessoas do setor de folga no dia",""))))))</f>
        <v/>
      </c>
    </row>
    <row r="171" customFormat="false" ht="15" hidden="false" customHeight="true" outlineLevel="0" collapsed="false">
      <c r="A171" s="54"/>
      <c r="B171" s="54"/>
      <c r="C171" s="53"/>
      <c r="D171" s="54"/>
      <c r="E171" s="55" t="str">
        <f aca="false">IF(ISNUMBER(C171),CHOOSE(WEEKDAY(C171),"Domingo","Segunda","Terça","Quarta","Quinta","Sexta","Sábado"),"")</f>
        <v/>
      </c>
      <c r="F171" s="55" t="str">
        <f aca="true">IF(NOT(ISNUMBER(C171)),"",IF(C171=TODAY(),"HOJE",IF(C171=TODAY()+1,"AMANHÃ",IF(C171&lt;TODAY(),"Realizada",IF(C171-TODAY()&lt;=7,"Em "&amp;(C171-TODAY())&amp;" dias","Agendada")))))</f>
        <v/>
      </c>
      <c r="G171" s="55" t="str">
        <f aca="false">IF(OR(A171="",NOT(ISNUMBER(C171))),"",IF(COUNTIFS($A$2:$A$301,A171,$C$2:$C$301,C171)&gt;1,"⚠ Folga duplicada",IF(COUNTIFS(FÉRIAS!$A$2:$A$301,A171,FÉRIAS!$C$2:$C$301,"&lt;="&amp;C171,FÉRIAS!$D$2:$D$301,"&gt;="&amp;C171)&gt;0,"⚠ Está de férias nesta data",IF(COUNTIFS(NATAL!$A$2:$A$301,A171,NATAL!$C$2:$C$301,C171,NATAL!$D$2:$D$301,"FOLGA")+COUNTIFS('ANO NOVO'!$A$2:$A$301,A171,'ANO NOVO'!$C$2:$C$301,C171,'ANO NOVO'!$D$2:$D$301,"FOLGA")&gt;0,"⚠ Folga já lançada em NATAL/ANO NOVO",IF(COUNTIFS(NATAL!$A$2:$A$301,A171,NATAL!$C$2:$C$301,C171,NATAL!$D$2:$D$301,"TRABALHA")+COUNTIFS('ANO NOVO'!$A$2:$A$301,A171,'ANO NOVO'!$C$2:$C$301,C171,'ANO NOVO'!$D$2:$D$301,"TRABALHA")&gt;0,"⚠ Marcado TRABALHA em NATAL/ANO NOVO",IF(COUNTIFS($B$2:$B$301,B171,$C$2:$C$301,C171)&gt;1,"⚠ "&amp;COUNTIFS($B$2:$B$301,B171,$C$2:$C$301,C171)&amp;" pessoas do setor de folga no dia",""))))))</f>
        <v/>
      </c>
    </row>
    <row r="172" customFormat="false" ht="15" hidden="false" customHeight="true" outlineLevel="0" collapsed="false">
      <c r="A172" s="54"/>
      <c r="B172" s="54"/>
      <c r="C172" s="53"/>
      <c r="D172" s="54"/>
      <c r="E172" s="55" t="str">
        <f aca="false">IF(ISNUMBER(C172),CHOOSE(WEEKDAY(C172),"Domingo","Segunda","Terça","Quarta","Quinta","Sexta","Sábado"),"")</f>
        <v/>
      </c>
      <c r="F172" s="55" t="str">
        <f aca="true">IF(NOT(ISNUMBER(C172)),"",IF(C172=TODAY(),"HOJE",IF(C172=TODAY()+1,"AMANHÃ",IF(C172&lt;TODAY(),"Realizada",IF(C172-TODAY()&lt;=7,"Em "&amp;(C172-TODAY())&amp;" dias","Agendada")))))</f>
        <v/>
      </c>
      <c r="G172" s="55" t="str">
        <f aca="false">IF(OR(A172="",NOT(ISNUMBER(C172))),"",IF(COUNTIFS($A$2:$A$301,A172,$C$2:$C$301,C172)&gt;1,"⚠ Folga duplicada",IF(COUNTIFS(FÉRIAS!$A$2:$A$301,A172,FÉRIAS!$C$2:$C$301,"&lt;="&amp;C172,FÉRIAS!$D$2:$D$301,"&gt;="&amp;C172)&gt;0,"⚠ Está de férias nesta data",IF(COUNTIFS(NATAL!$A$2:$A$301,A172,NATAL!$C$2:$C$301,C172,NATAL!$D$2:$D$301,"FOLGA")+COUNTIFS('ANO NOVO'!$A$2:$A$301,A172,'ANO NOVO'!$C$2:$C$301,C172,'ANO NOVO'!$D$2:$D$301,"FOLGA")&gt;0,"⚠ Folga já lançada em NATAL/ANO NOVO",IF(COUNTIFS(NATAL!$A$2:$A$301,A172,NATAL!$C$2:$C$301,C172,NATAL!$D$2:$D$301,"TRABALHA")+COUNTIFS('ANO NOVO'!$A$2:$A$301,A172,'ANO NOVO'!$C$2:$C$301,C172,'ANO NOVO'!$D$2:$D$301,"TRABALHA")&gt;0,"⚠ Marcado TRABALHA em NATAL/ANO NOVO",IF(COUNTIFS($B$2:$B$301,B172,$C$2:$C$301,C172)&gt;1,"⚠ "&amp;COUNTIFS($B$2:$B$301,B172,$C$2:$C$301,C172)&amp;" pessoas do setor de folga no dia",""))))))</f>
        <v/>
      </c>
    </row>
    <row r="173" customFormat="false" ht="15" hidden="false" customHeight="true" outlineLevel="0" collapsed="false">
      <c r="A173" s="54"/>
      <c r="B173" s="54"/>
      <c r="C173" s="53"/>
      <c r="D173" s="54"/>
      <c r="E173" s="55" t="str">
        <f aca="false">IF(ISNUMBER(C173),CHOOSE(WEEKDAY(C173),"Domingo","Segunda","Terça","Quarta","Quinta","Sexta","Sábado"),"")</f>
        <v/>
      </c>
      <c r="F173" s="55" t="str">
        <f aca="true">IF(NOT(ISNUMBER(C173)),"",IF(C173=TODAY(),"HOJE",IF(C173=TODAY()+1,"AMANHÃ",IF(C173&lt;TODAY(),"Realizada",IF(C173-TODAY()&lt;=7,"Em "&amp;(C173-TODAY())&amp;" dias","Agendada")))))</f>
        <v/>
      </c>
      <c r="G173" s="55" t="str">
        <f aca="false">IF(OR(A173="",NOT(ISNUMBER(C173))),"",IF(COUNTIFS($A$2:$A$301,A173,$C$2:$C$301,C173)&gt;1,"⚠ Folga duplicada",IF(COUNTIFS(FÉRIAS!$A$2:$A$301,A173,FÉRIAS!$C$2:$C$301,"&lt;="&amp;C173,FÉRIAS!$D$2:$D$301,"&gt;="&amp;C173)&gt;0,"⚠ Está de férias nesta data",IF(COUNTIFS(NATAL!$A$2:$A$301,A173,NATAL!$C$2:$C$301,C173,NATAL!$D$2:$D$301,"FOLGA")+COUNTIFS('ANO NOVO'!$A$2:$A$301,A173,'ANO NOVO'!$C$2:$C$301,C173,'ANO NOVO'!$D$2:$D$301,"FOLGA")&gt;0,"⚠ Folga já lançada em NATAL/ANO NOVO",IF(COUNTIFS(NATAL!$A$2:$A$301,A173,NATAL!$C$2:$C$301,C173,NATAL!$D$2:$D$301,"TRABALHA")+COUNTIFS('ANO NOVO'!$A$2:$A$301,A173,'ANO NOVO'!$C$2:$C$301,C173,'ANO NOVO'!$D$2:$D$301,"TRABALHA")&gt;0,"⚠ Marcado TRABALHA em NATAL/ANO NOVO",IF(COUNTIFS($B$2:$B$301,B173,$C$2:$C$301,C173)&gt;1,"⚠ "&amp;COUNTIFS($B$2:$B$301,B173,$C$2:$C$301,C173)&amp;" pessoas do setor de folga no dia",""))))))</f>
        <v/>
      </c>
    </row>
    <row r="174" customFormat="false" ht="15" hidden="false" customHeight="true" outlineLevel="0" collapsed="false">
      <c r="A174" s="54"/>
      <c r="B174" s="54"/>
      <c r="C174" s="53"/>
      <c r="D174" s="54"/>
      <c r="E174" s="55" t="str">
        <f aca="false">IF(ISNUMBER(C174),CHOOSE(WEEKDAY(C174),"Domingo","Segunda","Terça","Quarta","Quinta","Sexta","Sábado"),"")</f>
        <v/>
      </c>
      <c r="F174" s="55" t="str">
        <f aca="true">IF(NOT(ISNUMBER(C174)),"",IF(C174=TODAY(),"HOJE",IF(C174=TODAY()+1,"AMANHÃ",IF(C174&lt;TODAY(),"Realizada",IF(C174-TODAY()&lt;=7,"Em "&amp;(C174-TODAY())&amp;" dias","Agendada")))))</f>
        <v/>
      </c>
      <c r="G174" s="55" t="str">
        <f aca="false">IF(OR(A174="",NOT(ISNUMBER(C174))),"",IF(COUNTIFS($A$2:$A$301,A174,$C$2:$C$301,C174)&gt;1,"⚠ Folga duplicada",IF(COUNTIFS(FÉRIAS!$A$2:$A$301,A174,FÉRIAS!$C$2:$C$301,"&lt;="&amp;C174,FÉRIAS!$D$2:$D$301,"&gt;="&amp;C174)&gt;0,"⚠ Está de férias nesta data",IF(COUNTIFS(NATAL!$A$2:$A$301,A174,NATAL!$C$2:$C$301,C174,NATAL!$D$2:$D$301,"FOLGA")+COUNTIFS('ANO NOVO'!$A$2:$A$301,A174,'ANO NOVO'!$C$2:$C$301,C174,'ANO NOVO'!$D$2:$D$301,"FOLGA")&gt;0,"⚠ Folga já lançada em NATAL/ANO NOVO",IF(COUNTIFS(NATAL!$A$2:$A$301,A174,NATAL!$C$2:$C$301,C174,NATAL!$D$2:$D$301,"TRABALHA")+COUNTIFS('ANO NOVO'!$A$2:$A$301,A174,'ANO NOVO'!$C$2:$C$301,C174,'ANO NOVO'!$D$2:$D$301,"TRABALHA")&gt;0,"⚠ Marcado TRABALHA em NATAL/ANO NOVO",IF(COUNTIFS($B$2:$B$301,B174,$C$2:$C$301,C174)&gt;1,"⚠ "&amp;COUNTIFS($B$2:$B$301,B174,$C$2:$C$301,C174)&amp;" pessoas do setor de folga no dia",""))))))</f>
        <v/>
      </c>
    </row>
    <row r="175" customFormat="false" ht="15" hidden="false" customHeight="true" outlineLevel="0" collapsed="false">
      <c r="A175" s="54"/>
      <c r="B175" s="54"/>
      <c r="C175" s="53"/>
      <c r="D175" s="54"/>
      <c r="E175" s="55" t="str">
        <f aca="false">IF(ISNUMBER(C175),CHOOSE(WEEKDAY(C175),"Domingo","Segunda","Terça","Quarta","Quinta","Sexta","Sábado"),"")</f>
        <v/>
      </c>
      <c r="F175" s="55" t="str">
        <f aca="true">IF(NOT(ISNUMBER(C175)),"",IF(C175=TODAY(),"HOJE",IF(C175=TODAY()+1,"AMANHÃ",IF(C175&lt;TODAY(),"Realizada",IF(C175-TODAY()&lt;=7,"Em "&amp;(C175-TODAY())&amp;" dias","Agendada")))))</f>
        <v/>
      </c>
      <c r="G175" s="55" t="str">
        <f aca="false">IF(OR(A175="",NOT(ISNUMBER(C175))),"",IF(COUNTIFS($A$2:$A$301,A175,$C$2:$C$301,C175)&gt;1,"⚠ Folga duplicada",IF(COUNTIFS(FÉRIAS!$A$2:$A$301,A175,FÉRIAS!$C$2:$C$301,"&lt;="&amp;C175,FÉRIAS!$D$2:$D$301,"&gt;="&amp;C175)&gt;0,"⚠ Está de férias nesta data",IF(COUNTIFS(NATAL!$A$2:$A$301,A175,NATAL!$C$2:$C$301,C175,NATAL!$D$2:$D$301,"FOLGA")+COUNTIFS('ANO NOVO'!$A$2:$A$301,A175,'ANO NOVO'!$C$2:$C$301,C175,'ANO NOVO'!$D$2:$D$301,"FOLGA")&gt;0,"⚠ Folga já lançada em NATAL/ANO NOVO",IF(COUNTIFS(NATAL!$A$2:$A$301,A175,NATAL!$C$2:$C$301,C175,NATAL!$D$2:$D$301,"TRABALHA")+COUNTIFS('ANO NOVO'!$A$2:$A$301,A175,'ANO NOVO'!$C$2:$C$301,C175,'ANO NOVO'!$D$2:$D$301,"TRABALHA")&gt;0,"⚠ Marcado TRABALHA em NATAL/ANO NOVO",IF(COUNTIFS($B$2:$B$301,B175,$C$2:$C$301,C175)&gt;1,"⚠ "&amp;COUNTIFS($B$2:$B$301,B175,$C$2:$C$301,C175)&amp;" pessoas do setor de folga no dia",""))))))</f>
        <v/>
      </c>
    </row>
    <row r="176" customFormat="false" ht="15" hidden="false" customHeight="true" outlineLevel="0" collapsed="false">
      <c r="A176" s="54"/>
      <c r="B176" s="54"/>
      <c r="C176" s="53"/>
      <c r="D176" s="54"/>
      <c r="E176" s="55" t="str">
        <f aca="false">IF(ISNUMBER(C176),CHOOSE(WEEKDAY(C176),"Domingo","Segunda","Terça","Quarta","Quinta","Sexta","Sábado"),"")</f>
        <v/>
      </c>
      <c r="F176" s="55" t="str">
        <f aca="true">IF(NOT(ISNUMBER(C176)),"",IF(C176=TODAY(),"HOJE",IF(C176=TODAY()+1,"AMANHÃ",IF(C176&lt;TODAY(),"Realizada",IF(C176-TODAY()&lt;=7,"Em "&amp;(C176-TODAY())&amp;" dias","Agendada")))))</f>
        <v/>
      </c>
      <c r="G176" s="55" t="str">
        <f aca="false">IF(OR(A176="",NOT(ISNUMBER(C176))),"",IF(COUNTIFS($A$2:$A$301,A176,$C$2:$C$301,C176)&gt;1,"⚠ Folga duplicada",IF(COUNTIFS(FÉRIAS!$A$2:$A$301,A176,FÉRIAS!$C$2:$C$301,"&lt;="&amp;C176,FÉRIAS!$D$2:$D$301,"&gt;="&amp;C176)&gt;0,"⚠ Está de férias nesta data",IF(COUNTIFS(NATAL!$A$2:$A$301,A176,NATAL!$C$2:$C$301,C176,NATAL!$D$2:$D$301,"FOLGA")+COUNTIFS('ANO NOVO'!$A$2:$A$301,A176,'ANO NOVO'!$C$2:$C$301,C176,'ANO NOVO'!$D$2:$D$301,"FOLGA")&gt;0,"⚠ Folga já lançada em NATAL/ANO NOVO",IF(COUNTIFS(NATAL!$A$2:$A$301,A176,NATAL!$C$2:$C$301,C176,NATAL!$D$2:$D$301,"TRABALHA")+COUNTIFS('ANO NOVO'!$A$2:$A$301,A176,'ANO NOVO'!$C$2:$C$301,C176,'ANO NOVO'!$D$2:$D$301,"TRABALHA")&gt;0,"⚠ Marcado TRABALHA em NATAL/ANO NOVO",IF(COUNTIFS($B$2:$B$301,B176,$C$2:$C$301,C176)&gt;1,"⚠ "&amp;COUNTIFS($B$2:$B$301,B176,$C$2:$C$301,C176)&amp;" pessoas do setor de folga no dia",""))))))</f>
        <v/>
      </c>
    </row>
    <row r="177" customFormat="false" ht="15" hidden="false" customHeight="true" outlineLevel="0" collapsed="false">
      <c r="A177" s="54"/>
      <c r="B177" s="54"/>
      <c r="C177" s="53"/>
      <c r="D177" s="54"/>
      <c r="E177" s="55" t="str">
        <f aca="false">IF(ISNUMBER(C177),CHOOSE(WEEKDAY(C177),"Domingo","Segunda","Terça","Quarta","Quinta","Sexta","Sábado"),"")</f>
        <v/>
      </c>
      <c r="F177" s="55" t="str">
        <f aca="true">IF(NOT(ISNUMBER(C177)),"",IF(C177=TODAY(),"HOJE",IF(C177=TODAY()+1,"AMANHÃ",IF(C177&lt;TODAY(),"Realizada",IF(C177-TODAY()&lt;=7,"Em "&amp;(C177-TODAY())&amp;" dias","Agendada")))))</f>
        <v/>
      </c>
      <c r="G177" s="55" t="str">
        <f aca="false">IF(OR(A177="",NOT(ISNUMBER(C177))),"",IF(COUNTIFS($A$2:$A$301,A177,$C$2:$C$301,C177)&gt;1,"⚠ Folga duplicada",IF(COUNTIFS(FÉRIAS!$A$2:$A$301,A177,FÉRIAS!$C$2:$C$301,"&lt;="&amp;C177,FÉRIAS!$D$2:$D$301,"&gt;="&amp;C177)&gt;0,"⚠ Está de férias nesta data",IF(COUNTIFS(NATAL!$A$2:$A$301,A177,NATAL!$C$2:$C$301,C177,NATAL!$D$2:$D$301,"FOLGA")+COUNTIFS('ANO NOVO'!$A$2:$A$301,A177,'ANO NOVO'!$C$2:$C$301,C177,'ANO NOVO'!$D$2:$D$301,"FOLGA")&gt;0,"⚠ Folga já lançada em NATAL/ANO NOVO",IF(COUNTIFS(NATAL!$A$2:$A$301,A177,NATAL!$C$2:$C$301,C177,NATAL!$D$2:$D$301,"TRABALHA")+COUNTIFS('ANO NOVO'!$A$2:$A$301,A177,'ANO NOVO'!$C$2:$C$301,C177,'ANO NOVO'!$D$2:$D$301,"TRABALHA")&gt;0,"⚠ Marcado TRABALHA em NATAL/ANO NOVO",IF(COUNTIFS($B$2:$B$301,B177,$C$2:$C$301,C177)&gt;1,"⚠ "&amp;COUNTIFS($B$2:$B$301,B177,$C$2:$C$301,C177)&amp;" pessoas do setor de folga no dia",""))))))</f>
        <v/>
      </c>
    </row>
    <row r="178" customFormat="false" ht="15" hidden="false" customHeight="true" outlineLevel="0" collapsed="false">
      <c r="A178" s="54"/>
      <c r="B178" s="54"/>
      <c r="C178" s="53"/>
      <c r="D178" s="54"/>
      <c r="E178" s="55" t="str">
        <f aca="false">IF(ISNUMBER(C178),CHOOSE(WEEKDAY(C178),"Domingo","Segunda","Terça","Quarta","Quinta","Sexta","Sábado"),"")</f>
        <v/>
      </c>
      <c r="F178" s="55" t="str">
        <f aca="true">IF(NOT(ISNUMBER(C178)),"",IF(C178=TODAY(),"HOJE",IF(C178=TODAY()+1,"AMANHÃ",IF(C178&lt;TODAY(),"Realizada",IF(C178-TODAY()&lt;=7,"Em "&amp;(C178-TODAY())&amp;" dias","Agendada")))))</f>
        <v/>
      </c>
      <c r="G178" s="55" t="str">
        <f aca="false">IF(OR(A178="",NOT(ISNUMBER(C178))),"",IF(COUNTIFS($A$2:$A$301,A178,$C$2:$C$301,C178)&gt;1,"⚠ Folga duplicada",IF(COUNTIFS(FÉRIAS!$A$2:$A$301,A178,FÉRIAS!$C$2:$C$301,"&lt;="&amp;C178,FÉRIAS!$D$2:$D$301,"&gt;="&amp;C178)&gt;0,"⚠ Está de férias nesta data",IF(COUNTIFS(NATAL!$A$2:$A$301,A178,NATAL!$C$2:$C$301,C178,NATAL!$D$2:$D$301,"FOLGA")+COUNTIFS('ANO NOVO'!$A$2:$A$301,A178,'ANO NOVO'!$C$2:$C$301,C178,'ANO NOVO'!$D$2:$D$301,"FOLGA")&gt;0,"⚠ Folga já lançada em NATAL/ANO NOVO",IF(COUNTIFS(NATAL!$A$2:$A$301,A178,NATAL!$C$2:$C$301,C178,NATAL!$D$2:$D$301,"TRABALHA")+COUNTIFS('ANO NOVO'!$A$2:$A$301,A178,'ANO NOVO'!$C$2:$C$301,C178,'ANO NOVO'!$D$2:$D$301,"TRABALHA")&gt;0,"⚠ Marcado TRABALHA em NATAL/ANO NOVO",IF(COUNTIFS($B$2:$B$301,B178,$C$2:$C$301,C178)&gt;1,"⚠ "&amp;COUNTIFS($B$2:$B$301,B178,$C$2:$C$301,C178)&amp;" pessoas do setor de folga no dia",""))))))</f>
        <v/>
      </c>
    </row>
    <row r="179" customFormat="false" ht="15" hidden="false" customHeight="true" outlineLevel="0" collapsed="false">
      <c r="A179" s="54"/>
      <c r="B179" s="54"/>
      <c r="C179" s="53"/>
      <c r="D179" s="54"/>
      <c r="E179" s="55" t="str">
        <f aca="false">IF(ISNUMBER(C179),CHOOSE(WEEKDAY(C179),"Domingo","Segunda","Terça","Quarta","Quinta","Sexta","Sábado"),"")</f>
        <v/>
      </c>
      <c r="F179" s="55" t="str">
        <f aca="true">IF(NOT(ISNUMBER(C179)),"",IF(C179=TODAY(),"HOJE",IF(C179=TODAY()+1,"AMANHÃ",IF(C179&lt;TODAY(),"Realizada",IF(C179-TODAY()&lt;=7,"Em "&amp;(C179-TODAY())&amp;" dias","Agendada")))))</f>
        <v/>
      </c>
      <c r="G179" s="55" t="str">
        <f aca="false">IF(OR(A179="",NOT(ISNUMBER(C179))),"",IF(COUNTIFS($A$2:$A$301,A179,$C$2:$C$301,C179)&gt;1,"⚠ Folga duplicada",IF(COUNTIFS(FÉRIAS!$A$2:$A$301,A179,FÉRIAS!$C$2:$C$301,"&lt;="&amp;C179,FÉRIAS!$D$2:$D$301,"&gt;="&amp;C179)&gt;0,"⚠ Está de férias nesta data",IF(COUNTIFS(NATAL!$A$2:$A$301,A179,NATAL!$C$2:$C$301,C179,NATAL!$D$2:$D$301,"FOLGA")+COUNTIFS('ANO NOVO'!$A$2:$A$301,A179,'ANO NOVO'!$C$2:$C$301,C179,'ANO NOVO'!$D$2:$D$301,"FOLGA")&gt;0,"⚠ Folga já lançada em NATAL/ANO NOVO",IF(COUNTIFS(NATAL!$A$2:$A$301,A179,NATAL!$C$2:$C$301,C179,NATAL!$D$2:$D$301,"TRABALHA")+COUNTIFS('ANO NOVO'!$A$2:$A$301,A179,'ANO NOVO'!$C$2:$C$301,C179,'ANO NOVO'!$D$2:$D$301,"TRABALHA")&gt;0,"⚠ Marcado TRABALHA em NATAL/ANO NOVO",IF(COUNTIFS($B$2:$B$301,B179,$C$2:$C$301,C179)&gt;1,"⚠ "&amp;COUNTIFS($B$2:$B$301,B179,$C$2:$C$301,C179)&amp;" pessoas do setor de folga no dia",""))))))</f>
        <v/>
      </c>
    </row>
    <row r="180" customFormat="false" ht="15" hidden="false" customHeight="true" outlineLevel="0" collapsed="false">
      <c r="A180" s="54"/>
      <c r="B180" s="54"/>
      <c r="C180" s="53"/>
      <c r="D180" s="54"/>
      <c r="E180" s="55" t="str">
        <f aca="false">IF(ISNUMBER(C180),CHOOSE(WEEKDAY(C180),"Domingo","Segunda","Terça","Quarta","Quinta","Sexta","Sábado"),"")</f>
        <v/>
      </c>
      <c r="F180" s="55" t="str">
        <f aca="true">IF(NOT(ISNUMBER(C180)),"",IF(C180=TODAY(),"HOJE",IF(C180=TODAY()+1,"AMANHÃ",IF(C180&lt;TODAY(),"Realizada",IF(C180-TODAY()&lt;=7,"Em "&amp;(C180-TODAY())&amp;" dias","Agendada")))))</f>
        <v/>
      </c>
      <c r="G180" s="55" t="str">
        <f aca="false">IF(OR(A180="",NOT(ISNUMBER(C180))),"",IF(COUNTIFS($A$2:$A$301,A180,$C$2:$C$301,C180)&gt;1,"⚠ Folga duplicada",IF(COUNTIFS(FÉRIAS!$A$2:$A$301,A180,FÉRIAS!$C$2:$C$301,"&lt;="&amp;C180,FÉRIAS!$D$2:$D$301,"&gt;="&amp;C180)&gt;0,"⚠ Está de férias nesta data",IF(COUNTIFS(NATAL!$A$2:$A$301,A180,NATAL!$C$2:$C$301,C180,NATAL!$D$2:$D$301,"FOLGA")+COUNTIFS('ANO NOVO'!$A$2:$A$301,A180,'ANO NOVO'!$C$2:$C$301,C180,'ANO NOVO'!$D$2:$D$301,"FOLGA")&gt;0,"⚠ Folga já lançada em NATAL/ANO NOVO",IF(COUNTIFS(NATAL!$A$2:$A$301,A180,NATAL!$C$2:$C$301,C180,NATAL!$D$2:$D$301,"TRABALHA")+COUNTIFS('ANO NOVO'!$A$2:$A$301,A180,'ANO NOVO'!$C$2:$C$301,C180,'ANO NOVO'!$D$2:$D$301,"TRABALHA")&gt;0,"⚠ Marcado TRABALHA em NATAL/ANO NOVO",IF(COUNTIFS($B$2:$B$301,B180,$C$2:$C$301,C180)&gt;1,"⚠ "&amp;COUNTIFS($B$2:$B$301,B180,$C$2:$C$301,C180)&amp;" pessoas do setor de folga no dia",""))))))</f>
        <v/>
      </c>
    </row>
    <row r="181" customFormat="false" ht="15" hidden="false" customHeight="true" outlineLevel="0" collapsed="false">
      <c r="A181" s="54"/>
      <c r="B181" s="54"/>
      <c r="C181" s="53"/>
      <c r="D181" s="54"/>
      <c r="E181" s="55" t="str">
        <f aca="false">IF(ISNUMBER(C181),CHOOSE(WEEKDAY(C181),"Domingo","Segunda","Terça","Quarta","Quinta","Sexta","Sábado"),"")</f>
        <v/>
      </c>
      <c r="F181" s="55" t="str">
        <f aca="true">IF(NOT(ISNUMBER(C181)),"",IF(C181=TODAY(),"HOJE",IF(C181=TODAY()+1,"AMANHÃ",IF(C181&lt;TODAY(),"Realizada",IF(C181-TODAY()&lt;=7,"Em "&amp;(C181-TODAY())&amp;" dias","Agendada")))))</f>
        <v/>
      </c>
      <c r="G181" s="55" t="str">
        <f aca="false">IF(OR(A181="",NOT(ISNUMBER(C181))),"",IF(COUNTIFS($A$2:$A$301,A181,$C$2:$C$301,C181)&gt;1,"⚠ Folga duplicada",IF(COUNTIFS(FÉRIAS!$A$2:$A$301,A181,FÉRIAS!$C$2:$C$301,"&lt;="&amp;C181,FÉRIAS!$D$2:$D$301,"&gt;="&amp;C181)&gt;0,"⚠ Está de férias nesta data",IF(COUNTIFS(NATAL!$A$2:$A$301,A181,NATAL!$C$2:$C$301,C181,NATAL!$D$2:$D$301,"FOLGA")+COUNTIFS('ANO NOVO'!$A$2:$A$301,A181,'ANO NOVO'!$C$2:$C$301,C181,'ANO NOVO'!$D$2:$D$301,"FOLGA")&gt;0,"⚠ Folga já lançada em NATAL/ANO NOVO",IF(COUNTIFS(NATAL!$A$2:$A$301,A181,NATAL!$C$2:$C$301,C181,NATAL!$D$2:$D$301,"TRABALHA")+COUNTIFS('ANO NOVO'!$A$2:$A$301,A181,'ANO NOVO'!$C$2:$C$301,C181,'ANO NOVO'!$D$2:$D$301,"TRABALHA")&gt;0,"⚠ Marcado TRABALHA em NATAL/ANO NOVO",IF(COUNTIFS($B$2:$B$301,B181,$C$2:$C$301,C181)&gt;1,"⚠ "&amp;COUNTIFS($B$2:$B$301,B181,$C$2:$C$301,C181)&amp;" pessoas do setor de folga no dia",""))))))</f>
        <v/>
      </c>
    </row>
    <row r="182" customFormat="false" ht="15" hidden="false" customHeight="true" outlineLevel="0" collapsed="false">
      <c r="A182" s="54"/>
      <c r="B182" s="54"/>
      <c r="C182" s="53"/>
      <c r="D182" s="54"/>
      <c r="E182" s="55" t="str">
        <f aca="false">IF(ISNUMBER(C182),CHOOSE(WEEKDAY(C182),"Domingo","Segunda","Terça","Quarta","Quinta","Sexta","Sábado"),"")</f>
        <v/>
      </c>
      <c r="F182" s="55" t="str">
        <f aca="true">IF(NOT(ISNUMBER(C182)),"",IF(C182=TODAY(),"HOJE",IF(C182=TODAY()+1,"AMANHÃ",IF(C182&lt;TODAY(),"Realizada",IF(C182-TODAY()&lt;=7,"Em "&amp;(C182-TODAY())&amp;" dias","Agendada")))))</f>
        <v/>
      </c>
      <c r="G182" s="55" t="str">
        <f aca="false">IF(OR(A182="",NOT(ISNUMBER(C182))),"",IF(COUNTIFS($A$2:$A$301,A182,$C$2:$C$301,C182)&gt;1,"⚠ Folga duplicada",IF(COUNTIFS(FÉRIAS!$A$2:$A$301,A182,FÉRIAS!$C$2:$C$301,"&lt;="&amp;C182,FÉRIAS!$D$2:$D$301,"&gt;="&amp;C182)&gt;0,"⚠ Está de férias nesta data",IF(COUNTIFS(NATAL!$A$2:$A$301,A182,NATAL!$C$2:$C$301,C182,NATAL!$D$2:$D$301,"FOLGA")+COUNTIFS('ANO NOVO'!$A$2:$A$301,A182,'ANO NOVO'!$C$2:$C$301,C182,'ANO NOVO'!$D$2:$D$301,"FOLGA")&gt;0,"⚠ Folga já lançada em NATAL/ANO NOVO",IF(COUNTIFS(NATAL!$A$2:$A$301,A182,NATAL!$C$2:$C$301,C182,NATAL!$D$2:$D$301,"TRABALHA")+COUNTIFS('ANO NOVO'!$A$2:$A$301,A182,'ANO NOVO'!$C$2:$C$301,C182,'ANO NOVO'!$D$2:$D$301,"TRABALHA")&gt;0,"⚠ Marcado TRABALHA em NATAL/ANO NOVO",IF(COUNTIFS($B$2:$B$301,B182,$C$2:$C$301,C182)&gt;1,"⚠ "&amp;COUNTIFS($B$2:$B$301,B182,$C$2:$C$301,C182)&amp;" pessoas do setor de folga no dia",""))))))</f>
        <v/>
      </c>
    </row>
    <row r="183" customFormat="false" ht="15" hidden="false" customHeight="true" outlineLevel="0" collapsed="false">
      <c r="A183" s="54"/>
      <c r="B183" s="54"/>
      <c r="C183" s="53"/>
      <c r="D183" s="54"/>
      <c r="E183" s="55" t="str">
        <f aca="false">IF(ISNUMBER(C183),CHOOSE(WEEKDAY(C183),"Domingo","Segunda","Terça","Quarta","Quinta","Sexta","Sábado"),"")</f>
        <v/>
      </c>
      <c r="F183" s="55" t="str">
        <f aca="true">IF(NOT(ISNUMBER(C183)),"",IF(C183=TODAY(),"HOJE",IF(C183=TODAY()+1,"AMANHÃ",IF(C183&lt;TODAY(),"Realizada",IF(C183-TODAY()&lt;=7,"Em "&amp;(C183-TODAY())&amp;" dias","Agendada")))))</f>
        <v/>
      </c>
      <c r="G183" s="55" t="str">
        <f aca="false">IF(OR(A183="",NOT(ISNUMBER(C183))),"",IF(COUNTIFS($A$2:$A$301,A183,$C$2:$C$301,C183)&gt;1,"⚠ Folga duplicada",IF(COUNTIFS(FÉRIAS!$A$2:$A$301,A183,FÉRIAS!$C$2:$C$301,"&lt;="&amp;C183,FÉRIAS!$D$2:$D$301,"&gt;="&amp;C183)&gt;0,"⚠ Está de férias nesta data",IF(COUNTIFS(NATAL!$A$2:$A$301,A183,NATAL!$C$2:$C$301,C183,NATAL!$D$2:$D$301,"FOLGA")+COUNTIFS('ANO NOVO'!$A$2:$A$301,A183,'ANO NOVO'!$C$2:$C$301,C183,'ANO NOVO'!$D$2:$D$301,"FOLGA")&gt;0,"⚠ Folga já lançada em NATAL/ANO NOVO",IF(COUNTIFS(NATAL!$A$2:$A$301,A183,NATAL!$C$2:$C$301,C183,NATAL!$D$2:$D$301,"TRABALHA")+COUNTIFS('ANO NOVO'!$A$2:$A$301,A183,'ANO NOVO'!$C$2:$C$301,C183,'ANO NOVO'!$D$2:$D$301,"TRABALHA")&gt;0,"⚠ Marcado TRABALHA em NATAL/ANO NOVO",IF(COUNTIFS($B$2:$B$301,B183,$C$2:$C$301,C183)&gt;1,"⚠ "&amp;COUNTIFS($B$2:$B$301,B183,$C$2:$C$301,C183)&amp;" pessoas do setor de folga no dia",""))))))</f>
        <v/>
      </c>
    </row>
    <row r="184" customFormat="false" ht="15" hidden="false" customHeight="true" outlineLevel="0" collapsed="false">
      <c r="A184" s="54"/>
      <c r="B184" s="54"/>
      <c r="C184" s="53"/>
      <c r="D184" s="54"/>
      <c r="E184" s="55" t="str">
        <f aca="false">IF(ISNUMBER(C184),CHOOSE(WEEKDAY(C184),"Domingo","Segunda","Terça","Quarta","Quinta","Sexta","Sábado"),"")</f>
        <v/>
      </c>
      <c r="F184" s="55" t="str">
        <f aca="true">IF(NOT(ISNUMBER(C184)),"",IF(C184=TODAY(),"HOJE",IF(C184=TODAY()+1,"AMANHÃ",IF(C184&lt;TODAY(),"Realizada",IF(C184-TODAY()&lt;=7,"Em "&amp;(C184-TODAY())&amp;" dias","Agendada")))))</f>
        <v/>
      </c>
      <c r="G184" s="55" t="str">
        <f aca="false">IF(OR(A184="",NOT(ISNUMBER(C184))),"",IF(COUNTIFS($A$2:$A$301,A184,$C$2:$C$301,C184)&gt;1,"⚠ Folga duplicada",IF(COUNTIFS(FÉRIAS!$A$2:$A$301,A184,FÉRIAS!$C$2:$C$301,"&lt;="&amp;C184,FÉRIAS!$D$2:$D$301,"&gt;="&amp;C184)&gt;0,"⚠ Está de férias nesta data",IF(COUNTIFS(NATAL!$A$2:$A$301,A184,NATAL!$C$2:$C$301,C184,NATAL!$D$2:$D$301,"FOLGA")+COUNTIFS('ANO NOVO'!$A$2:$A$301,A184,'ANO NOVO'!$C$2:$C$301,C184,'ANO NOVO'!$D$2:$D$301,"FOLGA")&gt;0,"⚠ Folga já lançada em NATAL/ANO NOVO",IF(COUNTIFS(NATAL!$A$2:$A$301,A184,NATAL!$C$2:$C$301,C184,NATAL!$D$2:$D$301,"TRABALHA")+COUNTIFS('ANO NOVO'!$A$2:$A$301,A184,'ANO NOVO'!$C$2:$C$301,C184,'ANO NOVO'!$D$2:$D$301,"TRABALHA")&gt;0,"⚠ Marcado TRABALHA em NATAL/ANO NOVO",IF(COUNTIFS($B$2:$B$301,B184,$C$2:$C$301,C184)&gt;1,"⚠ "&amp;COUNTIFS($B$2:$B$301,B184,$C$2:$C$301,C184)&amp;" pessoas do setor de folga no dia",""))))))</f>
        <v/>
      </c>
    </row>
    <row r="185" customFormat="false" ht="15" hidden="false" customHeight="true" outlineLevel="0" collapsed="false">
      <c r="A185" s="54"/>
      <c r="B185" s="54"/>
      <c r="C185" s="53"/>
      <c r="D185" s="54"/>
      <c r="E185" s="55" t="str">
        <f aca="false">IF(ISNUMBER(C185),CHOOSE(WEEKDAY(C185),"Domingo","Segunda","Terça","Quarta","Quinta","Sexta","Sábado"),"")</f>
        <v/>
      </c>
      <c r="F185" s="55" t="str">
        <f aca="true">IF(NOT(ISNUMBER(C185)),"",IF(C185=TODAY(),"HOJE",IF(C185=TODAY()+1,"AMANHÃ",IF(C185&lt;TODAY(),"Realizada",IF(C185-TODAY()&lt;=7,"Em "&amp;(C185-TODAY())&amp;" dias","Agendada")))))</f>
        <v/>
      </c>
      <c r="G185" s="55" t="str">
        <f aca="false">IF(OR(A185="",NOT(ISNUMBER(C185))),"",IF(COUNTIFS($A$2:$A$301,A185,$C$2:$C$301,C185)&gt;1,"⚠ Folga duplicada",IF(COUNTIFS(FÉRIAS!$A$2:$A$301,A185,FÉRIAS!$C$2:$C$301,"&lt;="&amp;C185,FÉRIAS!$D$2:$D$301,"&gt;="&amp;C185)&gt;0,"⚠ Está de férias nesta data",IF(COUNTIFS(NATAL!$A$2:$A$301,A185,NATAL!$C$2:$C$301,C185,NATAL!$D$2:$D$301,"FOLGA")+COUNTIFS('ANO NOVO'!$A$2:$A$301,A185,'ANO NOVO'!$C$2:$C$301,C185,'ANO NOVO'!$D$2:$D$301,"FOLGA")&gt;0,"⚠ Folga já lançada em NATAL/ANO NOVO",IF(COUNTIFS(NATAL!$A$2:$A$301,A185,NATAL!$C$2:$C$301,C185,NATAL!$D$2:$D$301,"TRABALHA")+COUNTIFS('ANO NOVO'!$A$2:$A$301,A185,'ANO NOVO'!$C$2:$C$301,C185,'ANO NOVO'!$D$2:$D$301,"TRABALHA")&gt;0,"⚠ Marcado TRABALHA em NATAL/ANO NOVO",IF(COUNTIFS($B$2:$B$301,B185,$C$2:$C$301,C185)&gt;1,"⚠ "&amp;COUNTIFS($B$2:$B$301,B185,$C$2:$C$301,C185)&amp;" pessoas do setor de folga no dia",""))))))</f>
        <v/>
      </c>
    </row>
    <row r="186" customFormat="false" ht="15" hidden="false" customHeight="true" outlineLevel="0" collapsed="false">
      <c r="A186" s="54"/>
      <c r="B186" s="54"/>
      <c r="C186" s="53"/>
      <c r="D186" s="54"/>
      <c r="E186" s="55" t="str">
        <f aca="false">IF(ISNUMBER(C186),CHOOSE(WEEKDAY(C186),"Domingo","Segunda","Terça","Quarta","Quinta","Sexta","Sábado"),"")</f>
        <v/>
      </c>
      <c r="F186" s="55" t="str">
        <f aca="true">IF(NOT(ISNUMBER(C186)),"",IF(C186=TODAY(),"HOJE",IF(C186=TODAY()+1,"AMANHÃ",IF(C186&lt;TODAY(),"Realizada",IF(C186-TODAY()&lt;=7,"Em "&amp;(C186-TODAY())&amp;" dias","Agendada")))))</f>
        <v/>
      </c>
      <c r="G186" s="55" t="str">
        <f aca="false">IF(OR(A186="",NOT(ISNUMBER(C186))),"",IF(COUNTIFS($A$2:$A$301,A186,$C$2:$C$301,C186)&gt;1,"⚠ Folga duplicada",IF(COUNTIFS(FÉRIAS!$A$2:$A$301,A186,FÉRIAS!$C$2:$C$301,"&lt;="&amp;C186,FÉRIAS!$D$2:$D$301,"&gt;="&amp;C186)&gt;0,"⚠ Está de férias nesta data",IF(COUNTIFS(NATAL!$A$2:$A$301,A186,NATAL!$C$2:$C$301,C186,NATAL!$D$2:$D$301,"FOLGA")+COUNTIFS('ANO NOVO'!$A$2:$A$301,A186,'ANO NOVO'!$C$2:$C$301,C186,'ANO NOVO'!$D$2:$D$301,"FOLGA")&gt;0,"⚠ Folga já lançada em NATAL/ANO NOVO",IF(COUNTIFS(NATAL!$A$2:$A$301,A186,NATAL!$C$2:$C$301,C186,NATAL!$D$2:$D$301,"TRABALHA")+COUNTIFS('ANO NOVO'!$A$2:$A$301,A186,'ANO NOVO'!$C$2:$C$301,C186,'ANO NOVO'!$D$2:$D$301,"TRABALHA")&gt;0,"⚠ Marcado TRABALHA em NATAL/ANO NOVO",IF(COUNTIFS($B$2:$B$301,B186,$C$2:$C$301,C186)&gt;1,"⚠ "&amp;COUNTIFS($B$2:$B$301,B186,$C$2:$C$301,C186)&amp;" pessoas do setor de folga no dia",""))))))</f>
        <v/>
      </c>
    </row>
    <row r="187" customFormat="false" ht="15" hidden="false" customHeight="true" outlineLevel="0" collapsed="false">
      <c r="A187" s="54"/>
      <c r="B187" s="54"/>
      <c r="C187" s="53"/>
      <c r="D187" s="54"/>
      <c r="E187" s="55" t="str">
        <f aca="false">IF(ISNUMBER(C187),CHOOSE(WEEKDAY(C187),"Domingo","Segunda","Terça","Quarta","Quinta","Sexta","Sábado"),"")</f>
        <v/>
      </c>
      <c r="F187" s="55" t="str">
        <f aca="true">IF(NOT(ISNUMBER(C187)),"",IF(C187=TODAY(),"HOJE",IF(C187=TODAY()+1,"AMANHÃ",IF(C187&lt;TODAY(),"Realizada",IF(C187-TODAY()&lt;=7,"Em "&amp;(C187-TODAY())&amp;" dias","Agendada")))))</f>
        <v/>
      </c>
      <c r="G187" s="55" t="str">
        <f aca="false">IF(OR(A187="",NOT(ISNUMBER(C187))),"",IF(COUNTIFS($A$2:$A$301,A187,$C$2:$C$301,C187)&gt;1,"⚠ Folga duplicada",IF(COUNTIFS(FÉRIAS!$A$2:$A$301,A187,FÉRIAS!$C$2:$C$301,"&lt;="&amp;C187,FÉRIAS!$D$2:$D$301,"&gt;="&amp;C187)&gt;0,"⚠ Está de férias nesta data",IF(COUNTIFS(NATAL!$A$2:$A$301,A187,NATAL!$C$2:$C$301,C187,NATAL!$D$2:$D$301,"FOLGA")+COUNTIFS('ANO NOVO'!$A$2:$A$301,A187,'ANO NOVO'!$C$2:$C$301,C187,'ANO NOVO'!$D$2:$D$301,"FOLGA")&gt;0,"⚠ Folga já lançada em NATAL/ANO NOVO",IF(COUNTIFS(NATAL!$A$2:$A$301,A187,NATAL!$C$2:$C$301,C187,NATAL!$D$2:$D$301,"TRABALHA")+COUNTIFS('ANO NOVO'!$A$2:$A$301,A187,'ANO NOVO'!$C$2:$C$301,C187,'ANO NOVO'!$D$2:$D$301,"TRABALHA")&gt;0,"⚠ Marcado TRABALHA em NATAL/ANO NOVO",IF(COUNTIFS($B$2:$B$301,B187,$C$2:$C$301,C187)&gt;1,"⚠ "&amp;COUNTIFS($B$2:$B$301,B187,$C$2:$C$301,C187)&amp;" pessoas do setor de folga no dia",""))))))</f>
        <v/>
      </c>
    </row>
    <row r="188" customFormat="false" ht="15" hidden="false" customHeight="true" outlineLevel="0" collapsed="false">
      <c r="A188" s="54"/>
      <c r="B188" s="54"/>
      <c r="C188" s="53"/>
      <c r="D188" s="54"/>
      <c r="E188" s="55" t="str">
        <f aca="false">IF(ISNUMBER(C188),CHOOSE(WEEKDAY(C188),"Domingo","Segunda","Terça","Quarta","Quinta","Sexta","Sábado"),"")</f>
        <v/>
      </c>
      <c r="F188" s="55" t="str">
        <f aca="true">IF(NOT(ISNUMBER(C188)),"",IF(C188=TODAY(),"HOJE",IF(C188=TODAY()+1,"AMANHÃ",IF(C188&lt;TODAY(),"Realizada",IF(C188-TODAY()&lt;=7,"Em "&amp;(C188-TODAY())&amp;" dias","Agendada")))))</f>
        <v/>
      </c>
      <c r="G188" s="55" t="str">
        <f aca="false">IF(OR(A188="",NOT(ISNUMBER(C188))),"",IF(COUNTIFS($A$2:$A$301,A188,$C$2:$C$301,C188)&gt;1,"⚠ Folga duplicada",IF(COUNTIFS(FÉRIAS!$A$2:$A$301,A188,FÉRIAS!$C$2:$C$301,"&lt;="&amp;C188,FÉRIAS!$D$2:$D$301,"&gt;="&amp;C188)&gt;0,"⚠ Está de férias nesta data",IF(COUNTIFS(NATAL!$A$2:$A$301,A188,NATAL!$C$2:$C$301,C188,NATAL!$D$2:$D$301,"FOLGA")+COUNTIFS('ANO NOVO'!$A$2:$A$301,A188,'ANO NOVO'!$C$2:$C$301,C188,'ANO NOVO'!$D$2:$D$301,"FOLGA")&gt;0,"⚠ Folga já lançada em NATAL/ANO NOVO",IF(COUNTIFS(NATAL!$A$2:$A$301,A188,NATAL!$C$2:$C$301,C188,NATAL!$D$2:$D$301,"TRABALHA")+COUNTIFS('ANO NOVO'!$A$2:$A$301,A188,'ANO NOVO'!$C$2:$C$301,C188,'ANO NOVO'!$D$2:$D$301,"TRABALHA")&gt;0,"⚠ Marcado TRABALHA em NATAL/ANO NOVO",IF(COUNTIFS($B$2:$B$301,B188,$C$2:$C$301,C188)&gt;1,"⚠ "&amp;COUNTIFS($B$2:$B$301,B188,$C$2:$C$301,C188)&amp;" pessoas do setor de folga no dia",""))))))</f>
        <v/>
      </c>
    </row>
    <row r="189" customFormat="false" ht="15" hidden="false" customHeight="true" outlineLevel="0" collapsed="false">
      <c r="A189" s="54"/>
      <c r="B189" s="54"/>
      <c r="C189" s="53"/>
      <c r="D189" s="54"/>
      <c r="E189" s="55" t="str">
        <f aca="false">IF(ISNUMBER(C189),CHOOSE(WEEKDAY(C189),"Domingo","Segunda","Terça","Quarta","Quinta","Sexta","Sábado"),"")</f>
        <v/>
      </c>
      <c r="F189" s="55" t="str">
        <f aca="true">IF(NOT(ISNUMBER(C189)),"",IF(C189=TODAY(),"HOJE",IF(C189=TODAY()+1,"AMANHÃ",IF(C189&lt;TODAY(),"Realizada",IF(C189-TODAY()&lt;=7,"Em "&amp;(C189-TODAY())&amp;" dias","Agendada")))))</f>
        <v/>
      </c>
      <c r="G189" s="55" t="str">
        <f aca="false">IF(OR(A189="",NOT(ISNUMBER(C189))),"",IF(COUNTIFS($A$2:$A$301,A189,$C$2:$C$301,C189)&gt;1,"⚠ Folga duplicada",IF(COUNTIFS(FÉRIAS!$A$2:$A$301,A189,FÉRIAS!$C$2:$C$301,"&lt;="&amp;C189,FÉRIAS!$D$2:$D$301,"&gt;="&amp;C189)&gt;0,"⚠ Está de férias nesta data",IF(COUNTIFS(NATAL!$A$2:$A$301,A189,NATAL!$C$2:$C$301,C189,NATAL!$D$2:$D$301,"FOLGA")+COUNTIFS('ANO NOVO'!$A$2:$A$301,A189,'ANO NOVO'!$C$2:$C$301,C189,'ANO NOVO'!$D$2:$D$301,"FOLGA")&gt;0,"⚠ Folga já lançada em NATAL/ANO NOVO",IF(COUNTIFS(NATAL!$A$2:$A$301,A189,NATAL!$C$2:$C$301,C189,NATAL!$D$2:$D$301,"TRABALHA")+COUNTIFS('ANO NOVO'!$A$2:$A$301,A189,'ANO NOVO'!$C$2:$C$301,C189,'ANO NOVO'!$D$2:$D$301,"TRABALHA")&gt;0,"⚠ Marcado TRABALHA em NATAL/ANO NOVO",IF(COUNTIFS($B$2:$B$301,B189,$C$2:$C$301,C189)&gt;1,"⚠ "&amp;COUNTIFS($B$2:$B$301,B189,$C$2:$C$301,C189)&amp;" pessoas do setor de folga no dia",""))))))</f>
        <v/>
      </c>
    </row>
    <row r="190" customFormat="false" ht="15" hidden="false" customHeight="true" outlineLevel="0" collapsed="false">
      <c r="A190" s="54"/>
      <c r="B190" s="54"/>
      <c r="C190" s="53"/>
      <c r="D190" s="54"/>
      <c r="E190" s="55" t="str">
        <f aca="false">IF(ISNUMBER(C190),CHOOSE(WEEKDAY(C190),"Domingo","Segunda","Terça","Quarta","Quinta","Sexta","Sábado"),"")</f>
        <v/>
      </c>
      <c r="F190" s="55" t="str">
        <f aca="true">IF(NOT(ISNUMBER(C190)),"",IF(C190=TODAY(),"HOJE",IF(C190=TODAY()+1,"AMANHÃ",IF(C190&lt;TODAY(),"Realizada",IF(C190-TODAY()&lt;=7,"Em "&amp;(C190-TODAY())&amp;" dias","Agendada")))))</f>
        <v/>
      </c>
      <c r="G190" s="55" t="str">
        <f aca="false">IF(OR(A190="",NOT(ISNUMBER(C190))),"",IF(COUNTIFS($A$2:$A$301,A190,$C$2:$C$301,C190)&gt;1,"⚠ Folga duplicada",IF(COUNTIFS(FÉRIAS!$A$2:$A$301,A190,FÉRIAS!$C$2:$C$301,"&lt;="&amp;C190,FÉRIAS!$D$2:$D$301,"&gt;="&amp;C190)&gt;0,"⚠ Está de férias nesta data",IF(COUNTIFS(NATAL!$A$2:$A$301,A190,NATAL!$C$2:$C$301,C190,NATAL!$D$2:$D$301,"FOLGA")+COUNTIFS('ANO NOVO'!$A$2:$A$301,A190,'ANO NOVO'!$C$2:$C$301,C190,'ANO NOVO'!$D$2:$D$301,"FOLGA")&gt;0,"⚠ Folga já lançada em NATAL/ANO NOVO",IF(COUNTIFS(NATAL!$A$2:$A$301,A190,NATAL!$C$2:$C$301,C190,NATAL!$D$2:$D$301,"TRABALHA")+COUNTIFS('ANO NOVO'!$A$2:$A$301,A190,'ANO NOVO'!$C$2:$C$301,C190,'ANO NOVO'!$D$2:$D$301,"TRABALHA")&gt;0,"⚠ Marcado TRABALHA em NATAL/ANO NOVO",IF(COUNTIFS($B$2:$B$301,B190,$C$2:$C$301,C190)&gt;1,"⚠ "&amp;COUNTIFS($B$2:$B$301,B190,$C$2:$C$301,C190)&amp;" pessoas do setor de folga no dia",""))))))</f>
        <v/>
      </c>
    </row>
    <row r="191" customFormat="false" ht="15" hidden="false" customHeight="true" outlineLevel="0" collapsed="false">
      <c r="A191" s="54"/>
      <c r="B191" s="54"/>
      <c r="C191" s="53"/>
      <c r="D191" s="54"/>
      <c r="E191" s="55" t="str">
        <f aca="false">IF(ISNUMBER(C191),CHOOSE(WEEKDAY(C191),"Domingo","Segunda","Terça","Quarta","Quinta","Sexta","Sábado"),"")</f>
        <v/>
      </c>
      <c r="F191" s="55" t="str">
        <f aca="true">IF(NOT(ISNUMBER(C191)),"",IF(C191=TODAY(),"HOJE",IF(C191=TODAY()+1,"AMANHÃ",IF(C191&lt;TODAY(),"Realizada",IF(C191-TODAY()&lt;=7,"Em "&amp;(C191-TODAY())&amp;" dias","Agendada")))))</f>
        <v/>
      </c>
      <c r="G191" s="55" t="str">
        <f aca="false">IF(OR(A191="",NOT(ISNUMBER(C191))),"",IF(COUNTIFS($A$2:$A$301,A191,$C$2:$C$301,C191)&gt;1,"⚠ Folga duplicada",IF(COUNTIFS(FÉRIAS!$A$2:$A$301,A191,FÉRIAS!$C$2:$C$301,"&lt;="&amp;C191,FÉRIAS!$D$2:$D$301,"&gt;="&amp;C191)&gt;0,"⚠ Está de férias nesta data",IF(COUNTIFS(NATAL!$A$2:$A$301,A191,NATAL!$C$2:$C$301,C191,NATAL!$D$2:$D$301,"FOLGA")+COUNTIFS('ANO NOVO'!$A$2:$A$301,A191,'ANO NOVO'!$C$2:$C$301,C191,'ANO NOVO'!$D$2:$D$301,"FOLGA")&gt;0,"⚠ Folga já lançada em NATAL/ANO NOVO",IF(COUNTIFS(NATAL!$A$2:$A$301,A191,NATAL!$C$2:$C$301,C191,NATAL!$D$2:$D$301,"TRABALHA")+COUNTIFS('ANO NOVO'!$A$2:$A$301,A191,'ANO NOVO'!$C$2:$C$301,C191,'ANO NOVO'!$D$2:$D$301,"TRABALHA")&gt;0,"⚠ Marcado TRABALHA em NATAL/ANO NOVO",IF(COUNTIFS($B$2:$B$301,B191,$C$2:$C$301,C191)&gt;1,"⚠ "&amp;COUNTIFS($B$2:$B$301,B191,$C$2:$C$301,C191)&amp;" pessoas do setor de folga no dia",""))))))</f>
        <v/>
      </c>
    </row>
    <row r="192" customFormat="false" ht="15" hidden="false" customHeight="true" outlineLevel="0" collapsed="false">
      <c r="A192" s="54"/>
      <c r="B192" s="54"/>
      <c r="C192" s="53"/>
      <c r="D192" s="54"/>
      <c r="E192" s="55" t="str">
        <f aca="false">IF(ISNUMBER(C192),CHOOSE(WEEKDAY(C192),"Domingo","Segunda","Terça","Quarta","Quinta","Sexta","Sábado"),"")</f>
        <v/>
      </c>
      <c r="F192" s="55" t="str">
        <f aca="true">IF(NOT(ISNUMBER(C192)),"",IF(C192=TODAY(),"HOJE",IF(C192=TODAY()+1,"AMANHÃ",IF(C192&lt;TODAY(),"Realizada",IF(C192-TODAY()&lt;=7,"Em "&amp;(C192-TODAY())&amp;" dias","Agendada")))))</f>
        <v/>
      </c>
      <c r="G192" s="55" t="str">
        <f aca="false">IF(OR(A192="",NOT(ISNUMBER(C192))),"",IF(COUNTIFS($A$2:$A$301,A192,$C$2:$C$301,C192)&gt;1,"⚠ Folga duplicada",IF(COUNTIFS(FÉRIAS!$A$2:$A$301,A192,FÉRIAS!$C$2:$C$301,"&lt;="&amp;C192,FÉRIAS!$D$2:$D$301,"&gt;="&amp;C192)&gt;0,"⚠ Está de férias nesta data",IF(COUNTIFS(NATAL!$A$2:$A$301,A192,NATAL!$C$2:$C$301,C192,NATAL!$D$2:$D$301,"FOLGA")+COUNTIFS('ANO NOVO'!$A$2:$A$301,A192,'ANO NOVO'!$C$2:$C$301,C192,'ANO NOVO'!$D$2:$D$301,"FOLGA")&gt;0,"⚠ Folga já lançada em NATAL/ANO NOVO",IF(COUNTIFS(NATAL!$A$2:$A$301,A192,NATAL!$C$2:$C$301,C192,NATAL!$D$2:$D$301,"TRABALHA")+COUNTIFS('ANO NOVO'!$A$2:$A$301,A192,'ANO NOVO'!$C$2:$C$301,C192,'ANO NOVO'!$D$2:$D$301,"TRABALHA")&gt;0,"⚠ Marcado TRABALHA em NATAL/ANO NOVO",IF(COUNTIFS($B$2:$B$301,B192,$C$2:$C$301,C192)&gt;1,"⚠ "&amp;COUNTIFS($B$2:$B$301,B192,$C$2:$C$301,C192)&amp;" pessoas do setor de folga no dia",""))))))</f>
        <v/>
      </c>
    </row>
    <row r="193" customFormat="false" ht="15" hidden="false" customHeight="true" outlineLevel="0" collapsed="false">
      <c r="A193" s="54"/>
      <c r="B193" s="54"/>
      <c r="C193" s="53"/>
      <c r="D193" s="54"/>
      <c r="E193" s="55" t="str">
        <f aca="false">IF(ISNUMBER(C193),CHOOSE(WEEKDAY(C193),"Domingo","Segunda","Terça","Quarta","Quinta","Sexta","Sábado"),"")</f>
        <v/>
      </c>
      <c r="F193" s="55" t="str">
        <f aca="true">IF(NOT(ISNUMBER(C193)),"",IF(C193=TODAY(),"HOJE",IF(C193=TODAY()+1,"AMANHÃ",IF(C193&lt;TODAY(),"Realizada",IF(C193-TODAY()&lt;=7,"Em "&amp;(C193-TODAY())&amp;" dias","Agendada")))))</f>
        <v/>
      </c>
      <c r="G193" s="55" t="str">
        <f aca="false">IF(OR(A193="",NOT(ISNUMBER(C193))),"",IF(COUNTIFS($A$2:$A$301,A193,$C$2:$C$301,C193)&gt;1,"⚠ Folga duplicada",IF(COUNTIFS(FÉRIAS!$A$2:$A$301,A193,FÉRIAS!$C$2:$C$301,"&lt;="&amp;C193,FÉRIAS!$D$2:$D$301,"&gt;="&amp;C193)&gt;0,"⚠ Está de férias nesta data",IF(COUNTIFS(NATAL!$A$2:$A$301,A193,NATAL!$C$2:$C$301,C193,NATAL!$D$2:$D$301,"FOLGA")+COUNTIFS('ANO NOVO'!$A$2:$A$301,A193,'ANO NOVO'!$C$2:$C$301,C193,'ANO NOVO'!$D$2:$D$301,"FOLGA")&gt;0,"⚠ Folga já lançada em NATAL/ANO NOVO",IF(COUNTIFS(NATAL!$A$2:$A$301,A193,NATAL!$C$2:$C$301,C193,NATAL!$D$2:$D$301,"TRABALHA")+COUNTIFS('ANO NOVO'!$A$2:$A$301,A193,'ANO NOVO'!$C$2:$C$301,C193,'ANO NOVO'!$D$2:$D$301,"TRABALHA")&gt;0,"⚠ Marcado TRABALHA em NATAL/ANO NOVO",IF(COUNTIFS($B$2:$B$301,B193,$C$2:$C$301,C193)&gt;1,"⚠ "&amp;COUNTIFS($B$2:$B$301,B193,$C$2:$C$301,C193)&amp;" pessoas do setor de folga no dia",""))))))</f>
        <v/>
      </c>
    </row>
    <row r="194" customFormat="false" ht="15" hidden="false" customHeight="true" outlineLevel="0" collapsed="false">
      <c r="A194" s="54"/>
      <c r="B194" s="54"/>
      <c r="C194" s="53"/>
      <c r="D194" s="54"/>
      <c r="E194" s="55" t="str">
        <f aca="false">IF(ISNUMBER(C194),CHOOSE(WEEKDAY(C194),"Domingo","Segunda","Terça","Quarta","Quinta","Sexta","Sábado"),"")</f>
        <v/>
      </c>
      <c r="F194" s="55" t="str">
        <f aca="true">IF(NOT(ISNUMBER(C194)),"",IF(C194=TODAY(),"HOJE",IF(C194=TODAY()+1,"AMANHÃ",IF(C194&lt;TODAY(),"Realizada",IF(C194-TODAY()&lt;=7,"Em "&amp;(C194-TODAY())&amp;" dias","Agendada")))))</f>
        <v/>
      </c>
      <c r="G194" s="55" t="str">
        <f aca="false">IF(OR(A194="",NOT(ISNUMBER(C194))),"",IF(COUNTIFS($A$2:$A$301,A194,$C$2:$C$301,C194)&gt;1,"⚠ Folga duplicada",IF(COUNTIFS(FÉRIAS!$A$2:$A$301,A194,FÉRIAS!$C$2:$C$301,"&lt;="&amp;C194,FÉRIAS!$D$2:$D$301,"&gt;="&amp;C194)&gt;0,"⚠ Está de férias nesta data",IF(COUNTIFS(NATAL!$A$2:$A$301,A194,NATAL!$C$2:$C$301,C194,NATAL!$D$2:$D$301,"FOLGA")+COUNTIFS('ANO NOVO'!$A$2:$A$301,A194,'ANO NOVO'!$C$2:$C$301,C194,'ANO NOVO'!$D$2:$D$301,"FOLGA")&gt;0,"⚠ Folga já lançada em NATAL/ANO NOVO",IF(COUNTIFS(NATAL!$A$2:$A$301,A194,NATAL!$C$2:$C$301,C194,NATAL!$D$2:$D$301,"TRABALHA")+COUNTIFS('ANO NOVO'!$A$2:$A$301,A194,'ANO NOVO'!$C$2:$C$301,C194,'ANO NOVO'!$D$2:$D$301,"TRABALHA")&gt;0,"⚠ Marcado TRABALHA em NATAL/ANO NOVO",IF(COUNTIFS($B$2:$B$301,B194,$C$2:$C$301,C194)&gt;1,"⚠ "&amp;COUNTIFS($B$2:$B$301,B194,$C$2:$C$301,C194)&amp;" pessoas do setor de folga no dia",""))))))</f>
        <v/>
      </c>
    </row>
    <row r="195" customFormat="false" ht="15" hidden="false" customHeight="true" outlineLevel="0" collapsed="false">
      <c r="A195" s="54"/>
      <c r="B195" s="54"/>
      <c r="C195" s="53"/>
      <c r="D195" s="54"/>
      <c r="E195" s="55" t="str">
        <f aca="false">IF(ISNUMBER(C195),CHOOSE(WEEKDAY(C195),"Domingo","Segunda","Terça","Quarta","Quinta","Sexta","Sábado"),"")</f>
        <v/>
      </c>
      <c r="F195" s="55" t="str">
        <f aca="true">IF(NOT(ISNUMBER(C195)),"",IF(C195=TODAY(),"HOJE",IF(C195=TODAY()+1,"AMANHÃ",IF(C195&lt;TODAY(),"Realizada",IF(C195-TODAY()&lt;=7,"Em "&amp;(C195-TODAY())&amp;" dias","Agendada")))))</f>
        <v/>
      </c>
      <c r="G195" s="55" t="str">
        <f aca="false">IF(OR(A195="",NOT(ISNUMBER(C195))),"",IF(COUNTIFS($A$2:$A$301,A195,$C$2:$C$301,C195)&gt;1,"⚠ Folga duplicada",IF(COUNTIFS(FÉRIAS!$A$2:$A$301,A195,FÉRIAS!$C$2:$C$301,"&lt;="&amp;C195,FÉRIAS!$D$2:$D$301,"&gt;="&amp;C195)&gt;0,"⚠ Está de férias nesta data",IF(COUNTIFS(NATAL!$A$2:$A$301,A195,NATAL!$C$2:$C$301,C195,NATAL!$D$2:$D$301,"FOLGA")+COUNTIFS('ANO NOVO'!$A$2:$A$301,A195,'ANO NOVO'!$C$2:$C$301,C195,'ANO NOVO'!$D$2:$D$301,"FOLGA")&gt;0,"⚠ Folga já lançada em NATAL/ANO NOVO",IF(COUNTIFS(NATAL!$A$2:$A$301,A195,NATAL!$C$2:$C$301,C195,NATAL!$D$2:$D$301,"TRABALHA")+COUNTIFS('ANO NOVO'!$A$2:$A$301,A195,'ANO NOVO'!$C$2:$C$301,C195,'ANO NOVO'!$D$2:$D$301,"TRABALHA")&gt;0,"⚠ Marcado TRABALHA em NATAL/ANO NOVO",IF(COUNTIFS($B$2:$B$301,B195,$C$2:$C$301,C195)&gt;1,"⚠ "&amp;COUNTIFS($B$2:$B$301,B195,$C$2:$C$301,C195)&amp;" pessoas do setor de folga no dia",""))))))</f>
        <v/>
      </c>
    </row>
    <row r="196" customFormat="false" ht="15" hidden="false" customHeight="true" outlineLevel="0" collapsed="false">
      <c r="A196" s="54"/>
      <c r="B196" s="54"/>
      <c r="C196" s="53"/>
      <c r="D196" s="54"/>
      <c r="E196" s="55" t="str">
        <f aca="false">IF(ISNUMBER(C196),CHOOSE(WEEKDAY(C196),"Domingo","Segunda","Terça","Quarta","Quinta","Sexta","Sábado"),"")</f>
        <v/>
      </c>
      <c r="F196" s="55" t="str">
        <f aca="true">IF(NOT(ISNUMBER(C196)),"",IF(C196=TODAY(),"HOJE",IF(C196=TODAY()+1,"AMANHÃ",IF(C196&lt;TODAY(),"Realizada",IF(C196-TODAY()&lt;=7,"Em "&amp;(C196-TODAY())&amp;" dias","Agendada")))))</f>
        <v/>
      </c>
      <c r="G196" s="55" t="str">
        <f aca="false">IF(OR(A196="",NOT(ISNUMBER(C196))),"",IF(COUNTIFS($A$2:$A$301,A196,$C$2:$C$301,C196)&gt;1,"⚠ Folga duplicada",IF(COUNTIFS(FÉRIAS!$A$2:$A$301,A196,FÉRIAS!$C$2:$C$301,"&lt;="&amp;C196,FÉRIAS!$D$2:$D$301,"&gt;="&amp;C196)&gt;0,"⚠ Está de férias nesta data",IF(COUNTIFS(NATAL!$A$2:$A$301,A196,NATAL!$C$2:$C$301,C196,NATAL!$D$2:$D$301,"FOLGA")+COUNTIFS('ANO NOVO'!$A$2:$A$301,A196,'ANO NOVO'!$C$2:$C$301,C196,'ANO NOVO'!$D$2:$D$301,"FOLGA")&gt;0,"⚠ Folga já lançada em NATAL/ANO NOVO",IF(COUNTIFS(NATAL!$A$2:$A$301,A196,NATAL!$C$2:$C$301,C196,NATAL!$D$2:$D$301,"TRABALHA")+COUNTIFS('ANO NOVO'!$A$2:$A$301,A196,'ANO NOVO'!$C$2:$C$301,C196,'ANO NOVO'!$D$2:$D$301,"TRABALHA")&gt;0,"⚠ Marcado TRABALHA em NATAL/ANO NOVO",IF(COUNTIFS($B$2:$B$301,B196,$C$2:$C$301,C196)&gt;1,"⚠ "&amp;COUNTIFS($B$2:$B$301,B196,$C$2:$C$301,C196)&amp;" pessoas do setor de folga no dia",""))))))</f>
        <v/>
      </c>
    </row>
    <row r="197" customFormat="false" ht="15" hidden="false" customHeight="true" outlineLevel="0" collapsed="false">
      <c r="A197" s="54"/>
      <c r="B197" s="54"/>
      <c r="C197" s="53"/>
      <c r="D197" s="54"/>
      <c r="E197" s="55" t="str">
        <f aca="false">IF(ISNUMBER(C197),CHOOSE(WEEKDAY(C197),"Domingo","Segunda","Terça","Quarta","Quinta","Sexta","Sábado"),"")</f>
        <v/>
      </c>
      <c r="F197" s="55" t="str">
        <f aca="true">IF(NOT(ISNUMBER(C197)),"",IF(C197=TODAY(),"HOJE",IF(C197=TODAY()+1,"AMANHÃ",IF(C197&lt;TODAY(),"Realizada",IF(C197-TODAY()&lt;=7,"Em "&amp;(C197-TODAY())&amp;" dias","Agendada")))))</f>
        <v/>
      </c>
      <c r="G197" s="55" t="str">
        <f aca="false">IF(OR(A197="",NOT(ISNUMBER(C197))),"",IF(COUNTIFS($A$2:$A$301,A197,$C$2:$C$301,C197)&gt;1,"⚠ Folga duplicada",IF(COUNTIFS(FÉRIAS!$A$2:$A$301,A197,FÉRIAS!$C$2:$C$301,"&lt;="&amp;C197,FÉRIAS!$D$2:$D$301,"&gt;="&amp;C197)&gt;0,"⚠ Está de férias nesta data",IF(COUNTIFS(NATAL!$A$2:$A$301,A197,NATAL!$C$2:$C$301,C197,NATAL!$D$2:$D$301,"FOLGA")+COUNTIFS('ANO NOVO'!$A$2:$A$301,A197,'ANO NOVO'!$C$2:$C$301,C197,'ANO NOVO'!$D$2:$D$301,"FOLGA")&gt;0,"⚠ Folga já lançada em NATAL/ANO NOVO",IF(COUNTIFS(NATAL!$A$2:$A$301,A197,NATAL!$C$2:$C$301,C197,NATAL!$D$2:$D$301,"TRABALHA")+COUNTIFS('ANO NOVO'!$A$2:$A$301,A197,'ANO NOVO'!$C$2:$C$301,C197,'ANO NOVO'!$D$2:$D$301,"TRABALHA")&gt;0,"⚠ Marcado TRABALHA em NATAL/ANO NOVO",IF(COUNTIFS($B$2:$B$301,B197,$C$2:$C$301,C197)&gt;1,"⚠ "&amp;COUNTIFS($B$2:$B$301,B197,$C$2:$C$301,C197)&amp;" pessoas do setor de folga no dia",""))))))</f>
        <v/>
      </c>
    </row>
    <row r="198" customFormat="false" ht="15" hidden="false" customHeight="true" outlineLevel="0" collapsed="false">
      <c r="A198" s="54"/>
      <c r="B198" s="54"/>
      <c r="C198" s="53"/>
      <c r="D198" s="54"/>
      <c r="E198" s="55" t="str">
        <f aca="false">IF(ISNUMBER(C198),CHOOSE(WEEKDAY(C198),"Domingo","Segunda","Terça","Quarta","Quinta","Sexta","Sábado"),"")</f>
        <v/>
      </c>
      <c r="F198" s="55" t="str">
        <f aca="true">IF(NOT(ISNUMBER(C198)),"",IF(C198=TODAY(),"HOJE",IF(C198=TODAY()+1,"AMANHÃ",IF(C198&lt;TODAY(),"Realizada",IF(C198-TODAY()&lt;=7,"Em "&amp;(C198-TODAY())&amp;" dias","Agendada")))))</f>
        <v/>
      </c>
      <c r="G198" s="55" t="str">
        <f aca="false">IF(OR(A198="",NOT(ISNUMBER(C198))),"",IF(COUNTIFS($A$2:$A$301,A198,$C$2:$C$301,C198)&gt;1,"⚠ Folga duplicada",IF(COUNTIFS(FÉRIAS!$A$2:$A$301,A198,FÉRIAS!$C$2:$C$301,"&lt;="&amp;C198,FÉRIAS!$D$2:$D$301,"&gt;="&amp;C198)&gt;0,"⚠ Está de férias nesta data",IF(COUNTIFS(NATAL!$A$2:$A$301,A198,NATAL!$C$2:$C$301,C198,NATAL!$D$2:$D$301,"FOLGA")+COUNTIFS('ANO NOVO'!$A$2:$A$301,A198,'ANO NOVO'!$C$2:$C$301,C198,'ANO NOVO'!$D$2:$D$301,"FOLGA")&gt;0,"⚠ Folga já lançada em NATAL/ANO NOVO",IF(COUNTIFS(NATAL!$A$2:$A$301,A198,NATAL!$C$2:$C$301,C198,NATAL!$D$2:$D$301,"TRABALHA")+COUNTIFS('ANO NOVO'!$A$2:$A$301,A198,'ANO NOVO'!$C$2:$C$301,C198,'ANO NOVO'!$D$2:$D$301,"TRABALHA")&gt;0,"⚠ Marcado TRABALHA em NATAL/ANO NOVO",IF(COUNTIFS($B$2:$B$301,B198,$C$2:$C$301,C198)&gt;1,"⚠ "&amp;COUNTIFS($B$2:$B$301,B198,$C$2:$C$301,C198)&amp;" pessoas do setor de folga no dia",""))))))</f>
        <v/>
      </c>
    </row>
    <row r="199" customFormat="false" ht="15" hidden="false" customHeight="true" outlineLevel="0" collapsed="false">
      <c r="A199" s="54"/>
      <c r="B199" s="54"/>
      <c r="C199" s="53"/>
      <c r="D199" s="54"/>
      <c r="E199" s="55" t="str">
        <f aca="false">IF(ISNUMBER(C199),CHOOSE(WEEKDAY(C199),"Domingo","Segunda","Terça","Quarta","Quinta","Sexta","Sábado"),"")</f>
        <v/>
      </c>
      <c r="F199" s="55" t="str">
        <f aca="true">IF(NOT(ISNUMBER(C199)),"",IF(C199=TODAY(),"HOJE",IF(C199=TODAY()+1,"AMANHÃ",IF(C199&lt;TODAY(),"Realizada",IF(C199-TODAY()&lt;=7,"Em "&amp;(C199-TODAY())&amp;" dias","Agendada")))))</f>
        <v/>
      </c>
      <c r="G199" s="55" t="str">
        <f aca="false">IF(OR(A199="",NOT(ISNUMBER(C199))),"",IF(COUNTIFS($A$2:$A$301,A199,$C$2:$C$301,C199)&gt;1,"⚠ Folga duplicada",IF(COUNTIFS(FÉRIAS!$A$2:$A$301,A199,FÉRIAS!$C$2:$C$301,"&lt;="&amp;C199,FÉRIAS!$D$2:$D$301,"&gt;="&amp;C199)&gt;0,"⚠ Está de férias nesta data",IF(COUNTIFS(NATAL!$A$2:$A$301,A199,NATAL!$C$2:$C$301,C199,NATAL!$D$2:$D$301,"FOLGA")+COUNTIFS('ANO NOVO'!$A$2:$A$301,A199,'ANO NOVO'!$C$2:$C$301,C199,'ANO NOVO'!$D$2:$D$301,"FOLGA")&gt;0,"⚠ Folga já lançada em NATAL/ANO NOVO",IF(COUNTIFS(NATAL!$A$2:$A$301,A199,NATAL!$C$2:$C$301,C199,NATAL!$D$2:$D$301,"TRABALHA")+COUNTIFS('ANO NOVO'!$A$2:$A$301,A199,'ANO NOVO'!$C$2:$C$301,C199,'ANO NOVO'!$D$2:$D$301,"TRABALHA")&gt;0,"⚠ Marcado TRABALHA em NATAL/ANO NOVO",IF(COUNTIFS($B$2:$B$301,B199,$C$2:$C$301,C199)&gt;1,"⚠ "&amp;COUNTIFS($B$2:$B$301,B199,$C$2:$C$301,C199)&amp;" pessoas do setor de folga no dia",""))))))</f>
        <v/>
      </c>
    </row>
    <row r="200" customFormat="false" ht="15" hidden="false" customHeight="true" outlineLevel="0" collapsed="false">
      <c r="A200" s="54"/>
      <c r="B200" s="54"/>
      <c r="C200" s="53"/>
      <c r="D200" s="54"/>
      <c r="E200" s="55" t="str">
        <f aca="false">IF(ISNUMBER(C200),CHOOSE(WEEKDAY(C200),"Domingo","Segunda","Terça","Quarta","Quinta","Sexta","Sábado"),"")</f>
        <v/>
      </c>
      <c r="F200" s="55" t="str">
        <f aca="true">IF(NOT(ISNUMBER(C200)),"",IF(C200=TODAY(),"HOJE",IF(C200=TODAY()+1,"AMANHÃ",IF(C200&lt;TODAY(),"Realizada",IF(C200-TODAY()&lt;=7,"Em "&amp;(C200-TODAY())&amp;" dias","Agendada")))))</f>
        <v/>
      </c>
      <c r="G200" s="55" t="str">
        <f aca="false">IF(OR(A200="",NOT(ISNUMBER(C200))),"",IF(COUNTIFS($A$2:$A$301,A200,$C$2:$C$301,C200)&gt;1,"⚠ Folga duplicada",IF(COUNTIFS(FÉRIAS!$A$2:$A$301,A200,FÉRIAS!$C$2:$C$301,"&lt;="&amp;C200,FÉRIAS!$D$2:$D$301,"&gt;="&amp;C200)&gt;0,"⚠ Está de férias nesta data",IF(COUNTIFS(NATAL!$A$2:$A$301,A200,NATAL!$C$2:$C$301,C200,NATAL!$D$2:$D$301,"FOLGA")+COUNTIFS('ANO NOVO'!$A$2:$A$301,A200,'ANO NOVO'!$C$2:$C$301,C200,'ANO NOVO'!$D$2:$D$301,"FOLGA")&gt;0,"⚠ Folga já lançada em NATAL/ANO NOVO",IF(COUNTIFS(NATAL!$A$2:$A$301,A200,NATAL!$C$2:$C$301,C200,NATAL!$D$2:$D$301,"TRABALHA")+COUNTIFS('ANO NOVO'!$A$2:$A$301,A200,'ANO NOVO'!$C$2:$C$301,C200,'ANO NOVO'!$D$2:$D$301,"TRABALHA")&gt;0,"⚠ Marcado TRABALHA em NATAL/ANO NOVO",IF(COUNTIFS($B$2:$B$301,B200,$C$2:$C$301,C200)&gt;1,"⚠ "&amp;COUNTIFS($B$2:$B$301,B200,$C$2:$C$301,C200)&amp;" pessoas do setor de folga no dia",""))))))</f>
        <v/>
      </c>
    </row>
    <row r="201" customFormat="false" ht="15" hidden="false" customHeight="true" outlineLevel="0" collapsed="false">
      <c r="A201" s="54"/>
      <c r="B201" s="54"/>
      <c r="C201" s="53"/>
      <c r="D201" s="54"/>
      <c r="E201" s="55" t="str">
        <f aca="false">IF(ISNUMBER(C201),CHOOSE(WEEKDAY(C201),"Domingo","Segunda","Terça","Quarta","Quinta","Sexta","Sábado"),"")</f>
        <v/>
      </c>
      <c r="F201" s="55" t="str">
        <f aca="true">IF(NOT(ISNUMBER(C201)),"",IF(C201=TODAY(),"HOJE",IF(C201=TODAY()+1,"AMANHÃ",IF(C201&lt;TODAY(),"Realizada",IF(C201-TODAY()&lt;=7,"Em "&amp;(C201-TODAY())&amp;" dias","Agendada")))))</f>
        <v/>
      </c>
      <c r="G201" s="55" t="str">
        <f aca="false">IF(OR(A201="",NOT(ISNUMBER(C201))),"",IF(COUNTIFS($A$2:$A$301,A201,$C$2:$C$301,C201)&gt;1,"⚠ Folga duplicada",IF(COUNTIFS(FÉRIAS!$A$2:$A$301,A201,FÉRIAS!$C$2:$C$301,"&lt;="&amp;C201,FÉRIAS!$D$2:$D$301,"&gt;="&amp;C201)&gt;0,"⚠ Está de férias nesta data",IF(COUNTIFS(NATAL!$A$2:$A$301,A201,NATAL!$C$2:$C$301,C201,NATAL!$D$2:$D$301,"FOLGA")+COUNTIFS('ANO NOVO'!$A$2:$A$301,A201,'ANO NOVO'!$C$2:$C$301,C201,'ANO NOVO'!$D$2:$D$301,"FOLGA")&gt;0,"⚠ Folga já lançada em NATAL/ANO NOVO",IF(COUNTIFS(NATAL!$A$2:$A$301,A201,NATAL!$C$2:$C$301,C201,NATAL!$D$2:$D$301,"TRABALHA")+COUNTIFS('ANO NOVO'!$A$2:$A$301,A201,'ANO NOVO'!$C$2:$C$301,C201,'ANO NOVO'!$D$2:$D$301,"TRABALHA")&gt;0,"⚠ Marcado TRABALHA em NATAL/ANO NOVO",IF(COUNTIFS($B$2:$B$301,B201,$C$2:$C$301,C201)&gt;1,"⚠ "&amp;COUNTIFS($B$2:$B$301,B201,$C$2:$C$301,C201)&amp;" pessoas do setor de folga no dia",""))))))</f>
        <v/>
      </c>
    </row>
    <row r="202" customFormat="false" ht="15" hidden="false" customHeight="true" outlineLevel="0" collapsed="false">
      <c r="A202" s="54"/>
      <c r="B202" s="54"/>
      <c r="C202" s="53"/>
      <c r="D202" s="54"/>
      <c r="E202" s="55" t="str">
        <f aca="false">IF(ISNUMBER(C202),CHOOSE(WEEKDAY(C202),"Domingo","Segunda","Terça","Quarta","Quinta","Sexta","Sábado"),"")</f>
        <v/>
      </c>
      <c r="F202" s="55" t="str">
        <f aca="true">IF(NOT(ISNUMBER(C202)),"",IF(C202=TODAY(),"HOJE",IF(C202=TODAY()+1,"AMANHÃ",IF(C202&lt;TODAY(),"Realizada",IF(C202-TODAY()&lt;=7,"Em "&amp;(C202-TODAY())&amp;" dias","Agendada")))))</f>
        <v/>
      </c>
      <c r="G202" s="55" t="str">
        <f aca="false">IF(OR(A202="",NOT(ISNUMBER(C202))),"",IF(COUNTIFS($A$2:$A$301,A202,$C$2:$C$301,C202)&gt;1,"⚠ Folga duplicada",IF(COUNTIFS(FÉRIAS!$A$2:$A$301,A202,FÉRIAS!$C$2:$C$301,"&lt;="&amp;C202,FÉRIAS!$D$2:$D$301,"&gt;="&amp;C202)&gt;0,"⚠ Está de férias nesta data",IF(COUNTIFS(NATAL!$A$2:$A$301,A202,NATAL!$C$2:$C$301,C202,NATAL!$D$2:$D$301,"FOLGA")+COUNTIFS('ANO NOVO'!$A$2:$A$301,A202,'ANO NOVO'!$C$2:$C$301,C202,'ANO NOVO'!$D$2:$D$301,"FOLGA")&gt;0,"⚠ Folga já lançada em NATAL/ANO NOVO",IF(COUNTIFS(NATAL!$A$2:$A$301,A202,NATAL!$C$2:$C$301,C202,NATAL!$D$2:$D$301,"TRABALHA")+COUNTIFS('ANO NOVO'!$A$2:$A$301,A202,'ANO NOVO'!$C$2:$C$301,C202,'ANO NOVO'!$D$2:$D$301,"TRABALHA")&gt;0,"⚠ Marcado TRABALHA em NATAL/ANO NOVO",IF(COUNTIFS($B$2:$B$301,B202,$C$2:$C$301,C202)&gt;1,"⚠ "&amp;COUNTIFS($B$2:$B$301,B202,$C$2:$C$301,C202)&amp;" pessoas do setor de folga no dia",""))))))</f>
        <v/>
      </c>
    </row>
    <row r="203" customFormat="false" ht="15" hidden="false" customHeight="true" outlineLevel="0" collapsed="false">
      <c r="A203" s="54"/>
      <c r="B203" s="54"/>
      <c r="C203" s="53"/>
      <c r="D203" s="54"/>
      <c r="E203" s="55" t="str">
        <f aca="false">IF(ISNUMBER(C203),CHOOSE(WEEKDAY(C203),"Domingo","Segunda","Terça","Quarta","Quinta","Sexta","Sábado"),"")</f>
        <v/>
      </c>
      <c r="F203" s="55" t="str">
        <f aca="true">IF(NOT(ISNUMBER(C203)),"",IF(C203=TODAY(),"HOJE",IF(C203=TODAY()+1,"AMANHÃ",IF(C203&lt;TODAY(),"Realizada",IF(C203-TODAY()&lt;=7,"Em "&amp;(C203-TODAY())&amp;" dias","Agendada")))))</f>
        <v/>
      </c>
      <c r="G203" s="55" t="str">
        <f aca="false">IF(OR(A203="",NOT(ISNUMBER(C203))),"",IF(COUNTIFS($A$2:$A$301,A203,$C$2:$C$301,C203)&gt;1,"⚠ Folga duplicada",IF(COUNTIFS(FÉRIAS!$A$2:$A$301,A203,FÉRIAS!$C$2:$C$301,"&lt;="&amp;C203,FÉRIAS!$D$2:$D$301,"&gt;="&amp;C203)&gt;0,"⚠ Está de férias nesta data",IF(COUNTIFS(NATAL!$A$2:$A$301,A203,NATAL!$C$2:$C$301,C203,NATAL!$D$2:$D$301,"FOLGA")+COUNTIFS('ANO NOVO'!$A$2:$A$301,A203,'ANO NOVO'!$C$2:$C$301,C203,'ANO NOVO'!$D$2:$D$301,"FOLGA")&gt;0,"⚠ Folga já lançada em NATAL/ANO NOVO",IF(COUNTIFS(NATAL!$A$2:$A$301,A203,NATAL!$C$2:$C$301,C203,NATAL!$D$2:$D$301,"TRABALHA")+COUNTIFS('ANO NOVO'!$A$2:$A$301,A203,'ANO NOVO'!$C$2:$C$301,C203,'ANO NOVO'!$D$2:$D$301,"TRABALHA")&gt;0,"⚠ Marcado TRABALHA em NATAL/ANO NOVO",IF(COUNTIFS($B$2:$B$301,B203,$C$2:$C$301,C203)&gt;1,"⚠ "&amp;COUNTIFS($B$2:$B$301,B203,$C$2:$C$301,C203)&amp;" pessoas do setor de folga no dia",""))))))</f>
        <v/>
      </c>
    </row>
    <row r="204" customFormat="false" ht="15" hidden="false" customHeight="true" outlineLevel="0" collapsed="false">
      <c r="A204" s="54"/>
      <c r="B204" s="54"/>
      <c r="C204" s="53"/>
      <c r="D204" s="54"/>
      <c r="E204" s="55" t="str">
        <f aca="false">IF(ISNUMBER(C204),CHOOSE(WEEKDAY(C204),"Domingo","Segunda","Terça","Quarta","Quinta","Sexta","Sábado"),"")</f>
        <v/>
      </c>
      <c r="F204" s="55" t="str">
        <f aca="true">IF(NOT(ISNUMBER(C204)),"",IF(C204=TODAY(),"HOJE",IF(C204=TODAY()+1,"AMANHÃ",IF(C204&lt;TODAY(),"Realizada",IF(C204-TODAY()&lt;=7,"Em "&amp;(C204-TODAY())&amp;" dias","Agendada")))))</f>
        <v/>
      </c>
      <c r="G204" s="55" t="str">
        <f aca="false">IF(OR(A204="",NOT(ISNUMBER(C204))),"",IF(COUNTIFS($A$2:$A$301,A204,$C$2:$C$301,C204)&gt;1,"⚠ Folga duplicada",IF(COUNTIFS(FÉRIAS!$A$2:$A$301,A204,FÉRIAS!$C$2:$C$301,"&lt;="&amp;C204,FÉRIAS!$D$2:$D$301,"&gt;="&amp;C204)&gt;0,"⚠ Está de férias nesta data",IF(COUNTIFS(NATAL!$A$2:$A$301,A204,NATAL!$C$2:$C$301,C204,NATAL!$D$2:$D$301,"FOLGA")+COUNTIFS('ANO NOVO'!$A$2:$A$301,A204,'ANO NOVO'!$C$2:$C$301,C204,'ANO NOVO'!$D$2:$D$301,"FOLGA")&gt;0,"⚠ Folga já lançada em NATAL/ANO NOVO",IF(COUNTIFS(NATAL!$A$2:$A$301,A204,NATAL!$C$2:$C$301,C204,NATAL!$D$2:$D$301,"TRABALHA")+COUNTIFS('ANO NOVO'!$A$2:$A$301,A204,'ANO NOVO'!$C$2:$C$301,C204,'ANO NOVO'!$D$2:$D$301,"TRABALHA")&gt;0,"⚠ Marcado TRABALHA em NATAL/ANO NOVO",IF(COUNTIFS($B$2:$B$301,B204,$C$2:$C$301,C204)&gt;1,"⚠ "&amp;COUNTIFS($B$2:$B$301,B204,$C$2:$C$301,C204)&amp;" pessoas do setor de folga no dia",""))))))</f>
        <v/>
      </c>
    </row>
    <row r="205" customFormat="false" ht="15" hidden="false" customHeight="true" outlineLevel="0" collapsed="false">
      <c r="A205" s="54"/>
      <c r="B205" s="54"/>
      <c r="C205" s="53"/>
      <c r="D205" s="54"/>
      <c r="E205" s="55" t="str">
        <f aca="false">IF(ISNUMBER(C205),CHOOSE(WEEKDAY(C205),"Domingo","Segunda","Terça","Quarta","Quinta","Sexta","Sábado"),"")</f>
        <v/>
      </c>
      <c r="F205" s="55" t="str">
        <f aca="true">IF(NOT(ISNUMBER(C205)),"",IF(C205=TODAY(),"HOJE",IF(C205=TODAY()+1,"AMANHÃ",IF(C205&lt;TODAY(),"Realizada",IF(C205-TODAY()&lt;=7,"Em "&amp;(C205-TODAY())&amp;" dias","Agendada")))))</f>
        <v/>
      </c>
      <c r="G205" s="55" t="str">
        <f aca="false">IF(OR(A205="",NOT(ISNUMBER(C205))),"",IF(COUNTIFS($A$2:$A$301,A205,$C$2:$C$301,C205)&gt;1,"⚠ Folga duplicada",IF(COUNTIFS(FÉRIAS!$A$2:$A$301,A205,FÉRIAS!$C$2:$C$301,"&lt;="&amp;C205,FÉRIAS!$D$2:$D$301,"&gt;="&amp;C205)&gt;0,"⚠ Está de férias nesta data",IF(COUNTIFS(NATAL!$A$2:$A$301,A205,NATAL!$C$2:$C$301,C205,NATAL!$D$2:$D$301,"FOLGA")+COUNTIFS('ANO NOVO'!$A$2:$A$301,A205,'ANO NOVO'!$C$2:$C$301,C205,'ANO NOVO'!$D$2:$D$301,"FOLGA")&gt;0,"⚠ Folga já lançada em NATAL/ANO NOVO",IF(COUNTIFS(NATAL!$A$2:$A$301,A205,NATAL!$C$2:$C$301,C205,NATAL!$D$2:$D$301,"TRABALHA")+COUNTIFS('ANO NOVO'!$A$2:$A$301,A205,'ANO NOVO'!$C$2:$C$301,C205,'ANO NOVO'!$D$2:$D$301,"TRABALHA")&gt;0,"⚠ Marcado TRABALHA em NATAL/ANO NOVO",IF(COUNTIFS($B$2:$B$301,B205,$C$2:$C$301,C205)&gt;1,"⚠ "&amp;COUNTIFS($B$2:$B$301,B205,$C$2:$C$301,C205)&amp;" pessoas do setor de folga no dia",""))))))</f>
        <v/>
      </c>
    </row>
    <row r="206" customFormat="false" ht="15" hidden="false" customHeight="true" outlineLevel="0" collapsed="false">
      <c r="A206" s="54"/>
      <c r="B206" s="54"/>
      <c r="C206" s="53"/>
      <c r="D206" s="54"/>
      <c r="E206" s="55" t="str">
        <f aca="false">IF(ISNUMBER(C206),CHOOSE(WEEKDAY(C206),"Domingo","Segunda","Terça","Quarta","Quinta","Sexta","Sábado"),"")</f>
        <v/>
      </c>
      <c r="F206" s="55" t="str">
        <f aca="true">IF(NOT(ISNUMBER(C206)),"",IF(C206=TODAY(),"HOJE",IF(C206=TODAY()+1,"AMANHÃ",IF(C206&lt;TODAY(),"Realizada",IF(C206-TODAY()&lt;=7,"Em "&amp;(C206-TODAY())&amp;" dias","Agendada")))))</f>
        <v/>
      </c>
      <c r="G206" s="55" t="str">
        <f aca="false">IF(OR(A206="",NOT(ISNUMBER(C206))),"",IF(COUNTIFS($A$2:$A$301,A206,$C$2:$C$301,C206)&gt;1,"⚠ Folga duplicada",IF(COUNTIFS(FÉRIAS!$A$2:$A$301,A206,FÉRIAS!$C$2:$C$301,"&lt;="&amp;C206,FÉRIAS!$D$2:$D$301,"&gt;="&amp;C206)&gt;0,"⚠ Está de férias nesta data",IF(COUNTIFS(NATAL!$A$2:$A$301,A206,NATAL!$C$2:$C$301,C206,NATAL!$D$2:$D$301,"FOLGA")+COUNTIFS('ANO NOVO'!$A$2:$A$301,A206,'ANO NOVO'!$C$2:$C$301,C206,'ANO NOVO'!$D$2:$D$301,"FOLGA")&gt;0,"⚠ Folga já lançada em NATAL/ANO NOVO",IF(COUNTIFS(NATAL!$A$2:$A$301,A206,NATAL!$C$2:$C$301,C206,NATAL!$D$2:$D$301,"TRABALHA")+COUNTIFS('ANO NOVO'!$A$2:$A$301,A206,'ANO NOVO'!$C$2:$C$301,C206,'ANO NOVO'!$D$2:$D$301,"TRABALHA")&gt;0,"⚠ Marcado TRABALHA em NATAL/ANO NOVO",IF(COUNTIFS($B$2:$B$301,B206,$C$2:$C$301,C206)&gt;1,"⚠ "&amp;COUNTIFS($B$2:$B$301,B206,$C$2:$C$301,C206)&amp;" pessoas do setor de folga no dia",""))))))</f>
        <v/>
      </c>
    </row>
    <row r="207" customFormat="false" ht="15" hidden="false" customHeight="true" outlineLevel="0" collapsed="false">
      <c r="A207" s="54"/>
      <c r="B207" s="54"/>
      <c r="C207" s="53"/>
      <c r="D207" s="54"/>
      <c r="E207" s="55" t="str">
        <f aca="false">IF(ISNUMBER(C207),CHOOSE(WEEKDAY(C207),"Domingo","Segunda","Terça","Quarta","Quinta","Sexta","Sábado"),"")</f>
        <v/>
      </c>
      <c r="F207" s="55" t="str">
        <f aca="true">IF(NOT(ISNUMBER(C207)),"",IF(C207=TODAY(),"HOJE",IF(C207=TODAY()+1,"AMANHÃ",IF(C207&lt;TODAY(),"Realizada",IF(C207-TODAY()&lt;=7,"Em "&amp;(C207-TODAY())&amp;" dias","Agendada")))))</f>
        <v/>
      </c>
      <c r="G207" s="55" t="str">
        <f aca="false">IF(OR(A207="",NOT(ISNUMBER(C207))),"",IF(COUNTIFS($A$2:$A$301,A207,$C$2:$C$301,C207)&gt;1,"⚠ Folga duplicada",IF(COUNTIFS(FÉRIAS!$A$2:$A$301,A207,FÉRIAS!$C$2:$C$301,"&lt;="&amp;C207,FÉRIAS!$D$2:$D$301,"&gt;="&amp;C207)&gt;0,"⚠ Está de férias nesta data",IF(COUNTIFS(NATAL!$A$2:$A$301,A207,NATAL!$C$2:$C$301,C207,NATAL!$D$2:$D$301,"FOLGA")+COUNTIFS('ANO NOVO'!$A$2:$A$301,A207,'ANO NOVO'!$C$2:$C$301,C207,'ANO NOVO'!$D$2:$D$301,"FOLGA")&gt;0,"⚠ Folga já lançada em NATAL/ANO NOVO",IF(COUNTIFS(NATAL!$A$2:$A$301,A207,NATAL!$C$2:$C$301,C207,NATAL!$D$2:$D$301,"TRABALHA")+COUNTIFS('ANO NOVO'!$A$2:$A$301,A207,'ANO NOVO'!$C$2:$C$301,C207,'ANO NOVO'!$D$2:$D$301,"TRABALHA")&gt;0,"⚠ Marcado TRABALHA em NATAL/ANO NOVO",IF(COUNTIFS($B$2:$B$301,B207,$C$2:$C$301,C207)&gt;1,"⚠ "&amp;COUNTIFS($B$2:$B$301,B207,$C$2:$C$301,C207)&amp;" pessoas do setor de folga no dia",""))))))</f>
        <v/>
      </c>
    </row>
    <row r="208" customFormat="false" ht="15" hidden="false" customHeight="true" outlineLevel="0" collapsed="false">
      <c r="A208" s="54"/>
      <c r="B208" s="54"/>
      <c r="C208" s="53"/>
      <c r="D208" s="54"/>
      <c r="E208" s="55" t="str">
        <f aca="false">IF(ISNUMBER(C208),CHOOSE(WEEKDAY(C208),"Domingo","Segunda","Terça","Quarta","Quinta","Sexta","Sábado"),"")</f>
        <v/>
      </c>
      <c r="F208" s="55" t="str">
        <f aca="true">IF(NOT(ISNUMBER(C208)),"",IF(C208=TODAY(),"HOJE",IF(C208=TODAY()+1,"AMANHÃ",IF(C208&lt;TODAY(),"Realizada",IF(C208-TODAY()&lt;=7,"Em "&amp;(C208-TODAY())&amp;" dias","Agendada")))))</f>
        <v/>
      </c>
      <c r="G208" s="55" t="str">
        <f aca="false">IF(OR(A208="",NOT(ISNUMBER(C208))),"",IF(COUNTIFS($A$2:$A$301,A208,$C$2:$C$301,C208)&gt;1,"⚠ Folga duplicada",IF(COUNTIFS(FÉRIAS!$A$2:$A$301,A208,FÉRIAS!$C$2:$C$301,"&lt;="&amp;C208,FÉRIAS!$D$2:$D$301,"&gt;="&amp;C208)&gt;0,"⚠ Está de férias nesta data",IF(COUNTIFS(NATAL!$A$2:$A$301,A208,NATAL!$C$2:$C$301,C208,NATAL!$D$2:$D$301,"FOLGA")+COUNTIFS('ANO NOVO'!$A$2:$A$301,A208,'ANO NOVO'!$C$2:$C$301,C208,'ANO NOVO'!$D$2:$D$301,"FOLGA")&gt;0,"⚠ Folga já lançada em NATAL/ANO NOVO",IF(COUNTIFS(NATAL!$A$2:$A$301,A208,NATAL!$C$2:$C$301,C208,NATAL!$D$2:$D$301,"TRABALHA")+COUNTIFS('ANO NOVO'!$A$2:$A$301,A208,'ANO NOVO'!$C$2:$C$301,C208,'ANO NOVO'!$D$2:$D$301,"TRABALHA")&gt;0,"⚠ Marcado TRABALHA em NATAL/ANO NOVO",IF(COUNTIFS($B$2:$B$301,B208,$C$2:$C$301,C208)&gt;1,"⚠ "&amp;COUNTIFS($B$2:$B$301,B208,$C$2:$C$301,C208)&amp;" pessoas do setor de folga no dia",""))))))</f>
        <v/>
      </c>
    </row>
    <row r="209" customFormat="false" ht="15" hidden="false" customHeight="true" outlineLevel="0" collapsed="false">
      <c r="A209" s="54"/>
      <c r="B209" s="54"/>
      <c r="C209" s="53"/>
      <c r="D209" s="54"/>
      <c r="E209" s="55" t="str">
        <f aca="false">IF(ISNUMBER(C209),CHOOSE(WEEKDAY(C209),"Domingo","Segunda","Terça","Quarta","Quinta","Sexta","Sábado"),"")</f>
        <v/>
      </c>
      <c r="F209" s="55" t="str">
        <f aca="true">IF(NOT(ISNUMBER(C209)),"",IF(C209=TODAY(),"HOJE",IF(C209=TODAY()+1,"AMANHÃ",IF(C209&lt;TODAY(),"Realizada",IF(C209-TODAY()&lt;=7,"Em "&amp;(C209-TODAY())&amp;" dias","Agendada")))))</f>
        <v/>
      </c>
      <c r="G209" s="55" t="str">
        <f aca="false">IF(OR(A209="",NOT(ISNUMBER(C209))),"",IF(COUNTIFS($A$2:$A$301,A209,$C$2:$C$301,C209)&gt;1,"⚠ Folga duplicada",IF(COUNTIFS(FÉRIAS!$A$2:$A$301,A209,FÉRIAS!$C$2:$C$301,"&lt;="&amp;C209,FÉRIAS!$D$2:$D$301,"&gt;="&amp;C209)&gt;0,"⚠ Está de férias nesta data",IF(COUNTIFS(NATAL!$A$2:$A$301,A209,NATAL!$C$2:$C$301,C209,NATAL!$D$2:$D$301,"FOLGA")+COUNTIFS('ANO NOVO'!$A$2:$A$301,A209,'ANO NOVO'!$C$2:$C$301,C209,'ANO NOVO'!$D$2:$D$301,"FOLGA")&gt;0,"⚠ Folga já lançada em NATAL/ANO NOVO",IF(COUNTIFS(NATAL!$A$2:$A$301,A209,NATAL!$C$2:$C$301,C209,NATAL!$D$2:$D$301,"TRABALHA")+COUNTIFS('ANO NOVO'!$A$2:$A$301,A209,'ANO NOVO'!$C$2:$C$301,C209,'ANO NOVO'!$D$2:$D$301,"TRABALHA")&gt;0,"⚠ Marcado TRABALHA em NATAL/ANO NOVO",IF(COUNTIFS($B$2:$B$301,B209,$C$2:$C$301,C209)&gt;1,"⚠ "&amp;COUNTIFS($B$2:$B$301,B209,$C$2:$C$301,C209)&amp;" pessoas do setor de folga no dia",""))))))</f>
        <v/>
      </c>
    </row>
    <row r="210" customFormat="false" ht="15" hidden="false" customHeight="true" outlineLevel="0" collapsed="false">
      <c r="A210" s="54"/>
      <c r="B210" s="54"/>
      <c r="C210" s="53"/>
      <c r="D210" s="54"/>
      <c r="E210" s="55" t="str">
        <f aca="false">IF(ISNUMBER(C210),CHOOSE(WEEKDAY(C210),"Domingo","Segunda","Terça","Quarta","Quinta","Sexta","Sábado"),"")</f>
        <v/>
      </c>
      <c r="F210" s="55" t="str">
        <f aca="true">IF(NOT(ISNUMBER(C210)),"",IF(C210=TODAY(),"HOJE",IF(C210=TODAY()+1,"AMANHÃ",IF(C210&lt;TODAY(),"Realizada",IF(C210-TODAY()&lt;=7,"Em "&amp;(C210-TODAY())&amp;" dias","Agendada")))))</f>
        <v/>
      </c>
      <c r="G210" s="55" t="str">
        <f aca="false">IF(OR(A210="",NOT(ISNUMBER(C210))),"",IF(COUNTIFS($A$2:$A$301,A210,$C$2:$C$301,C210)&gt;1,"⚠ Folga duplicada",IF(COUNTIFS(FÉRIAS!$A$2:$A$301,A210,FÉRIAS!$C$2:$C$301,"&lt;="&amp;C210,FÉRIAS!$D$2:$D$301,"&gt;="&amp;C210)&gt;0,"⚠ Está de férias nesta data",IF(COUNTIFS(NATAL!$A$2:$A$301,A210,NATAL!$C$2:$C$301,C210,NATAL!$D$2:$D$301,"FOLGA")+COUNTIFS('ANO NOVO'!$A$2:$A$301,A210,'ANO NOVO'!$C$2:$C$301,C210,'ANO NOVO'!$D$2:$D$301,"FOLGA")&gt;0,"⚠ Folga já lançada em NATAL/ANO NOVO",IF(COUNTIFS(NATAL!$A$2:$A$301,A210,NATAL!$C$2:$C$301,C210,NATAL!$D$2:$D$301,"TRABALHA")+COUNTIFS('ANO NOVO'!$A$2:$A$301,A210,'ANO NOVO'!$C$2:$C$301,C210,'ANO NOVO'!$D$2:$D$301,"TRABALHA")&gt;0,"⚠ Marcado TRABALHA em NATAL/ANO NOVO",IF(COUNTIFS($B$2:$B$301,B210,$C$2:$C$301,C210)&gt;1,"⚠ "&amp;COUNTIFS($B$2:$B$301,B210,$C$2:$C$301,C210)&amp;" pessoas do setor de folga no dia",""))))))</f>
        <v/>
      </c>
    </row>
    <row r="211" customFormat="false" ht="15" hidden="false" customHeight="true" outlineLevel="0" collapsed="false">
      <c r="A211" s="54"/>
      <c r="B211" s="54"/>
      <c r="C211" s="53"/>
      <c r="D211" s="54"/>
      <c r="E211" s="55" t="str">
        <f aca="false">IF(ISNUMBER(C211),CHOOSE(WEEKDAY(C211),"Domingo","Segunda","Terça","Quarta","Quinta","Sexta","Sábado"),"")</f>
        <v/>
      </c>
      <c r="F211" s="55" t="str">
        <f aca="true">IF(NOT(ISNUMBER(C211)),"",IF(C211=TODAY(),"HOJE",IF(C211=TODAY()+1,"AMANHÃ",IF(C211&lt;TODAY(),"Realizada",IF(C211-TODAY()&lt;=7,"Em "&amp;(C211-TODAY())&amp;" dias","Agendada")))))</f>
        <v/>
      </c>
      <c r="G211" s="55" t="str">
        <f aca="false">IF(OR(A211="",NOT(ISNUMBER(C211))),"",IF(COUNTIFS($A$2:$A$301,A211,$C$2:$C$301,C211)&gt;1,"⚠ Folga duplicada",IF(COUNTIFS(FÉRIAS!$A$2:$A$301,A211,FÉRIAS!$C$2:$C$301,"&lt;="&amp;C211,FÉRIAS!$D$2:$D$301,"&gt;="&amp;C211)&gt;0,"⚠ Está de férias nesta data",IF(COUNTIFS(NATAL!$A$2:$A$301,A211,NATAL!$C$2:$C$301,C211,NATAL!$D$2:$D$301,"FOLGA")+COUNTIFS('ANO NOVO'!$A$2:$A$301,A211,'ANO NOVO'!$C$2:$C$301,C211,'ANO NOVO'!$D$2:$D$301,"FOLGA")&gt;0,"⚠ Folga já lançada em NATAL/ANO NOVO",IF(COUNTIFS(NATAL!$A$2:$A$301,A211,NATAL!$C$2:$C$301,C211,NATAL!$D$2:$D$301,"TRABALHA")+COUNTIFS('ANO NOVO'!$A$2:$A$301,A211,'ANO NOVO'!$C$2:$C$301,C211,'ANO NOVO'!$D$2:$D$301,"TRABALHA")&gt;0,"⚠ Marcado TRABALHA em NATAL/ANO NOVO",IF(COUNTIFS($B$2:$B$301,B211,$C$2:$C$301,C211)&gt;1,"⚠ "&amp;COUNTIFS($B$2:$B$301,B211,$C$2:$C$301,C211)&amp;" pessoas do setor de folga no dia",""))))))</f>
        <v/>
      </c>
    </row>
    <row r="212" customFormat="false" ht="15" hidden="false" customHeight="true" outlineLevel="0" collapsed="false">
      <c r="A212" s="54"/>
      <c r="B212" s="54"/>
      <c r="C212" s="53"/>
      <c r="D212" s="54"/>
      <c r="E212" s="55" t="str">
        <f aca="false">IF(ISNUMBER(C212),CHOOSE(WEEKDAY(C212),"Domingo","Segunda","Terça","Quarta","Quinta","Sexta","Sábado"),"")</f>
        <v/>
      </c>
      <c r="F212" s="55" t="str">
        <f aca="true">IF(NOT(ISNUMBER(C212)),"",IF(C212=TODAY(),"HOJE",IF(C212=TODAY()+1,"AMANHÃ",IF(C212&lt;TODAY(),"Realizada",IF(C212-TODAY()&lt;=7,"Em "&amp;(C212-TODAY())&amp;" dias","Agendada")))))</f>
        <v/>
      </c>
      <c r="G212" s="55" t="str">
        <f aca="false">IF(OR(A212="",NOT(ISNUMBER(C212))),"",IF(COUNTIFS($A$2:$A$301,A212,$C$2:$C$301,C212)&gt;1,"⚠ Folga duplicada",IF(COUNTIFS(FÉRIAS!$A$2:$A$301,A212,FÉRIAS!$C$2:$C$301,"&lt;="&amp;C212,FÉRIAS!$D$2:$D$301,"&gt;="&amp;C212)&gt;0,"⚠ Está de férias nesta data",IF(COUNTIFS(NATAL!$A$2:$A$301,A212,NATAL!$C$2:$C$301,C212,NATAL!$D$2:$D$301,"FOLGA")+COUNTIFS('ANO NOVO'!$A$2:$A$301,A212,'ANO NOVO'!$C$2:$C$301,C212,'ANO NOVO'!$D$2:$D$301,"FOLGA")&gt;0,"⚠ Folga já lançada em NATAL/ANO NOVO",IF(COUNTIFS(NATAL!$A$2:$A$301,A212,NATAL!$C$2:$C$301,C212,NATAL!$D$2:$D$301,"TRABALHA")+COUNTIFS('ANO NOVO'!$A$2:$A$301,A212,'ANO NOVO'!$C$2:$C$301,C212,'ANO NOVO'!$D$2:$D$301,"TRABALHA")&gt;0,"⚠ Marcado TRABALHA em NATAL/ANO NOVO",IF(COUNTIFS($B$2:$B$301,B212,$C$2:$C$301,C212)&gt;1,"⚠ "&amp;COUNTIFS($B$2:$B$301,B212,$C$2:$C$301,C212)&amp;" pessoas do setor de folga no dia",""))))))</f>
        <v/>
      </c>
    </row>
    <row r="213" customFormat="false" ht="15" hidden="false" customHeight="true" outlineLevel="0" collapsed="false">
      <c r="A213" s="54"/>
      <c r="B213" s="54"/>
      <c r="C213" s="53"/>
      <c r="D213" s="54"/>
      <c r="E213" s="55" t="str">
        <f aca="false">IF(ISNUMBER(C213),CHOOSE(WEEKDAY(C213),"Domingo","Segunda","Terça","Quarta","Quinta","Sexta","Sábado"),"")</f>
        <v/>
      </c>
      <c r="F213" s="55" t="str">
        <f aca="true">IF(NOT(ISNUMBER(C213)),"",IF(C213=TODAY(),"HOJE",IF(C213=TODAY()+1,"AMANHÃ",IF(C213&lt;TODAY(),"Realizada",IF(C213-TODAY()&lt;=7,"Em "&amp;(C213-TODAY())&amp;" dias","Agendada")))))</f>
        <v/>
      </c>
      <c r="G213" s="55" t="str">
        <f aca="false">IF(OR(A213="",NOT(ISNUMBER(C213))),"",IF(COUNTIFS($A$2:$A$301,A213,$C$2:$C$301,C213)&gt;1,"⚠ Folga duplicada",IF(COUNTIFS(FÉRIAS!$A$2:$A$301,A213,FÉRIAS!$C$2:$C$301,"&lt;="&amp;C213,FÉRIAS!$D$2:$D$301,"&gt;="&amp;C213)&gt;0,"⚠ Está de férias nesta data",IF(COUNTIFS(NATAL!$A$2:$A$301,A213,NATAL!$C$2:$C$301,C213,NATAL!$D$2:$D$301,"FOLGA")+COUNTIFS('ANO NOVO'!$A$2:$A$301,A213,'ANO NOVO'!$C$2:$C$301,C213,'ANO NOVO'!$D$2:$D$301,"FOLGA")&gt;0,"⚠ Folga já lançada em NATAL/ANO NOVO",IF(COUNTIFS(NATAL!$A$2:$A$301,A213,NATAL!$C$2:$C$301,C213,NATAL!$D$2:$D$301,"TRABALHA")+COUNTIFS('ANO NOVO'!$A$2:$A$301,A213,'ANO NOVO'!$C$2:$C$301,C213,'ANO NOVO'!$D$2:$D$301,"TRABALHA")&gt;0,"⚠ Marcado TRABALHA em NATAL/ANO NOVO",IF(COUNTIFS($B$2:$B$301,B213,$C$2:$C$301,C213)&gt;1,"⚠ "&amp;COUNTIFS($B$2:$B$301,B213,$C$2:$C$301,C213)&amp;" pessoas do setor de folga no dia",""))))))</f>
        <v/>
      </c>
    </row>
    <row r="214" customFormat="false" ht="15" hidden="false" customHeight="true" outlineLevel="0" collapsed="false">
      <c r="A214" s="54"/>
      <c r="B214" s="54"/>
      <c r="C214" s="53"/>
      <c r="D214" s="54"/>
      <c r="E214" s="55" t="str">
        <f aca="false">IF(ISNUMBER(C214),CHOOSE(WEEKDAY(C214),"Domingo","Segunda","Terça","Quarta","Quinta","Sexta","Sábado"),"")</f>
        <v/>
      </c>
      <c r="F214" s="55" t="str">
        <f aca="true">IF(NOT(ISNUMBER(C214)),"",IF(C214=TODAY(),"HOJE",IF(C214=TODAY()+1,"AMANHÃ",IF(C214&lt;TODAY(),"Realizada",IF(C214-TODAY()&lt;=7,"Em "&amp;(C214-TODAY())&amp;" dias","Agendada")))))</f>
        <v/>
      </c>
      <c r="G214" s="55" t="str">
        <f aca="false">IF(OR(A214="",NOT(ISNUMBER(C214))),"",IF(COUNTIFS($A$2:$A$301,A214,$C$2:$C$301,C214)&gt;1,"⚠ Folga duplicada",IF(COUNTIFS(FÉRIAS!$A$2:$A$301,A214,FÉRIAS!$C$2:$C$301,"&lt;="&amp;C214,FÉRIAS!$D$2:$D$301,"&gt;="&amp;C214)&gt;0,"⚠ Está de férias nesta data",IF(COUNTIFS(NATAL!$A$2:$A$301,A214,NATAL!$C$2:$C$301,C214,NATAL!$D$2:$D$301,"FOLGA")+COUNTIFS('ANO NOVO'!$A$2:$A$301,A214,'ANO NOVO'!$C$2:$C$301,C214,'ANO NOVO'!$D$2:$D$301,"FOLGA")&gt;0,"⚠ Folga já lançada em NATAL/ANO NOVO",IF(COUNTIFS(NATAL!$A$2:$A$301,A214,NATAL!$C$2:$C$301,C214,NATAL!$D$2:$D$301,"TRABALHA")+COUNTIFS('ANO NOVO'!$A$2:$A$301,A214,'ANO NOVO'!$C$2:$C$301,C214,'ANO NOVO'!$D$2:$D$301,"TRABALHA")&gt;0,"⚠ Marcado TRABALHA em NATAL/ANO NOVO",IF(COUNTIFS($B$2:$B$301,B214,$C$2:$C$301,C214)&gt;1,"⚠ "&amp;COUNTIFS($B$2:$B$301,B214,$C$2:$C$301,C214)&amp;" pessoas do setor de folga no dia",""))))))</f>
        <v/>
      </c>
    </row>
    <row r="215" customFormat="false" ht="15" hidden="false" customHeight="true" outlineLevel="0" collapsed="false">
      <c r="A215" s="54"/>
      <c r="B215" s="54"/>
      <c r="C215" s="53"/>
      <c r="D215" s="54"/>
      <c r="E215" s="55" t="str">
        <f aca="false">IF(ISNUMBER(C215),CHOOSE(WEEKDAY(C215),"Domingo","Segunda","Terça","Quarta","Quinta","Sexta","Sábado"),"")</f>
        <v/>
      </c>
      <c r="F215" s="55" t="str">
        <f aca="true">IF(NOT(ISNUMBER(C215)),"",IF(C215=TODAY(),"HOJE",IF(C215=TODAY()+1,"AMANHÃ",IF(C215&lt;TODAY(),"Realizada",IF(C215-TODAY()&lt;=7,"Em "&amp;(C215-TODAY())&amp;" dias","Agendada")))))</f>
        <v/>
      </c>
      <c r="G215" s="55" t="str">
        <f aca="false">IF(OR(A215="",NOT(ISNUMBER(C215))),"",IF(COUNTIFS($A$2:$A$301,A215,$C$2:$C$301,C215)&gt;1,"⚠ Folga duplicada",IF(COUNTIFS(FÉRIAS!$A$2:$A$301,A215,FÉRIAS!$C$2:$C$301,"&lt;="&amp;C215,FÉRIAS!$D$2:$D$301,"&gt;="&amp;C215)&gt;0,"⚠ Está de férias nesta data",IF(COUNTIFS(NATAL!$A$2:$A$301,A215,NATAL!$C$2:$C$301,C215,NATAL!$D$2:$D$301,"FOLGA")+COUNTIFS('ANO NOVO'!$A$2:$A$301,A215,'ANO NOVO'!$C$2:$C$301,C215,'ANO NOVO'!$D$2:$D$301,"FOLGA")&gt;0,"⚠ Folga já lançada em NATAL/ANO NOVO",IF(COUNTIFS(NATAL!$A$2:$A$301,A215,NATAL!$C$2:$C$301,C215,NATAL!$D$2:$D$301,"TRABALHA")+COUNTIFS('ANO NOVO'!$A$2:$A$301,A215,'ANO NOVO'!$C$2:$C$301,C215,'ANO NOVO'!$D$2:$D$301,"TRABALHA")&gt;0,"⚠ Marcado TRABALHA em NATAL/ANO NOVO",IF(COUNTIFS($B$2:$B$301,B215,$C$2:$C$301,C215)&gt;1,"⚠ "&amp;COUNTIFS($B$2:$B$301,B215,$C$2:$C$301,C215)&amp;" pessoas do setor de folga no dia",""))))))</f>
        <v/>
      </c>
    </row>
    <row r="216" customFormat="false" ht="15" hidden="false" customHeight="true" outlineLevel="0" collapsed="false">
      <c r="A216" s="54"/>
      <c r="B216" s="54"/>
      <c r="C216" s="53"/>
      <c r="D216" s="54"/>
      <c r="E216" s="55" t="str">
        <f aca="false">IF(ISNUMBER(C216),CHOOSE(WEEKDAY(C216),"Domingo","Segunda","Terça","Quarta","Quinta","Sexta","Sábado"),"")</f>
        <v/>
      </c>
      <c r="F216" s="55" t="str">
        <f aca="true">IF(NOT(ISNUMBER(C216)),"",IF(C216=TODAY(),"HOJE",IF(C216=TODAY()+1,"AMANHÃ",IF(C216&lt;TODAY(),"Realizada",IF(C216-TODAY()&lt;=7,"Em "&amp;(C216-TODAY())&amp;" dias","Agendada")))))</f>
        <v/>
      </c>
      <c r="G216" s="55" t="str">
        <f aca="false">IF(OR(A216="",NOT(ISNUMBER(C216))),"",IF(COUNTIFS($A$2:$A$301,A216,$C$2:$C$301,C216)&gt;1,"⚠ Folga duplicada",IF(COUNTIFS(FÉRIAS!$A$2:$A$301,A216,FÉRIAS!$C$2:$C$301,"&lt;="&amp;C216,FÉRIAS!$D$2:$D$301,"&gt;="&amp;C216)&gt;0,"⚠ Está de férias nesta data",IF(COUNTIFS(NATAL!$A$2:$A$301,A216,NATAL!$C$2:$C$301,C216,NATAL!$D$2:$D$301,"FOLGA")+COUNTIFS('ANO NOVO'!$A$2:$A$301,A216,'ANO NOVO'!$C$2:$C$301,C216,'ANO NOVO'!$D$2:$D$301,"FOLGA")&gt;0,"⚠ Folga já lançada em NATAL/ANO NOVO",IF(COUNTIFS(NATAL!$A$2:$A$301,A216,NATAL!$C$2:$C$301,C216,NATAL!$D$2:$D$301,"TRABALHA")+COUNTIFS('ANO NOVO'!$A$2:$A$301,A216,'ANO NOVO'!$C$2:$C$301,C216,'ANO NOVO'!$D$2:$D$301,"TRABALHA")&gt;0,"⚠ Marcado TRABALHA em NATAL/ANO NOVO",IF(COUNTIFS($B$2:$B$301,B216,$C$2:$C$301,C216)&gt;1,"⚠ "&amp;COUNTIFS($B$2:$B$301,B216,$C$2:$C$301,C216)&amp;" pessoas do setor de folga no dia",""))))))</f>
        <v/>
      </c>
    </row>
    <row r="217" customFormat="false" ht="15" hidden="false" customHeight="true" outlineLevel="0" collapsed="false">
      <c r="A217" s="54"/>
      <c r="B217" s="54"/>
      <c r="C217" s="53"/>
      <c r="D217" s="54"/>
      <c r="E217" s="55" t="str">
        <f aca="false">IF(ISNUMBER(C217),CHOOSE(WEEKDAY(C217),"Domingo","Segunda","Terça","Quarta","Quinta","Sexta","Sábado"),"")</f>
        <v/>
      </c>
      <c r="F217" s="55" t="str">
        <f aca="true">IF(NOT(ISNUMBER(C217)),"",IF(C217=TODAY(),"HOJE",IF(C217=TODAY()+1,"AMANHÃ",IF(C217&lt;TODAY(),"Realizada",IF(C217-TODAY()&lt;=7,"Em "&amp;(C217-TODAY())&amp;" dias","Agendada")))))</f>
        <v/>
      </c>
      <c r="G217" s="55" t="str">
        <f aca="false">IF(OR(A217="",NOT(ISNUMBER(C217))),"",IF(COUNTIFS($A$2:$A$301,A217,$C$2:$C$301,C217)&gt;1,"⚠ Folga duplicada",IF(COUNTIFS(FÉRIAS!$A$2:$A$301,A217,FÉRIAS!$C$2:$C$301,"&lt;="&amp;C217,FÉRIAS!$D$2:$D$301,"&gt;="&amp;C217)&gt;0,"⚠ Está de férias nesta data",IF(COUNTIFS(NATAL!$A$2:$A$301,A217,NATAL!$C$2:$C$301,C217,NATAL!$D$2:$D$301,"FOLGA")+COUNTIFS('ANO NOVO'!$A$2:$A$301,A217,'ANO NOVO'!$C$2:$C$301,C217,'ANO NOVO'!$D$2:$D$301,"FOLGA")&gt;0,"⚠ Folga já lançada em NATAL/ANO NOVO",IF(COUNTIFS(NATAL!$A$2:$A$301,A217,NATAL!$C$2:$C$301,C217,NATAL!$D$2:$D$301,"TRABALHA")+COUNTIFS('ANO NOVO'!$A$2:$A$301,A217,'ANO NOVO'!$C$2:$C$301,C217,'ANO NOVO'!$D$2:$D$301,"TRABALHA")&gt;0,"⚠ Marcado TRABALHA em NATAL/ANO NOVO",IF(COUNTIFS($B$2:$B$301,B217,$C$2:$C$301,C217)&gt;1,"⚠ "&amp;COUNTIFS($B$2:$B$301,B217,$C$2:$C$301,C217)&amp;" pessoas do setor de folga no dia",""))))))</f>
        <v/>
      </c>
    </row>
    <row r="218" customFormat="false" ht="15" hidden="false" customHeight="true" outlineLevel="0" collapsed="false">
      <c r="A218" s="54"/>
      <c r="B218" s="54"/>
      <c r="C218" s="53"/>
      <c r="D218" s="54"/>
      <c r="E218" s="55" t="str">
        <f aca="false">IF(ISNUMBER(C218),CHOOSE(WEEKDAY(C218),"Domingo","Segunda","Terça","Quarta","Quinta","Sexta","Sábado"),"")</f>
        <v/>
      </c>
      <c r="F218" s="55" t="str">
        <f aca="true">IF(NOT(ISNUMBER(C218)),"",IF(C218=TODAY(),"HOJE",IF(C218=TODAY()+1,"AMANHÃ",IF(C218&lt;TODAY(),"Realizada",IF(C218-TODAY()&lt;=7,"Em "&amp;(C218-TODAY())&amp;" dias","Agendada")))))</f>
        <v/>
      </c>
      <c r="G218" s="55" t="str">
        <f aca="false">IF(OR(A218="",NOT(ISNUMBER(C218))),"",IF(COUNTIFS($A$2:$A$301,A218,$C$2:$C$301,C218)&gt;1,"⚠ Folga duplicada",IF(COUNTIFS(FÉRIAS!$A$2:$A$301,A218,FÉRIAS!$C$2:$C$301,"&lt;="&amp;C218,FÉRIAS!$D$2:$D$301,"&gt;="&amp;C218)&gt;0,"⚠ Está de férias nesta data",IF(COUNTIFS(NATAL!$A$2:$A$301,A218,NATAL!$C$2:$C$301,C218,NATAL!$D$2:$D$301,"FOLGA")+COUNTIFS('ANO NOVO'!$A$2:$A$301,A218,'ANO NOVO'!$C$2:$C$301,C218,'ANO NOVO'!$D$2:$D$301,"FOLGA")&gt;0,"⚠ Folga já lançada em NATAL/ANO NOVO",IF(COUNTIFS(NATAL!$A$2:$A$301,A218,NATAL!$C$2:$C$301,C218,NATAL!$D$2:$D$301,"TRABALHA")+COUNTIFS('ANO NOVO'!$A$2:$A$301,A218,'ANO NOVO'!$C$2:$C$301,C218,'ANO NOVO'!$D$2:$D$301,"TRABALHA")&gt;0,"⚠ Marcado TRABALHA em NATAL/ANO NOVO",IF(COUNTIFS($B$2:$B$301,B218,$C$2:$C$301,C218)&gt;1,"⚠ "&amp;COUNTIFS($B$2:$B$301,B218,$C$2:$C$301,C218)&amp;" pessoas do setor de folga no dia",""))))))</f>
        <v/>
      </c>
    </row>
    <row r="219" customFormat="false" ht="15" hidden="false" customHeight="true" outlineLevel="0" collapsed="false">
      <c r="A219" s="54"/>
      <c r="B219" s="54"/>
      <c r="C219" s="53"/>
      <c r="D219" s="54"/>
      <c r="E219" s="55" t="str">
        <f aca="false">IF(ISNUMBER(C219),CHOOSE(WEEKDAY(C219),"Domingo","Segunda","Terça","Quarta","Quinta","Sexta","Sábado"),"")</f>
        <v/>
      </c>
      <c r="F219" s="55" t="str">
        <f aca="true">IF(NOT(ISNUMBER(C219)),"",IF(C219=TODAY(),"HOJE",IF(C219=TODAY()+1,"AMANHÃ",IF(C219&lt;TODAY(),"Realizada",IF(C219-TODAY()&lt;=7,"Em "&amp;(C219-TODAY())&amp;" dias","Agendada")))))</f>
        <v/>
      </c>
      <c r="G219" s="55" t="str">
        <f aca="false">IF(OR(A219="",NOT(ISNUMBER(C219))),"",IF(COUNTIFS($A$2:$A$301,A219,$C$2:$C$301,C219)&gt;1,"⚠ Folga duplicada",IF(COUNTIFS(FÉRIAS!$A$2:$A$301,A219,FÉRIAS!$C$2:$C$301,"&lt;="&amp;C219,FÉRIAS!$D$2:$D$301,"&gt;="&amp;C219)&gt;0,"⚠ Está de férias nesta data",IF(COUNTIFS(NATAL!$A$2:$A$301,A219,NATAL!$C$2:$C$301,C219,NATAL!$D$2:$D$301,"FOLGA")+COUNTIFS('ANO NOVO'!$A$2:$A$301,A219,'ANO NOVO'!$C$2:$C$301,C219,'ANO NOVO'!$D$2:$D$301,"FOLGA")&gt;0,"⚠ Folga já lançada em NATAL/ANO NOVO",IF(COUNTIFS(NATAL!$A$2:$A$301,A219,NATAL!$C$2:$C$301,C219,NATAL!$D$2:$D$301,"TRABALHA")+COUNTIFS('ANO NOVO'!$A$2:$A$301,A219,'ANO NOVO'!$C$2:$C$301,C219,'ANO NOVO'!$D$2:$D$301,"TRABALHA")&gt;0,"⚠ Marcado TRABALHA em NATAL/ANO NOVO",IF(COUNTIFS($B$2:$B$301,B219,$C$2:$C$301,C219)&gt;1,"⚠ "&amp;COUNTIFS($B$2:$B$301,B219,$C$2:$C$301,C219)&amp;" pessoas do setor de folga no dia",""))))))</f>
        <v/>
      </c>
    </row>
    <row r="220" customFormat="false" ht="15" hidden="false" customHeight="true" outlineLevel="0" collapsed="false">
      <c r="A220" s="54"/>
      <c r="B220" s="54"/>
      <c r="C220" s="53"/>
      <c r="D220" s="54"/>
      <c r="E220" s="55" t="str">
        <f aca="false">IF(ISNUMBER(C220),CHOOSE(WEEKDAY(C220),"Domingo","Segunda","Terça","Quarta","Quinta","Sexta","Sábado"),"")</f>
        <v/>
      </c>
      <c r="F220" s="55" t="str">
        <f aca="true">IF(NOT(ISNUMBER(C220)),"",IF(C220=TODAY(),"HOJE",IF(C220=TODAY()+1,"AMANHÃ",IF(C220&lt;TODAY(),"Realizada",IF(C220-TODAY()&lt;=7,"Em "&amp;(C220-TODAY())&amp;" dias","Agendada")))))</f>
        <v/>
      </c>
      <c r="G220" s="55" t="str">
        <f aca="false">IF(OR(A220="",NOT(ISNUMBER(C220))),"",IF(COUNTIFS($A$2:$A$301,A220,$C$2:$C$301,C220)&gt;1,"⚠ Folga duplicada",IF(COUNTIFS(FÉRIAS!$A$2:$A$301,A220,FÉRIAS!$C$2:$C$301,"&lt;="&amp;C220,FÉRIAS!$D$2:$D$301,"&gt;="&amp;C220)&gt;0,"⚠ Está de férias nesta data",IF(COUNTIFS(NATAL!$A$2:$A$301,A220,NATAL!$C$2:$C$301,C220,NATAL!$D$2:$D$301,"FOLGA")+COUNTIFS('ANO NOVO'!$A$2:$A$301,A220,'ANO NOVO'!$C$2:$C$301,C220,'ANO NOVO'!$D$2:$D$301,"FOLGA")&gt;0,"⚠ Folga já lançada em NATAL/ANO NOVO",IF(COUNTIFS(NATAL!$A$2:$A$301,A220,NATAL!$C$2:$C$301,C220,NATAL!$D$2:$D$301,"TRABALHA")+COUNTIFS('ANO NOVO'!$A$2:$A$301,A220,'ANO NOVO'!$C$2:$C$301,C220,'ANO NOVO'!$D$2:$D$301,"TRABALHA")&gt;0,"⚠ Marcado TRABALHA em NATAL/ANO NOVO",IF(COUNTIFS($B$2:$B$301,B220,$C$2:$C$301,C220)&gt;1,"⚠ "&amp;COUNTIFS($B$2:$B$301,B220,$C$2:$C$301,C220)&amp;" pessoas do setor de folga no dia",""))))))</f>
        <v/>
      </c>
    </row>
    <row r="221" customFormat="false" ht="15" hidden="false" customHeight="true" outlineLevel="0" collapsed="false">
      <c r="A221" s="54"/>
      <c r="B221" s="54"/>
      <c r="C221" s="53"/>
      <c r="D221" s="54"/>
      <c r="E221" s="55" t="str">
        <f aca="false">IF(ISNUMBER(C221),CHOOSE(WEEKDAY(C221),"Domingo","Segunda","Terça","Quarta","Quinta","Sexta","Sábado"),"")</f>
        <v/>
      </c>
      <c r="F221" s="55" t="str">
        <f aca="true">IF(NOT(ISNUMBER(C221)),"",IF(C221=TODAY(),"HOJE",IF(C221=TODAY()+1,"AMANHÃ",IF(C221&lt;TODAY(),"Realizada",IF(C221-TODAY()&lt;=7,"Em "&amp;(C221-TODAY())&amp;" dias","Agendada")))))</f>
        <v/>
      </c>
      <c r="G221" s="55" t="str">
        <f aca="false">IF(OR(A221="",NOT(ISNUMBER(C221))),"",IF(COUNTIFS($A$2:$A$301,A221,$C$2:$C$301,C221)&gt;1,"⚠ Folga duplicada",IF(COUNTIFS(FÉRIAS!$A$2:$A$301,A221,FÉRIAS!$C$2:$C$301,"&lt;="&amp;C221,FÉRIAS!$D$2:$D$301,"&gt;="&amp;C221)&gt;0,"⚠ Está de férias nesta data",IF(COUNTIFS(NATAL!$A$2:$A$301,A221,NATAL!$C$2:$C$301,C221,NATAL!$D$2:$D$301,"FOLGA")+COUNTIFS('ANO NOVO'!$A$2:$A$301,A221,'ANO NOVO'!$C$2:$C$301,C221,'ANO NOVO'!$D$2:$D$301,"FOLGA")&gt;0,"⚠ Folga já lançada em NATAL/ANO NOVO",IF(COUNTIFS(NATAL!$A$2:$A$301,A221,NATAL!$C$2:$C$301,C221,NATAL!$D$2:$D$301,"TRABALHA")+COUNTIFS('ANO NOVO'!$A$2:$A$301,A221,'ANO NOVO'!$C$2:$C$301,C221,'ANO NOVO'!$D$2:$D$301,"TRABALHA")&gt;0,"⚠ Marcado TRABALHA em NATAL/ANO NOVO",IF(COUNTIFS($B$2:$B$301,B221,$C$2:$C$301,C221)&gt;1,"⚠ "&amp;COUNTIFS($B$2:$B$301,B221,$C$2:$C$301,C221)&amp;" pessoas do setor de folga no dia",""))))))</f>
        <v/>
      </c>
    </row>
    <row r="222" customFormat="false" ht="15" hidden="false" customHeight="true" outlineLevel="0" collapsed="false">
      <c r="A222" s="54"/>
      <c r="B222" s="54"/>
      <c r="C222" s="53"/>
      <c r="D222" s="54"/>
      <c r="E222" s="55" t="str">
        <f aca="false">IF(ISNUMBER(C222),CHOOSE(WEEKDAY(C222),"Domingo","Segunda","Terça","Quarta","Quinta","Sexta","Sábado"),"")</f>
        <v/>
      </c>
      <c r="F222" s="55" t="str">
        <f aca="true">IF(NOT(ISNUMBER(C222)),"",IF(C222=TODAY(),"HOJE",IF(C222=TODAY()+1,"AMANHÃ",IF(C222&lt;TODAY(),"Realizada",IF(C222-TODAY()&lt;=7,"Em "&amp;(C222-TODAY())&amp;" dias","Agendada")))))</f>
        <v/>
      </c>
      <c r="G222" s="55" t="str">
        <f aca="false">IF(OR(A222="",NOT(ISNUMBER(C222))),"",IF(COUNTIFS($A$2:$A$301,A222,$C$2:$C$301,C222)&gt;1,"⚠ Folga duplicada",IF(COUNTIFS(FÉRIAS!$A$2:$A$301,A222,FÉRIAS!$C$2:$C$301,"&lt;="&amp;C222,FÉRIAS!$D$2:$D$301,"&gt;="&amp;C222)&gt;0,"⚠ Está de férias nesta data",IF(COUNTIFS(NATAL!$A$2:$A$301,A222,NATAL!$C$2:$C$301,C222,NATAL!$D$2:$D$301,"FOLGA")+COUNTIFS('ANO NOVO'!$A$2:$A$301,A222,'ANO NOVO'!$C$2:$C$301,C222,'ANO NOVO'!$D$2:$D$301,"FOLGA")&gt;0,"⚠ Folga já lançada em NATAL/ANO NOVO",IF(COUNTIFS(NATAL!$A$2:$A$301,A222,NATAL!$C$2:$C$301,C222,NATAL!$D$2:$D$301,"TRABALHA")+COUNTIFS('ANO NOVO'!$A$2:$A$301,A222,'ANO NOVO'!$C$2:$C$301,C222,'ANO NOVO'!$D$2:$D$301,"TRABALHA")&gt;0,"⚠ Marcado TRABALHA em NATAL/ANO NOVO",IF(COUNTIFS($B$2:$B$301,B222,$C$2:$C$301,C222)&gt;1,"⚠ "&amp;COUNTIFS($B$2:$B$301,B222,$C$2:$C$301,C222)&amp;" pessoas do setor de folga no dia",""))))))</f>
        <v/>
      </c>
    </row>
    <row r="223" customFormat="false" ht="15" hidden="false" customHeight="true" outlineLevel="0" collapsed="false">
      <c r="A223" s="54"/>
      <c r="B223" s="54"/>
      <c r="C223" s="53"/>
      <c r="D223" s="54"/>
      <c r="E223" s="55" t="str">
        <f aca="false">IF(ISNUMBER(C223),CHOOSE(WEEKDAY(C223),"Domingo","Segunda","Terça","Quarta","Quinta","Sexta","Sábado"),"")</f>
        <v/>
      </c>
      <c r="F223" s="55" t="str">
        <f aca="true">IF(NOT(ISNUMBER(C223)),"",IF(C223=TODAY(),"HOJE",IF(C223=TODAY()+1,"AMANHÃ",IF(C223&lt;TODAY(),"Realizada",IF(C223-TODAY()&lt;=7,"Em "&amp;(C223-TODAY())&amp;" dias","Agendada")))))</f>
        <v/>
      </c>
      <c r="G223" s="55" t="str">
        <f aca="false">IF(OR(A223="",NOT(ISNUMBER(C223))),"",IF(COUNTIFS($A$2:$A$301,A223,$C$2:$C$301,C223)&gt;1,"⚠ Folga duplicada",IF(COUNTIFS(FÉRIAS!$A$2:$A$301,A223,FÉRIAS!$C$2:$C$301,"&lt;="&amp;C223,FÉRIAS!$D$2:$D$301,"&gt;="&amp;C223)&gt;0,"⚠ Está de férias nesta data",IF(COUNTIFS(NATAL!$A$2:$A$301,A223,NATAL!$C$2:$C$301,C223,NATAL!$D$2:$D$301,"FOLGA")+COUNTIFS('ANO NOVO'!$A$2:$A$301,A223,'ANO NOVO'!$C$2:$C$301,C223,'ANO NOVO'!$D$2:$D$301,"FOLGA")&gt;0,"⚠ Folga já lançada em NATAL/ANO NOVO",IF(COUNTIFS(NATAL!$A$2:$A$301,A223,NATAL!$C$2:$C$301,C223,NATAL!$D$2:$D$301,"TRABALHA")+COUNTIFS('ANO NOVO'!$A$2:$A$301,A223,'ANO NOVO'!$C$2:$C$301,C223,'ANO NOVO'!$D$2:$D$301,"TRABALHA")&gt;0,"⚠ Marcado TRABALHA em NATAL/ANO NOVO",IF(COUNTIFS($B$2:$B$301,B223,$C$2:$C$301,C223)&gt;1,"⚠ "&amp;COUNTIFS($B$2:$B$301,B223,$C$2:$C$301,C223)&amp;" pessoas do setor de folga no dia",""))))))</f>
        <v/>
      </c>
    </row>
    <row r="224" customFormat="false" ht="15" hidden="false" customHeight="true" outlineLevel="0" collapsed="false">
      <c r="A224" s="54"/>
      <c r="B224" s="54"/>
      <c r="C224" s="53"/>
      <c r="D224" s="54"/>
      <c r="E224" s="55" t="str">
        <f aca="false">IF(ISNUMBER(C224),CHOOSE(WEEKDAY(C224),"Domingo","Segunda","Terça","Quarta","Quinta","Sexta","Sábado"),"")</f>
        <v/>
      </c>
      <c r="F224" s="55" t="str">
        <f aca="true">IF(NOT(ISNUMBER(C224)),"",IF(C224=TODAY(),"HOJE",IF(C224=TODAY()+1,"AMANHÃ",IF(C224&lt;TODAY(),"Realizada",IF(C224-TODAY()&lt;=7,"Em "&amp;(C224-TODAY())&amp;" dias","Agendada")))))</f>
        <v/>
      </c>
      <c r="G224" s="55" t="str">
        <f aca="false">IF(OR(A224="",NOT(ISNUMBER(C224))),"",IF(COUNTIFS($A$2:$A$301,A224,$C$2:$C$301,C224)&gt;1,"⚠ Folga duplicada",IF(COUNTIFS(FÉRIAS!$A$2:$A$301,A224,FÉRIAS!$C$2:$C$301,"&lt;="&amp;C224,FÉRIAS!$D$2:$D$301,"&gt;="&amp;C224)&gt;0,"⚠ Está de férias nesta data",IF(COUNTIFS(NATAL!$A$2:$A$301,A224,NATAL!$C$2:$C$301,C224,NATAL!$D$2:$D$301,"FOLGA")+COUNTIFS('ANO NOVO'!$A$2:$A$301,A224,'ANO NOVO'!$C$2:$C$301,C224,'ANO NOVO'!$D$2:$D$301,"FOLGA")&gt;0,"⚠ Folga já lançada em NATAL/ANO NOVO",IF(COUNTIFS(NATAL!$A$2:$A$301,A224,NATAL!$C$2:$C$301,C224,NATAL!$D$2:$D$301,"TRABALHA")+COUNTIFS('ANO NOVO'!$A$2:$A$301,A224,'ANO NOVO'!$C$2:$C$301,C224,'ANO NOVO'!$D$2:$D$301,"TRABALHA")&gt;0,"⚠ Marcado TRABALHA em NATAL/ANO NOVO",IF(COUNTIFS($B$2:$B$301,B224,$C$2:$C$301,C224)&gt;1,"⚠ "&amp;COUNTIFS($B$2:$B$301,B224,$C$2:$C$301,C224)&amp;" pessoas do setor de folga no dia",""))))))</f>
        <v/>
      </c>
    </row>
    <row r="225" customFormat="false" ht="15" hidden="false" customHeight="true" outlineLevel="0" collapsed="false">
      <c r="A225" s="54"/>
      <c r="B225" s="54"/>
      <c r="C225" s="53"/>
      <c r="D225" s="54"/>
      <c r="E225" s="55" t="str">
        <f aca="false">IF(ISNUMBER(C225),CHOOSE(WEEKDAY(C225),"Domingo","Segunda","Terça","Quarta","Quinta","Sexta","Sábado"),"")</f>
        <v/>
      </c>
      <c r="F225" s="55" t="str">
        <f aca="true">IF(NOT(ISNUMBER(C225)),"",IF(C225=TODAY(),"HOJE",IF(C225=TODAY()+1,"AMANHÃ",IF(C225&lt;TODAY(),"Realizada",IF(C225-TODAY()&lt;=7,"Em "&amp;(C225-TODAY())&amp;" dias","Agendada")))))</f>
        <v/>
      </c>
      <c r="G225" s="55" t="str">
        <f aca="false">IF(OR(A225="",NOT(ISNUMBER(C225))),"",IF(COUNTIFS($A$2:$A$301,A225,$C$2:$C$301,C225)&gt;1,"⚠ Folga duplicada",IF(COUNTIFS(FÉRIAS!$A$2:$A$301,A225,FÉRIAS!$C$2:$C$301,"&lt;="&amp;C225,FÉRIAS!$D$2:$D$301,"&gt;="&amp;C225)&gt;0,"⚠ Está de férias nesta data",IF(COUNTIFS(NATAL!$A$2:$A$301,A225,NATAL!$C$2:$C$301,C225,NATAL!$D$2:$D$301,"FOLGA")+COUNTIFS('ANO NOVO'!$A$2:$A$301,A225,'ANO NOVO'!$C$2:$C$301,C225,'ANO NOVO'!$D$2:$D$301,"FOLGA")&gt;0,"⚠ Folga já lançada em NATAL/ANO NOVO",IF(COUNTIFS(NATAL!$A$2:$A$301,A225,NATAL!$C$2:$C$301,C225,NATAL!$D$2:$D$301,"TRABALHA")+COUNTIFS('ANO NOVO'!$A$2:$A$301,A225,'ANO NOVO'!$C$2:$C$301,C225,'ANO NOVO'!$D$2:$D$301,"TRABALHA")&gt;0,"⚠ Marcado TRABALHA em NATAL/ANO NOVO",IF(COUNTIFS($B$2:$B$301,B225,$C$2:$C$301,C225)&gt;1,"⚠ "&amp;COUNTIFS($B$2:$B$301,B225,$C$2:$C$301,C225)&amp;" pessoas do setor de folga no dia",""))))))</f>
        <v/>
      </c>
    </row>
    <row r="226" customFormat="false" ht="15" hidden="false" customHeight="true" outlineLevel="0" collapsed="false">
      <c r="A226" s="54"/>
      <c r="B226" s="54"/>
      <c r="C226" s="53"/>
      <c r="D226" s="54"/>
      <c r="E226" s="55" t="str">
        <f aca="false">IF(ISNUMBER(C226),CHOOSE(WEEKDAY(C226),"Domingo","Segunda","Terça","Quarta","Quinta","Sexta","Sábado"),"")</f>
        <v/>
      </c>
      <c r="F226" s="55" t="str">
        <f aca="true">IF(NOT(ISNUMBER(C226)),"",IF(C226=TODAY(),"HOJE",IF(C226=TODAY()+1,"AMANHÃ",IF(C226&lt;TODAY(),"Realizada",IF(C226-TODAY()&lt;=7,"Em "&amp;(C226-TODAY())&amp;" dias","Agendada")))))</f>
        <v/>
      </c>
      <c r="G226" s="55" t="str">
        <f aca="false">IF(OR(A226="",NOT(ISNUMBER(C226))),"",IF(COUNTIFS($A$2:$A$301,A226,$C$2:$C$301,C226)&gt;1,"⚠ Folga duplicada",IF(COUNTIFS(FÉRIAS!$A$2:$A$301,A226,FÉRIAS!$C$2:$C$301,"&lt;="&amp;C226,FÉRIAS!$D$2:$D$301,"&gt;="&amp;C226)&gt;0,"⚠ Está de férias nesta data",IF(COUNTIFS(NATAL!$A$2:$A$301,A226,NATAL!$C$2:$C$301,C226,NATAL!$D$2:$D$301,"FOLGA")+COUNTIFS('ANO NOVO'!$A$2:$A$301,A226,'ANO NOVO'!$C$2:$C$301,C226,'ANO NOVO'!$D$2:$D$301,"FOLGA")&gt;0,"⚠ Folga já lançada em NATAL/ANO NOVO",IF(COUNTIFS(NATAL!$A$2:$A$301,A226,NATAL!$C$2:$C$301,C226,NATAL!$D$2:$D$301,"TRABALHA")+COUNTIFS('ANO NOVO'!$A$2:$A$301,A226,'ANO NOVO'!$C$2:$C$301,C226,'ANO NOVO'!$D$2:$D$301,"TRABALHA")&gt;0,"⚠ Marcado TRABALHA em NATAL/ANO NOVO",IF(COUNTIFS($B$2:$B$301,B226,$C$2:$C$301,C226)&gt;1,"⚠ "&amp;COUNTIFS($B$2:$B$301,B226,$C$2:$C$301,C226)&amp;" pessoas do setor de folga no dia",""))))))</f>
        <v/>
      </c>
    </row>
    <row r="227" customFormat="false" ht="15" hidden="false" customHeight="true" outlineLevel="0" collapsed="false">
      <c r="A227" s="54"/>
      <c r="B227" s="54"/>
      <c r="C227" s="53"/>
      <c r="D227" s="54"/>
      <c r="E227" s="55" t="str">
        <f aca="false">IF(ISNUMBER(C227),CHOOSE(WEEKDAY(C227),"Domingo","Segunda","Terça","Quarta","Quinta","Sexta","Sábado"),"")</f>
        <v/>
      </c>
      <c r="F227" s="55" t="str">
        <f aca="true">IF(NOT(ISNUMBER(C227)),"",IF(C227=TODAY(),"HOJE",IF(C227=TODAY()+1,"AMANHÃ",IF(C227&lt;TODAY(),"Realizada",IF(C227-TODAY()&lt;=7,"Em "&amp;(C227-TODAY())&amp;" dias","Agendada")))))</f>
        <v/>
      </c>
      <c r="G227" s="55" t="str">
        <f aca="false">IF(OR(A227="",NOT(ISNUMBER(C227))),"",IF(COUNTIFS($A$2:$A$301,A227,$C$2:$C$301,C227)&gt;1,"⚠ Folga duplicada",IF(COUNTIFS(FÉRIAS!$A$2:$A$301,A227,FÉRIAS!$C$2:$C$301,"&lt;="&amp;C227,FÉRIAS!$D$2:$D$301,"&gt;="&amp;C227)&gt;0,"⚠ Está de férias nesta data",IF(COUNTIFS(NATAL!$A$2:$A$301,A227,NATAL!$C$2:$C$301,C227,NATAL!$D$2:$D$301,"FOLGA")+COUNTIFS('ANO NOVO'!$A$2:$A$301,A227,'ANO NOVO'!$C$2:$C$301,C227,'ANO NOVO'!$D$2:$D$301,"FOLGA")&gt;0,"⚠ Folga já lançada em NATAL/ANO NOVO",IF(COUNTIFS(NATAL!$A$2:$A$301,A227,NATAL!$C$2:$C$301,C227,NATAL!$D$2:$D$301,"TRABALHA")+COUNTIFS('ANO NOVO'!$A$2:$A$301,A227,'ANO NOVO'!$C$2:$C$301,C227,'ANO NOVO'!$D$2:$D$301,"TRABALHA")&gt;0,"⚠ Marcado TRABALHA em NATAL/ANO NOVO",IF(COUNTIFS($B$2:$B$301,B227,$C$2:$C$301,C227)&gt;1,"⚠ "&amp;COUNTIFS($B$2:$B$301,B227,$C$2:$C$301,C227)&amp;" pessoas do setor de folga no dia",""))))))</f>
        <v/>
      </c>
    </row>
    <row r="228" customFormat="false" ht="15" hidden="false" customHeight="true" outlineLevel="0" collapsed="false">
      <c r="A228" s="54"/>
      <c r="B228" s="54"/>
      <c r="C228" s="53"/>
      <c r="D228" s="54"/>
      <c r="E228" s="55" t="str">
        <f aca="false">IF(ISNUMBER(C228),CHOOSE(WEEKDAY(C228),"Domingo","Segunda","Terça","Quarta","Quinta","Sexta","Sábado"),"")</f>
        <v/>
      </c>
      <c r="F228" s="55" t="str">
        <f aca="true">IF(NOT(ISNUMBER(C228)),"",IF(C228=TODAY(),"HOJE",IF(C228=TODAY()+1,"AMANHÃ",IF(C228&lt;TODAY(),"Realizada",IF(C228-TODAY()&lt;=7,"Em "&amp;(C228-TODAY())&amp;" dias","Agendada")))))</f>
        <v/>
      </c>
      <c r="G228" s="55" t="str">
        <f aca="false">IF(OR(A228="",NOT(ISNUMBER(C228))),"",IF(COUNTIFS($A$2:$A$301,A228,$C$2:$C$301,C228)&gt;1,"⚠ Folga duplicada",IF(COUNTIFS(FÉRIAS!$A$2:$A$301,A228,FÉRIAS!$C$2:$C$301,"&lt;="&amp;C228,FÉRIAS!$D$2:$D$301,"&gt;="&amp;C228)&gt;0,"⚠ Está de férias nesta data",IF(COUNTIFS(NATAL!$A$2:$A$301,A228,NATAL!$C$2:$C$301,C228,NATAL!$D$2:$D$301,"FOLGA")+COUNTIFS('ANO NOVO'!$A$2:$A$301,A228,'ANO NOVO'!$C$2:$C$301,C228,'ANO NOVO'!$D$2:$D$301,"FOLGA")&gt;0,"⚠ Folga já lançada em NATAL/ANO NOVO",IF(COUNTIFS(NATAL!$A$2:$A$301,A228,NATAL!$C$2:$C$301,C228,NATAL!$D$2:$D$301,"TRABALHA")+COUNTIFS('ANO NOVO'!$A$2:$A$301,A228,'ANO NOVO'!$C$2:$C$301,C228,'ANO NOVO'!$D$2:$D$301,"TRABALHA")&gt;0,"⚠ Marcado TRABALHA em NATAL/ANO NOVO",IF(COUNTIFS($B$2:$B$301,B228,$C$2:$C$301,C228)&gt;1,"⚠ "&amp;COUNTIFS($B$2:$B$301,B228,$C$2:$C$301,C228)&amp;" pessoas do setor de folga no dia",""))))))</f>
        <v/>
      </c>
    </row>
    <row r="229" customFormat="false" ht="15" hidden="false" customHeight="true" outlineLevel="0" collapsed="false">
      <c r="A229" s="54"/>
      <c r="B229" s="54"/>
      <c r="C229" s="53"/>
      <c r="D229" s="54"/>
      <c r="E229" s="55" t="str">
        <f aca="false">IF(ISNUMBER(C229),CHOOSE(WEEKDAY(C229),"Domingo","Segunda","Terça","Quarta","Quinta","Sexta","Sábado"),"")</f>
        <v/>
      </c>
      <c r="F229" s="55" t="str">
        <f aca="true">IF(NOT(ISNUMBER(C229)),"",IF(C229=TODAY(),"HOJE",IF(C229=TODAY()+1,"AMANHÃ",IF(C229&lt;TODAY(),"Realizada",IF(C229-TODAY()&lt;=7,"Em "&amp;(C229-TODAY())&amp;" dias","Agendada")))))</f>
        <v/>
      </c>
      <c r="G229" s="55" t="str">
        <f aca="false">IF(OR(A229="",NOT(ISNUMBER(C229))),"",IF(COUNTIFS($A$2:$A$301,A229,$C$2:$C$301,C229)&gt;1,"⚠ Folga duplicada",IF(COUNTIFS(FÉRIAS!$A$2:$A$301,A229,FÉRIAS!$C$2:$C$301,"&lt;="&amp;C229,FÉRIAS!$D$2:$D$301,"&gt;="&amp;C229)&gt;0,"⚠ Está de férias nesta data",IF(COUNTIFS(NATAL!$A$2:$A$301,A229,NATAL!$C$2:$C$301,C229,NATAL!$D$2:$D$301,"FOLGA")+COUNTIFS('ANO NOVO'!$A$2:$A$301,A229,'ANO NOVO'!$C$2:$C$301,C229,'ANO NOVO'!$D$2:$D$301,"FOLGA")&gt;0,"⚠ Folga já lançada em NATAL/ANO NOVO",IF(COUNTIFS(NATAL!$A$2:$A$301,A229,NATAL!$C$2:$C$301,C229,NATAL!$D$2:$D$301,"TRABALHA")+COUNTIFS('ANO NOVO'!$A$2:$A$301,A229,'ANO NOVO'!$C$2:$C$301,C229,'ANO NOVO'!$D$2:$D$301,"TRABALHA")&gt;0,"⚠ Marcado TRABALHA em NATAL/ANO NOVO",IF(COUNTIFS($B$2:$B$301,B229,$C$2:$C$301,C229)&gt;1,"⚠ "&amp;COUNTIFS($B$2:$B$301,B229,$C$2:$C$301,C229)&amp;" pessoas do setor de folga no dia",""))))))</f>
        <v/>
      </c>
    </row>
    <row r="230" customFormat="false" ht="15" hidden="false" customHeight="true" outlineLevel="0" collapsed="false">
      <c r="A230" s="54"/>
      <c r="B230" s="54"/>
      <c r="C230" s="53"/>
      <c r="D230" s="54"/>
      <c r="E230" s="55" t="str">
        <f aca="false">IF(ISNUMBER(C230),CHOOSE(WEEKDAY(C230),"Domingo","Segunda","Terça","Quarta","Quinta","Sexta","Sábado"),"")</f>
        <v/>
      </c>
      <c r="F230" s="55" t="str">
        <f aca="true">IF(NOT(ISNUMBER(C230)),"",IF(C230=TODAY(),"HOJE",IF(C230=TODAY()+1,"AMANHÃ",IF(C230&lt;TODAY(),"Realizada",IF(C230-TODAY()&lt;=7,"Em "&amp;(C230-TODAY())&amp;" dias","Agendada")))))</f>
        <v/>
      </c>
      <c r="G230" s="55" t="str">
        <f aca="false">IF(OR(A230="",NOT(ISNUMBER(C230))),"",IF(COUNTIFS($A$2:$A$301,A230,$C$2:$C$301,C230)&gt;1,"⚠ Folga duplicada",IF(COUNTIFS(FÉRIAS!$A$2:$A$301,A230,FÉRIAS!$C$2:$C$301,"&lt;="&amp;C230,FÉRIAS!$D$2:$D$301,"&gt;="&amp;C230)&gt;0,"⚠ Está de férias nesta data",IF(COUNTIFS(NATAL!$A$2:$A$301,A230,NATAL!$C$2:$C$301,C230,NATAL!$D$2:$D$301,"FOLGA")+COUNTIFS('ANO NOVO'!$A$2:$A$301,A230,'ANO NOVO'!$C$2:$C$301,C230,'ANO NOVO'!$D$2:$D$301,"FOLGA")&gt;0,"⚠ Folga já lançada em NATAL/ANO NOVO",IF(COUNTIFS(NATAL!$A$2:$A$301,A230,NATAL!$C$2:$C$301,C230,NATAL!$D$2:$D$301,"TRABALHA")+COUNTIFS('ANO NOVO'!$A$2:$A$301,A230,'ANO NOVO'!$C$2:$C$301,C230,'ANO NOVO'!$D$2:$D$301,"TRABALHA")&gt;0,"⚠ Marcado TRABALHA em NATAL/ANO NOVO",IF(COUNTIFS($B$2:$B$301,B230,$C$2:$C$301,C230)&gt;1,"⚠ "&amp;COUNTIFS($B$2:$B$301,B230,$C$2:$C$301,C230)&amp;" pessoas do setor de folga no dia",""))))))</f>
        <v/>
      </c>
    </row>
    <row r="231" customFormat="false" ht="15" hidden="false" customHeight="true" outlineLevel="0" collapsed="false">
      <c r="A231" s="54"/>
      <c r="B231" s="54"/>
      <c r="C231" s="53"/>
      <c r="D231" s="54"/>
      <c r="E231" s="55" t="str">
        <f aca="false">IF(ISNUMBER(C231),CHOOSE(WEEKDAY(C231),"Domingo","Segunda","Terça","Quarta","Quinta","Sexta","Sábado"),"")</f>
        <v/>
      </c>
      <c r="F231" s="55" t="str">
        <f aca="true">IF(NOT(ISNUMBER(C231)),"",IF(C231=TODAY(),"HOJE",IF(C231=TODAY()+1,"AMANHÃ",IF(C231&lt;TODAY(),"Realizada",IF(C231-TODAY()&lt;=7,"Em "&amp;(C231-TODAY())&amp;" dias","Agendada")))))</f>
        <v/>
      </c>
      <c r="G231" s="55" t="str">
        <f aca="false">IF(OR(A231="",NOT(ISNUMBER(C231))),"",IF(COUNTIFS($A$2:$A$301,A231,$C$2:$C$301,C231)&gt;1,"⚠ Folga duplicada",IF(COUNTIFS(FÉRIAS!$A$2:$A$301,A231,FÉRIAS!$C$2:$C$301,"&lt;="&amp;C231,FÉRIAS!$D$2:$D$301,"&gt;="&amp;C231)&gt;0,"⚠ Está de férias nesta data",IF(COUNTIFS(NATAL!$A$2:$A$301,A231,NATAL!$C$2:$C$301,C231,NATAL!$D$2:$D$301,"FOLGA")+COUNTIFS('ANO NOVO'!$A$2:$A$301,A231,'ANO NOVO'!$C$2:$C$301,C231,'ANO NOVO'!$D$2:$D$301,"FOLGA")&gt;0,"⚠ Folga já lançada em NATAL/ANO NOVO",IF(COUNTIFS(NATAL!$A$2:$A$301,A231,NATAL!$C$2:$C$301,C231,NATAL!$D$2:$D$301,"TRABALHA")+COUNTIFS('ANO NOVO'!$A$2:$A$301,A231,'ANO NOVO'!$C$2:$C$301,C231,'ANO NOVO'!$D$2:$D$301,"TRABALHA")&gt;0,"⚠ Marcado TRABALHA em NATAL/ANO NOVO",IF(COUNTIFS($B$2:$B$301,B231,$C$2:$C$301,C231)&gt;1,"⚠ "&amp;COUNTIFS($B$2:$B$301,B231,$C$2:$C$301,C231)&amp;" pessoas do setor de folga no dia",""))))))</f>
        <v/>
      </c>
    </row>
    <row r="232" customFormat="false" ht="15" hidden="false" customHeight="true" outlineLevel="0" collapsed="false">
      <c r="A232" s="54"/>
      <c r="B232" s="54"/>
      <c r="C232" s="53"/>
      <c r="D232" s="54"/>
      <c r="E232" s="55" t="str">
        <f aca="false">IF(ISNUMBER(C232),CHOOSE(WEEKDAY(C232),"Domingo","Segunda","Terça","Quarta","Quinta","Sexta","Sábado"),"")</f>
        <v/>
      </c>
      <c r="F232" s="55" t="str">
        <f aca="true">IF(NOT(ISNUMBER(C232)),"",IF(C232=TODAY(),"HOJE",IF(C232=TODAY()+1,"AMANHÃ",IF(C232&lt;TODAY(),"Realizada",IF(C232-TODAY()&lt;=7,"Em "&amp;(C232-TODAY())&amp;" dias","Agendada")))))</f>
        <v/>
      </c>
      <c r="G232" s="55" t="str">
        <f aca="false">IF(OR(A232="",NOT(ISNUMBER(C232))),"",IF(COUNTIFS($A$2:$A$301,A232,$C$2:$C$301,C232)&gt;1,"⚠ Folga duplicada",IF(COUNTIFS(FÉRIAS!$A$2:$A$301,A232,FÉRIAS!$C$2:$C$301,"&lt;="&amp;C232,FÉRIAS!$D$2:$D$301,"&gt;="&amp;C232)&gt;0,"⚠ Está de férias nesta data",IF(COUNTIFS(NATAL!$A$2:$A$301,A232,NATAL!$C$2:$C$301,C232,NATAL!$D$2:$D$301,"FOLGA")+COUNTIFS('ANO NOVO'!$A$2:$A$301,A232,'ANO NOVO'!$C$2:$C$301,C232,'ANO NOVO'!$D$2:$D$301,"FOLGA")&gt;0,"⚠ Folga já lançada em NATAL/ANO NOVO",IF(COUNTIFS(NATAL!$A$2:$A$301,A232,NATAL!$C$2:$C$301,C232,NATAL!$D$2:$D$301,"TRABALHA")+COUNTIFS('ANO NOVO'!$A$2:$A$301,A232,'ANO NOVO'!$C$2:$C$301,C232,'ANO NOVO'!$D$2:$D$301,"TRABALHA")&gt;0,"⚠ Marcado TRABALHA em NATAL/ANO NOVO",IF(COUNTIFS($B$2:$B$301,B232,$C$2:$C$301,C232)&gt;1,"⚠ "&amp;COUNTIFS($B$2:$B$301,B232,$C$2:$C$301,C232)&amp;" pessoas do setor de folga no dia",""))))))</f>
        <v/>
      </c>
    </row>
    <row r="233" customFormat="false" ht="15" hidden="false" customHeight="true" outlineLevel="0" collapsed="false">
      <c r="A233" s="54"/>
      <c r="B233" s="54"/>
      <c r="C233" s="53"/>
      <c r="D233" s="54"/>
      <c r="E233" s="55" t="str">
        <f aca="false">IF(ISNUMBER(C233),CHOOSE(WEEKDAY(C233),"Domingo","Segunda","Terça","Quarta","Quinta","Sexta","Sábado"),"")</f>
        <v/>
      </c>
      <c r="F233" s="55" t="str">
        <f aca="true">IF(NOT(ISNUMBER(C233)),"",IF(C233=TODAY(),"HOJE",IF(C233=TODAY()+1,"AMANHÃ",IF(C233&lt;TODAY(),"Realizada",IF(C233-TODAY()&lt;=7,"Em "&amp;(C233-TODAY())&amp;" dias","Agendada")))))</f>
        <v/>
      </c>
      <c r="G233" s="55" t="str">
        <f aca="false">IF(OR(A233="",NOT(ISNUMBER(C233))),"",IF(COUNTIFS($A$2:$A$301,A233,$C$2:$C$301,C233)&gt;1,"⚠ Folga duplicada",IF(COUNTIFS(FÉRIAS!$A$2:$A$301,A233,FÉRIAS!$C$2:$C$301,"&lt;="&amp;C233,FÉRIAS!$D$2:$D$301,"&gt;="&amp;C233)&gt;0,"⚠ Está de férias nesta data",IF(COUNTIFS(NATAL!$A$2:$A$301,A233,NATAL!$C$2:$C$301,C233,NATAL!$D$2:$D$301,"FOLGA")+COUNTIFS('ANO NOVO'!$A$2:$A$301,A233,'ANO NOVO'!$C$2:$C$301,C233,'ANO NOVO'!$D$2:$D$301,"FOLGA")&gt;0,"⚠ Folga já lançada em NATAL/ANO NOVO",IF(COUNTIFS(NATAL!$A$2:$A$301,A233,NATAL!$C$2:$C$301,C233,NATAL!$D$2:$D$301,"TRABALHA")+COUNTIFS('ANO NOVO'!$A$2:$A$301,A233,'ANO NOVO'!$C$2:$C$301,C233,'ANO NOVO'!$D$2:$D$301,"TRABALHA")&gt;0,"⚠ Marcado TRABALHA em NATAL/ANO NOVO",IF(COUNTIFS($B$2:$B$301,B233,$C$2:$C$301,C233)&gt;1,"⚠ "&amp;COUNTIFS($B$2:$B$301,B233,$C$2:$C$301,C233)&amp;" pessoas do setor de folga no dia",""))))))</f>
        <v/>
      </c>
    </row>
    <row r="234" customFormat="false" ht="15" hidden="false" customHeight="true" outlineLevel="0" collapsed="false">
      <c r="A234" s="54"/>
      <c r="B234" s="54"/>
      <c r="C234" s="53"/>
      <c r="D234" s="54"/>
      <c r="E234" s="55" t="str">
        <f aca="false">IF(ISNUMBER(C234),CHOOSE(WEEKDAY(C234),"Domingo","Segunda","Terça","Quarta","Quinta","Sexta","Sábado"),"")</f>
        <v/>
      </c>
      <c r="F234" s="55" t="str">
        <f aca="true">IF(NOT(ISNUMBER(C234)),"",IF(C234=TODAY(),"HOJE",IF(C234=TODAY()+1,"AMANHÃ",IF(C234&lt;TODAY(),"Realizada",IF(C234-TODAY()&lt;=7,"Em "&amp;(C234-TODAY())&amp;" dias","Agendada")))))</f>
        <v/>
      </c>
      <c r="G234" s="55" t="str">
        <f aca="false">IF(OR(A234="",NOT(ISNUMBER(C234))),"",IF(COUNTIFS($A$2:$A$301,A234,$C$2:$C$301,C234)&gt;1,"⚠ Folga duplicada",IF(COUNTIFS(FÉRIAS!$A$2:$A$301,A234,FÉRIAS!$C$2:$C$301,"&lt;="&amp;C234,FÉRIAS!$D$2:$D$301,"&gt;="&amp;C234)&gt;0,"⚠ Está de férias nesta data",IF(COUNTIFS(NATAL!$A$2:$A$301,A234,NATAL!$C$2:$C$301,C234,NATAL!$D$2:$D$301,"FOLGA")+COUNTIFS('ANO NOVO'!$A$2:$A$301,A234,'ANO NOVO'!$C$2:$C$301,C234,'ANO NOVO'!$D$2:$D$301,"FOLGA")&gt;0,"⚠ Folga já lançada em NATAL/ANO NOVO",IF(COUNTIFS(NATAL!$A$2:$A$301,A234,NATAL!$C$2:$C$301,C234,NATAL!$D$2:$D$301,"TRABALHA")+COUNTIFS('ANO NOVO'!$A$2:$A$301,A234,'ANO NOVO'!$C$2:$C$301,C234,'ANO NOVO'!$D$2:$D$301,"TRABALHA")&gt;0,"⚠ Marcado TRABALHA em NATAL/ANO NOVO",IF(COUNTIFS($B$2:$B$301,B234,$C$2:$C$301,C234)&gt;1,"⚠ "&amp;COUNTIFS($B$2:$B$301,B234,$C$2:$C$301,C234)&amp;" pessoas do setor de folga no dia",""))))))</f>
        <v/>
      </c>
    </row>
    <row r="235" customFormat="false" ht="15" hidden="false" customHeight="true" outlineLevel="0" collapsed="false">
      <c r="A235" s="54"/>
      <c r="B235" s="54"/>
      <c r="C235" s="53"/>
      <c r="D235" s="54"/>
      <c r="E235" s="55" t="str">
        <f aca="false">IF(ISNUMBER(C235),CHOOSE(WEEKDAY(C235),"Domingo","Segunda","Terça","Quarta","Quinta","Sexta","Sábado"),"")</f>
        <v/>
      </c>
      <c r="F235" s="55" t="str">
        <f aca="true">IF(NOT(ISNUMBER(C235)),"",IF(C235=TODAY(),"HOJE",IF(C235=TODAY()+1,"AMANHÃ",IF(C235&lt;TODAY(),"Realizada",IF(C235-TODAY()&lt;=7,"Em "&amp;(C235-TODAY())&amp;" dias","Agendada")))))</f>
        <v/>
      </c>
      <c r="G235" s="55" t="str">
        <f aca="false">IF(OR(A235="",NOT(ISNUMBER(C235))),"",IF(COUNTIFS($A$2:$A$301,A235,$C$2:$C$301,C235)&gt;1,"⚠ Folga duplicada",IF(COUNTIFS(FÉRIAS!$A$2:$A$301,A235,FÉRIAS!$C$2:$C$301,"&lt;="&amp;C235,FÉRIAS!$D$2:$D$301,"&gt;="&amp;C235)&gt;0,"⚠ Está de férias nesta data",IF(COUNTIFS(NATAL!$A$2:$A$301,A235,NATAL!$C$2:$C$301,C235,NATAL!$D$2:$D$301,"FOLGA")+COUNTIFS('ANO NOVO'!$A$2:$A$301,A235,'ANO NOVO'!$C$2:$C$301,C235,'ANO NOVO'!$D$2:$D$301,"FOLGA")&gt;0,"⚠ Folga já lançada em NATAL/ANO NOVO",IF(COUNTIFS(NATAL!$A$2:$A$301,A235,NATAL!$C$2:$C$301,C235,NATAL!$D$2:$D$301,"TRABALHA")+COUNTIFS('ANO NOVO'!$A$2:$A$301,A235,'ANO NOVO'!$C$2:$C$301,C235,'ANO NOVO'!$D$2:$D$301,"TRABALHA")&gt;0,"⚠ Marcado TRABALHA em NATAL/ANO NOVO",IF(COUNTIFS($B$2:$B$301,B235,$C$2:$C$301,C235)&gt;1,"⚠ "&amp;COUNTIFS($B$2:$B$301,B235,$C$2:$C$301,C235)&amp;" pessoas do setor de folga no dia",""))))))</f>
        <v/>
      </c>
    </row>
    <row r="236" customFormat="false" ht="15" hidden="false" customHeight="true" outlineLevel="0" collapsed="false">
      <c r="A236" s="54"/>
      <c r="B236" s="54"/>
      <c r="C236" s="53"/>
      <c r="D236" s="54"/>
      <c r="E236" s="55" t="str">
        <f aca="false">IF(ISNUMBER(C236),CHOOSE(WEEKDAY(C236),"Domingo","Segunda","Terça","Quarta","Quinta","Sexta","Sábado"),"")</f>
        <v/>
      </c>
      <c r="F236" s="55" t="str">
        <f aca="true">IF(NOT(ISNUMBER(C236)),"",IF(C236=TODAY(),"HOJE",IF(C236=TODAY()+1,"AMANHÃ",IF(C236&lt;TODAY(),"Realizada",IF(C236-TODAY()&lt;=7,"Em "&amp;(C236-TODAY())&amp;" dias","Agendada")))))</f>
        <v/>
      </c>
      <c r="G236" s="55" t="str">
        <f aca="false">IF(OR(A236="",NOT(ISNUMBER(C236))),"",IF(COUNTIFS($A$2:$A$301,A236,$C$2:$C$301,C236)&gt;1,"⚠ Folga duplicada",IF(COUNTIFS(FÉRIAS!$A$2:$A$301,A236,FÉRIAS!$C$2:$C$301,"&lt;="&amp;C236,FÉRIAS!$D$2:$D$301,"&gt;="&amp;C236)&gt;0,"⚠ Está de férias nesta data",IF(COUNTIFS(NATAL!$A$2:$A$301,A236,NATAL!$C$2:$C$301,C236,NATAL!$D$2:$D$301,"FOLGA")+COUNTIFS('ANO NOVO'!$A$2:$A$301,A236,'ANO NOVO'!$C$2:$C$301,C236,'ANO NOVO'!$D$2:$D$301,"FOLGA")&gt;0,"⚠ Folga já lançada em NATAL/ANO NOVO",IF(COUNTIFS(NATAL!$A$2:$A$301,A236,NATAL!$C$2:$C$301,C236,NATAL!$D$2:$D$301,"TRABALHA")+COUNTIFS('ANO NOVO'!$A$2:$A$301,A236,'ANO NOVO'!$C$2:$C$301,C236,'ANO NOVO'!$D$2:$D$301,"TRABALHA")&gt;0,"⚠ Marcado TRABALHA em NATAL/ANO NOVO",IF(COUNTIFS($B$2:$B$301,B236,$C$2:$C$301,C236)&gt;1,"⚠ "&amp;COUNTIFS($B$2:$B$301,B236,$C$2:$C$301,C236)&amp;" pessoas do setor de folga no dia",""))))))</f>
        <v/>
      </c>
    </row>
    <row r="237" customFormat="false" ht="15" hidden="false" customHeight="true" outlineLevel="0" collapsed="false">
      <c r="A237" s="54"/>
      <c r="B237" s="54"/>
      <c r="C237" s="53"/>
      <c r="D237" s="54"/>
      <c r="E237" s="55" t="str">
        <f aca="false">IF(ISNUMBER(C237),CHOOSE(WEEKDAY(C237),"Domingo","Segunda","Terça","Quarta","Quinta","Sexta","Sábado"),"")</f>
        <v/>
      </c>
      <c r="F237" s="55" t="str">
        <f aca="true">IF(NOT(ISNUMBER(C237)),"",IF(C237=TODAY(),"HOJE",IF(C237=TODAY()+1,"AMANHÃ",IF(C237&lt;TODAY(),"Realizada",IF(C237-TODAY()&lt;=7,"Em "&amp;(C237-TODAY())&amp;" dias","Agendada")))))</f>
        <v/>
      </c>
      <c r="G237" s="55" t="str">
        <f aca="false">IF(OR(A237="",NOT(ISNUMBER(C237))),"",IF(COUNTIFS($A$2:$A$301,A237,$C$2:$C$301,C237)&gt;1,"⚠ Folga duplicada",IF(COUNTIFS(FÉRIAS!$A$2:$A$301,A237,FÉRIAS!$C$2:$C$301,"&lt;="&amp;C237,FÉRIAS!$D$2:$D$301,"&gt;="&amp;C237)&gt;0,"⚠ Está de férias nesta data",IF(COUNTIFS(NATAL!$A$2:$A$301,A237,NATAL!$C$2:$C$301,C237,NATAL!$D$2:$D$301,"FOLGA")+COUNTIFS('ANO NOVO'!$A$2:$A$301,A237,'ANO NOVO'!$C$2:$C$301,C237,'ANO NOVO'!$D$2:$D$301,"FOLGA")&gt;0,"⚠ Folga já lançada em NATAL/ANO NOVO",IF(COUNTIFS(NATAL!$A$2:$A$301,A237,NATAL!$C$2:$C$301,C237,NATAL!$D$2:$D$301,"TRABALHA")+COUNTIFS('ANO NOVO'!$A$2:$A$301,A237,'ANO NOVO'!$C$2:$C$301,C237,'ANO NOVO'!$D$2:$D$301,"TRABALHA")&gt;0,"⚠ Marcado TRABALHA em NATAL/ANO NOVO",IF(COUNTIFS($B$2:$B$301,B237,$C$2:$C$301,C237)&gt;1,"⚠ "&amp;COUNTIFS($B$2:$B$301,B237,$C$2:$C$301,C237)&amp;" pessoas do setor de folga no dia",""))))))</f>
        <v/>
      </c>
    </row>
    <row r="238" customFormat="false" ht="15" hidden="false" customHeight="true" outlineLevel="0" collapsed="false">
      <c r="A238" s="54"/>
      <c r="B238" s="54"/>
      <c r="C238" s="53"/>
      <c r="D238" s="54"/>
      <c r="E238" s="55" t="str">
        <f aca="false">IF(ISNUMBER(C238),CHOOSE(WEEKDAY(C238),"Domingo","Segunda","Terça","Quarta","Quinta","Sexta","Sábado"),"")</f>
        <v/>
      </c>
      <c r="F238" s="55" t="str">
        <f aca="true">IF(NOT(ISNUMBER(C238)),"",IF(C238=TODAY(),"HOJE",IF(C238=TODAY()+1,"AMANHÃ",IF(C238&lt;TODAY(),"Realizada",IF(C238-TODAY()&lt;=7,"Em "&amp;(C238-TODAY())&amp;" dias","Agendada")))))</f>
        <v/>
      </c>
      <c r="G238" s="55" t="str">
        <f aca="false">IF(OR(A238="",NOT(ISNUMBER(C238))),"",IF(COUNTIFS($A$2:$A$301,A238,$C$2:$C$301,C238)&gt;1,"⚠ Folga duplicada",IF(COUNTIFS(FÉRIAS!$A$2:$A$301,A238,FÉRIAS!$C$2:$C$301,"&lt;="&amp;C238,FÉRIAS!$D$2:$D$301,"&gt;="&amp;C238)&gt;0,"⚠ Está de férias nesta data",IF(COUNTIFS(NATAL!$A$2:$A$301,A238,NATAL!$C$2:$C$301,C238,NATAL!$D$2:$D$301,"FOLGA")+COUNTIFS('ANO NOVO'!$A$2:$A$301,A238,'ANO NOVO'!$C$2:$C$301,C238,'ANO NOVO'!$D$2:$D$301,"FOLGA")&gt;0,"⚠ Folga já lançada em NATAL/ANO NOVO",IF(COUNTIFS(NATAL!$A$2:$A$301,A238,NATAL!$C$2:$C$301,C238,NATAL!$D$2:$D$301,"TRABALHA")+COUNTIFS('ANO NOVO'!$A$2:$A$301,A238,'ANO NOVO'!$C$2:$C$301,C238,'ANO NOVO'!$D$2:$D$301,"TRABALHA")&gt;0,"⚠ Marcado TRABALHA em NATAL/ANO NOVO",IF(COUNTIFS($B$2:$B$301,B238,$C$2:$C$301,C238)&gt;1,"⚠ "&amp;COUNTIFS($B$2:$B$301,B238,$C$2:$C$301,C238)&amp;" pessoas do setor de folga no dia",""))))))</f>
        <v/>
      </c>
    </row>
    <row r="239" customFormat="false" ht="15" hidden="false" customHeight="true" outlineLevel="0" collapsed="false">
      <c r="A239" s="54"/>
      <c r="B239" s="54"/>
      <c r="C239" s="53"/>
      <c r="D239" s="54"/>
      <c r="E239" s="55" t="str">
        <f aca="false">IF(ISNUMBER(C239),CHOOSE(WEEKDAY(C239),"Domingo","Segunda","Terça","Quarta","Quinta","Sexta","Sábado"),"")</f>
        <v/>
      </c>
      <c r="F239" s="55" t="str">
        <f aca="true">IF(NOT(ISNUMBER(C239)),"",IF(C239=TODAY(),"HOJE",IF(C239=TODAY()+1,"AMANHÃ",IF(C239&lt;TODAY(),"Realizada",IF(C239-TODAY()&lt;=7,"Em "&amp;(C239-TODAY())&amp;" dias","Agendada")))))</f>
        <v/>
      </c>
      <c r="G239" s="55" t="str">
        <f aca="false">IF(OR(A239="",NOT(ISNUMBER(C239))),"",IF(COUNTIFS($A$2:$A$301,A239,$C$2:$C$301,C239)&gt;1,"⚠ Folga duplicada",IF(COUNTIFS(FÉRIAS!$A$2:$A$301,A239,FÉRIAS!$C$2:$C$301,"&lt;="&amp;C239,FÉRIAS!$D$2:$D$301,"&gt;="&amp;C239)&gt;0,"⚠ Está de férias nesta data",IF(COUNTIFS(NATAL!$A$2:$A$301,A239,NATAL!$C$2:$C$301,C239,NATAL!$D$2:$D$301,"FOLGA")+COUNTIFS('ANO NOVO'!$A$2:$A$301,A239,'ANO NOVO'!$C$2:$C$301,C239,'ANO NOVO'!$D$2:$D$301,"FOLGA")&gt;0,"⚠ Folga já lançada em NATAL/ANO NOVO",IF(COUNTIFS(NATAL!$A$2:$A$301,A239,NATAL!$C$2:$C$301,C239,NATAL!$D$2:$D$301,"TRABALHA")+COUNTIFS('ANO NOVO'!$A$2:$A$301,A239,'ANO NOVO'!$C$2:$C$301,C239,'ANO NOVO'!$D$2:$D$301,"TRABALHA")&gt;0,"⚠ Marcado TRABALHA em NATAL/ANO NOVO",IF(COUNTIFS($B$2:$B$301,B239,$C$2:$C$301,C239)&gt;1,"⚠ "&amp;COUNTIFS($B$2:$B$301,B239,$C$2:$C$301,C239)&amp;" pessoas do setor de folga no dia",""))))))</f>
        <v/>
      </c>
    </row>
    <row r="240" customFormat="false" ht="15" hidden="false" customHeight="true" outlineLevel="0" collapsed="false">
      <c r="A240" s="54"/>
      <c r="B240" s="54"/>
      <c r="C240" s="53"/>
      <c r="D240" s="54"/>
      <c r="E240" s="55" t="str">
        <f aca="false">IF(ISNUMBER(C240),CHOOSE(WEEKDAY(C240),"Domingo","Segunda","Terça","Quarta","Quinta","Sexta","Sábado"),"")</f>
        <v/>
      </c>
      <c r="F240" s="55" t="str">
        <f aca="true">IF(NOT(ISNUMBER(C240)),"",IF(C240=TODAY(),"HOJE",IF(C240=TODAY()+1,"AMANHÃ",IF(C240&lt;TODAY(),"Realizada",IF(C240-TODAY()&lt;=7,"Em "&amp;(C240-TODAY())&amp;" dias","Agendada")))))</f>
        <v/>
      </c>
      <c r="G240" s="55" t="str">
        <f aca="false">IF(OR(A240="",NOT(ISNUMBER(C240))),"",IF(COUNTIFS($A$2:$A$301,A240,$C$2:$C$301,C240)&gt;1,"⚠ Folga duplicada",IF(COUNTIFS(FÉRIAS!$A$2:$A$301,A240,FÉRIAS!$C$2:$C$301,"&lt;="&amp;C240,FÉRIAS!$D$2:$D$301,"&gt;="&amp;C240)&gt;0,"⚠ Está de férias nesta data",IF(COUNTIFS(NATAL!$A$2:$A$301,A240,NATAL!$C$2:$C$301,C240,NATAL!$D$2:$D$301,"FOLGA")+COUNTIFS('ANO NOVO'!$A$2:$A$301,A240,'ANO NOVO'!$C$2:$C$301,C240,'ANO NOVO'!$D$2:$D$301,"FOLGA")&gt;0,"⚠ Folga já lançada em NATAL/ANO NOVO",IF(COUNTIFS(NATAL!$A$2:$A$301,A240,NATAL!$C$2:$C$301,C240,NATAL!$D$2:$D$301,"TRABALHA")+COUNTIFS('ANO NOVO'!$A$2:$A$301,A240,'ANO NOVO'!$C$2:$C$301,C240,'ANO NOVO'!$D$2:$D$301,"TRABALHA")&gt;0,"⚠ Marcado TRABALHA em NATAL/ANO NOVO",IF(COUNTIFS($B$2:$B$301,B240,$C$2:$C$301,C240)&gt;1,"⚠ "&amp;COUNTIFS($B$2:$B$301,B240,$C$2:$C$301,C240)&amp;" pessoas do setor de folga no dia",""))))))</f>
        <v/>
      </c>
    </row>
    <row r="241" customFormat="false" ht="15" hidden="false" customHeight="true" outlineLevel="0" collapsed="false">
      <c r="A241" s="54"/>
      <c r="B241" s="54"/>
      <c r="C241" s="53"/>
      <c r="D241" s="54"/>
      <c r="E241" s="55" t="str">
        <f aca="false">IF(ISNUMBER(C241),CHOOSE(WEEKDAY(C241),"Domingo","Segunda","Terça","Quarta","Quinta","Sexta","Sábado"),"")</f>
        <v/>
      </c>
      <c r="F241" s="55" t="str">
        <f aca="true">IF(NOT(ISNUMBER(C241)),"",IF(C241=TODAY(),"HOJE",IF(C241=TODAY()+1,"AMANHÃ",IF(C241&lt;TODAY(),"Realizada",IF(C241-TODAY()&lt;=7,"Em "&amp;(C241-TODAY())&amp;" dias","Agendada")))))</f>
        <v/>
      </c>
      <c r="G241" s="55" t="str">
        <f aca="false">IF(OR(A241="",NOT(ISNUMBER(C241))),"",IF(COUNTIFS($A$2:$A$301,A241,$C$2:$C$301,C241)&gt;1,"⚠ Folga duplicada",IF(COUNTIFS(FÉRIAS!$A$2:$A$301,A241,FÉRIAS!$C$2:$C$301,"&lt;="&amp;C241,FÉRIAS!$D$2:$D$301,"&gt;="&amp;C241)&gt;0,"⚠ Está de férias nesta data",IF(COUNTIFS(NATAL!$A$2:$A$301,A241,NATAL!$C$2:$C$301,C241,NATAL!$D$2:$D$301,"FOLGA")+COUNTIFS('ANO NOVO'!$A$2:$A$301,A241,'ANO NOVO'!$C$2:$C$301,C241,'ANO NOVO'!$D$2:$D$301,"FOLGA")&gt;0,"⚠ Folga já lançada em NATAL/ANO NOVO",IF(COUNTIFS(NATAL!$A$2:$A$301,A241,NATAL!$C$2:$C$301,C241,NATAL!$D$2:$D$301,"TRABALHA")+COUNTIFS('ANO NOVO'!$A$2:$A$301,A241,'ANO NOVO'!$C$2:$C$301,C241,'ANO NOVO'!$D$2:$D$301,"TRABALHA")&gt;0,"⚠ Marcado TRABALHA em NATAL/ANO NOVO",IF(COUNTIFS($B$2:$B$301,B241,$C$2:$C$301,C241)&gt;1,"⚠ "&amp;COUNTIFS($B$2:$B$301,B241,$C$2:$C$301,C241)&amp;" pessoas do setor de folga no dia",""))))))</f>
        <v/>
      </c>
    </row>
    <row r="242" customFormat="false" ht="15" hidden="false" customHeight="true" outlineLevel="0" collapsed="false">
      <c r="A242" s="54"/>
      <c r="B242" s="54"/>
      <c r="C242" s="53"/>
      <c r="D242" s="54"/>
      <c r="E242" s="55" t="str">
        <f aca="false">IF(ISNUMBER(C242),CHOOSE(WEEKDAY(C242),"Domingo","Segunda","Terça","Quarta","Quinta","Sexta","Sábado"),"")</f>
        <v/>
      </c>
      <c r="F242" s="55" t="str">
        <f aca="true">IF(NOT(ISNUMBER(C242)),"",IF(C242=TODAY(),"HOJE",IF(C242=TODAY()+1,"AMANHÃ",IF(C242&lt;TODAY(),"Realizada",IF(C242-TODAY()&lt;=7,"Em "&amp;(C242-TODAY())&amp;" dias","Agendada")))))</f>
        <v/>
      </c>
      <c r="G242" s="55" t="str">
        <f aca="false">IF(OR(A242="",NOT(ISNUMBER(C242))),"",IF(COUNTIFS($A$2:$A$301,A242,$C$2:$C$301,C242)&gt;1,"⚠ Folga duplicada",IF(COUNTIFS(FÉRIAS!$A$2:$A$301,A242,FÉRIAS!$C$2:$C$301,"&lt;="&amp;C242,FÉRIAS!$D$2:$D$301,"&gt;="&amp;C242)&gt;0,"⚠ Está de férias nesta data",IF(COUNTIFS(NATAL!$A$2:$A$301,A242,NATAL!$C$2:$C$301,C242,NATAL!$D$2:$D$301,"FOLGA")+COUNTIFS('ANO NOVO'!$A$2:$A$301,A242,'ANO NOVO'!$C$2:$C$301,C242,'ANO NOVO'!$D$2:$D$301,"FOLGA")&gt;0,"⚠ Folga já lançada em NATAL/ANO NOVO",IF(COUNTIFS(NATAL!$A$2:$A$301,A242,NATAL!$C$2:$C$301,C242,NATAL!$D$2:$D$301,"TRABALHA")+COUNTIFS('ANO NOVO'!$A$2:$A$301,A242,'ANO NOVO'!$C$2:$C$301,C242,'ANO NOVO'!$D$2:$D$301,"TRABALHA")&gt;0,"⚠ Marcado TRABALHA em NATAL/ANO NOVO",IF(COUNTIFS($B$2:$B$301,B242,$C$2:$C$301,C242)&gt;1,"⚠ "&amp;COUNTIFS($B$2:$B$301,B242,$C$2:$C$301,C242)&amp;" pessoas do setor de folga no dia",""))))))</f>
        <v/>
      </c>
    </row>
    <row r="243" customFormat="false" ht="15" hidden="false" customHeight="true" outlineLevel="0" collapsed="false">
      <c r="A243" s="54"/>
      <c r="B243" s="54"/>
      <c r="C243" s="53"/>
      <c r="D243" s="54"/>
      <c r="E243" s="55" t="str">
        <f aca="false">IF(ISNUMBER(C243),CHOOSE(WEEKDAY(C243),"Domingo","Segunda","Terça","Quarta","Quinta","Sexta","Sábado"),"")</f>
        <v/>
      </c>
      <c r="F243" s="55" t="str">
        <f aca="true">IF(NOT(ISNUMBER(C243)),"",IF(C243=TODAY(),"HOJE",IF(C243=TODAY()+1,"AMANHÃ",IF(C243&lt;TODAY(),"Realizada",IF(C243-TODAY()&lt;=7,"Em "&amp;(C243-TODAY())&amp;" dias","Agendada")))))</f>
        <v/>
      </c>
      <c r="G243" s="55" t="str">
        <f aca="false">IF(OR(A243="",NOT(ISNUMBER(C243))),"",IF(COUNTIFS($A$2:$A$301,A243,$C$2:$C$301,C243)&gt;1,"⚠ Folga duplicada",IF(COUNTIFS(FÉRIAS!$A$2:$A$301,A243,FÉRIAS!$C$2:$C$301,"&lt;="&amp;C243,FÉRIAS!$D$2:$D$301,"&gt;="&amp;C243)&gt;0,"⚠ Está de férias nesta data",IF(COUNTIFS(NATAL!$A$2:$A$301,A243,NATAL!$C$2:$C$301,C243,NATAL!$D$2:$D$301,"FOLGA")+COUNTIFS('ANO NOVO'!$A$2:$A$301,A243,'ANO NOVO'!$C$2:$C$301,C243,'ANO NOVO'!$D$2:$D$301,"FOLGA")&gt;0,"⚠ Folga já lançada em NATAL/ANO NOVO",IF(COUNTIFS(NATAL!$A$2:$A$301,A243,NATAL!$C$2:$C$301,C243,NATAL!$D$2:$D$301,"TRABALHA")+COUNTIFS('ANO NOVO'!$A$2:$A$301,A243,'ANO NOVO'!$C$2:$C$301,C243,'ANO NOVO'!$D$2:$D$301,"TRABALHA")&gt;0,"⚠ Marcado TRABALHA em NATAL/ANO NOVO",IF(COUNTIFS($B$2:$B$301,B243,$C$2:$C$301,C243)&gt;1,"⚠ "&amp;COUNTIFS($B$2:$B$301,B243,$C$2:$C$301,C243)&amp;" pessoas do setor de folga no dia",""))))))</f>
        <v/>
      </c>
    </row>
    <row r="244" customFormat="false" ht="15" hidden="false" customHeight="true" outlineLevel="0" collapsed="false">
      <c r="A244" s="54"/>
      <c r="B244" s="54"/>
      <c r="C244" s="53"/>
      <c r="D244" s="54"/>
      <c r="E244" s="55" t="str">
        <f aca="false">IF(ISNUMBER(C244),CHOOSE(WEEKDAY(C244),"Domingo","Segunda","Terça","Quarta","Quinta","Sexta","Sábado"),"")</f>
        <v/>
      </c>
      <c r="F244" s="55" t="str">
        <f aca="true">IF(NOT(ISNUMBER(C244)),"",IF(C244=TODAY(),"HOJE",IF(C244=TODAY()+1,"AMANHÃ",IF(C244&lt;TODAY(),"Realizada",IF(C244-TODAY()&lt;=7,"Em "&amp;(C244-TODAY())&amp;" dias","Agendada")))))</f>
        <v/>
      </c>
      <c r="G244" s="55" t="str">
        <f aca="false">IF(OR(A244="",NOT(ISNUMBER(C244))),"",IF(COUNTIFS($A$2:$A$301,A244,$C$2:$C$301,C244)&gt;1,"⚠ Folga duplicada",IF(COUNTIFS(FÉRIAS!$A$2:$A$301,A244,FÉRIAS!$C$2:$C$301,"&lt;="&amp;C244,FÉRIAS!$D$2:$D$301,"&gt;="&amp;C244)&gt;0,"⚠ Está de férias nesta data",IF(COUNTIFS(NATAL!$A$2:$A$301,A244,NATAL!$C$2:$C$301,C244,NATAL!$D$2:$D$301,"FOLGA")+COUNTIFS('ANO NOVO'!$A$2:$A$301,A244,'ANO NOVO'!$C$2:$C$301,C244,'ANO NOVO'!$D$2:$D$301,"FOLGA")&gt;0,"⚠ Folga já lançada em NATAL/ANO NOVO",IF(COUNTIFS(NATAL!$A$2:$A$301,A244,NATAL!$C$2:$C$301,C244,NATAL!$D$2:$D$301,"TRABALHA")+COUNTIFS('ANO NOVO'!$A$2:$A$301,A244,'ANO NOVO'!$C$2:$C$301,C244,'ANO NOVO'!$D$2:$D$301,"TRABALHA")&gt;0,"⚠ Marcado TRABALHA em NATAL/ANO NOVO",IF(COUNTIFS($B$2:$B$301,B244,$C$2:$C$301,C244)&gt;1,"⚠ "&amp;COUNTIFS($B$2:$B$301,B244,$C$2:$C$301,C244)&amp;" pessoas do setor de folga no dia",""))))))</f>
        <v/>
      </c>
    </row>
    <row r="245" customFormat="false" ht="15" hidden="false" customHeight="true" outlineLevel="0" collapsed="false">
      <c r="A245" s="54"/>
      <c r="B245" s="54"/>
      <c r="C245" s="53"/>
      <c r="D245" s="54"/>
      <c r="E245" s="55" t="str">
        <f aca="false">IF(ISNUMBER(C245),CHOOSE(WEEKDAY(C245),"Domingo","Segunda","Terça","Quarta","Quinta","Sexta","Sábado"),"")</f>
        <v/>
      </c>
      <c r="F245" s="55" t="str">
        <f aca="true">IF(NOT(ISNUMBER(C245)),"",IF(C245=TODAY(),"HOJE",IF(C245=TODAY()+1,"AMANHÃ",IF(C245&lt;TODAY(),"Realizada",IF(C245-TODAY()&lt;=7,"Em "&amp;(C245-TODAY())&amp;" dias","Agendada")))))</f>
        <v/>
      </c>
      <c r="G245" s="55" t="str">
        <f aca="false">IF(OR(A245="",NOT(ISNUMBER(C245))),"",IF(COUNTIFS($A$2:$A$301,A245,$C$2:$C$301,C245)&gt;1,"⚠ Folga duplicada",IF(COUNTIFS(FÉRIAS!$A$2:$A$301,A245,FÉRIAS!$C$2:$C$301,"&lt;="&amp;C245,FÉRIAS!$D$2:$D$301,"&gt;="&amp;C245)&gt;0,"⚠ Está de férias nesta data",IF(COUNTIFS(NATAL!$A$2:$A$301,A245,NATAL!$C$2:$C$301,C245,NATAL!$D$2:$D$301,"FOLGA")+COUNTIFS('ANO NOVO'!$A$2:$A$301,A245,'ANO NOVO'!$C$2:$C$301,C245,'ANO NOVO'!$D$2:$D$301,"FOLGA")&gt;0,"⚠ Folga já lançada em NATAL/ANO NOVO",IF(COUNTIFS(NATAL!$A$2:$A$301,A245,NATAL!$C$2:$C$301,C245,NATAL!$D$2:$D$301,"TRABALHA")+COUNTIFS('ANO NOVO'!$A$2:$A$301,A245,'ANO NOVO'!$C$2:$C$301,C245,'ANO NOVO'!$D$2:$D$301,"TRABALHA")&gt;0,"⚠ Marcado TRABALHA em NATAL/ANO NOVO",IF(COUNTIFS($B$2:$B$301,B245,$C$2:$C$301,C245)&gt;1,"⚠ "&amp;COUNTIFS($B$2:$B$301,B245,$C$2:$C$301,C245)&amp;" pessoas do setor de folga no dia",""))))))</f>
        <v/>
      </c>
    </row>
    <row r="246" customFormat="false" ht="15" hidden="false" customHeight="true" outlineLevel="0" collapsed="false">
      <c r="A246" s="54"/>
      <c r="B246" s="54"/>
      <c r="C246" s="53"/>
      <c r="D246" s="54"/>
      <c r="E246" s="55" t="str">
        <f aca="false">IF(ISNUMBER(C246),CHOOSE(WEEKDAY(C246),"Domingo","Segunda","Terça","Quarta","Quinta","Sexta","Sábado"),"")</f>
        <v/>
      </c>
      <c r="F246" s="55" t="str">
        <f aca="true">IF(NOT(ISNUMBER(C246)),"",IF(C246=TODAY(),"HOJE",IF(C246=TODAY()+1,"AMANHÃ",IF(C246&lt;TODAY(),"Realizada",IF(C246-TODAY()&lt;=7,"Em "&amp;(C246-TODAY())&amp;" dias","Agendada")))))</f>
        <v/>
      </c>
      <c r="G246" s="55" t="str">
        <f aca="false">IF(OR(A246="",NOT(ISNUMBER(C246))),"",IF(COUNTIFS($A$2:$A$301,A246,$C$2:$C$301,C246)&gt;1,"⚠ Folga duplicada",IF(COUNTIFS(FÉRIAS!$A$2:$A$301,A246,FÉRIAS!$C$2:$C$301,"&lt;="&amp;C246,FÉRIAS!$D$2:$D$301,"&gt;="&amp;C246)&gt;0,"⚠ Está de férias nesta data",IF(COUNTIFS(NATAL!$A$2:$A$301,A246,NATAL!$C$2:$C$301,C246,NATAL!$D$2:$D$301,"FOLGA")+COUNTIFS('ANO NOVO'!$A$2:$A$301,A246,'ANO NOVO'!$C$2:$C$301,C246,'ANO NOVO'!$D$2:$D$301,"FOLGA")&gt;0,"⚠ Folga já lançada em NATAL/ANO NOVO",IF(COUNTIFS(NATAL!$A$2:$A$301,A246,NATAL!$C$2:$C$301,C246,NATAL!$D$2:$D$301,"TRABALHA")+COUNTIFS('ANO NOVO'!$A$2:$A$301,A246,'ANO NOVO'!$C$2:$C$301,C246,'ANO NOVO'!$D$2:$D$301,"TRABALHA")&gt;0,"⚠ Marcado TRABALHA em NATAL/ANO NOVO",IF(COUNTIFS($B$2:$B$301,B246,$C$2:$C$301,C246)&gt;1,"⚠ "&amp;COUNTIFS($B$2:$B$301,B246,$C$2:$C$301,C246)&amp;" pessoas do setor de folga no dia",""))))))</f>
        <v/>
      </c>
    </row>
    <row r="247" customFormat="false" ht="15" hidden="false" customHeight="true" outlineLevel="0" collapsed="false">
      <c r="A247" s="54"/>
      <c r="B247" s="54"/>
      <c r="C247" s="53"/>
      <c r="D247" s="54"/>
      <c r="E247" s="55" t="str">
        <f aca="false">IF(ISNUMBER(C247),CHOOSE(WEEKDAY(C247),"Domingo","Segunda","Terça","Quarta","Quinta","Sexta","Sábado"),"")</f>
        <v/>
      </c>
      <c r="F247" s="55" t="str">
        <f aca="true">IF(NOT(ISNUMBER(C247)),"",IF(C247=TODAY(),"HOJE",IF(C247=TODAY()+1,"AMANHÃ",IF(C247&lt;TODAY(),"Realizada",IF(C247-TODAY()&lt;=7,"Em "&amp;(C247-TODAY())&amp;" dias","Agendada")))))</f>
        <v/>
      </c>
      <c r="G247" s="55" t="str">
        <f aca="false">IF(OR(A247="",NOT(ISNUMBER(C247))),"",IF(COUNTIFS($A$2:$A$301,A247,$C$2:$C$301,C247)&gt;1,"⚠ Folga duplicada",IF(COUNTIFS(FÉRIAS!$A$2:$A$301,A247,FÉRIAS!$C$2:$C$301,"&lt;="&amp;C247,FÉRIAS!$D$2:$D$301,"&gt;="&amp;C247)&gt;0,"⚠ Está de férias nesta data",IF(COUNTIFS(NATAL!$A$2:$A$301,A247,NATAL!$C$2:$C$301,C247,NATAL!$D$2:$D$301,"FOLGA")+COUNTIFS('ANO NOVO'!$A$2:$A$301,A247,'ANO NOVO'!$C$2:$C$301,C247,'ANO NOVO'!$D$2:$D$301,"FOLGA")&gt;0,"⚠ Folga já lançada em NATAL/ANO NOVO",IF(COUNTIFS(NATAL!$A$2:$A$301,A247,NATAL!$C$2:$C$301,C247,NATAL!$D$2:$D$301,"TRABALHA")+COUNTIFS('ANO NOVO'!$A$2:$A$301,A247,'ANO NOVO'!$C$2:$C$301,C247,'ANO NOVO'!$D$2:$D$301,"TRABALHA")&gt;0,"⚠ Marcado TRABALHA em NATAL/ANO NOVO",IF(COUNTIFS($B$2:$B$301,B247,$C$2:$C$301,C247)&gt;1,"⚠ "&amp;COUNTIFS($B$2:$B$301,B247,$C$2:$C$301,C247)&amp;" pessoas do setor de folga no dia",""))))))</f>
        <v/>
      </c>
    </row>
    <row r="248" customFormat="false" ht="15" hidden="false" customHeight="true" outlineLevel="0" collapsed="false">
      <c r="A248" s="54"/>
      <c r="B248" s="54"/>
      <c r="C248" s="53"/>
      <c r="D248" s="54"/>
      <c r="E248" s="55" t="str">
        <f aca="false">IF(ISNUMBER(C248),CHOOSE(WEEKDAY(C248),"Domingo","Segunda","Terça","Quarta","Quinta","Sexta","Sábado"),"")</f>
        <v/>
      </c>
      <c r="F248" s="55" t="str">
        <f aca="true">IF(NOT(ISNUMBER(C248)),"",IF(C248=TODAY(),"HOJE",IF(C248=TODAY()+1,"AMANHÃ",IF(C248&lt;TODAY(),"Realizada",IF(C248-TODAY()&lt;=7,"Em "&amp;(C248-TODAY())&amp;" dias","Agendada")))))</f>
        <v/>
      </c>
      <c r="G248" s="55" t="str">
        <f aca="false">IF(OR(A248="",NOT(ISNUMBER(C248))),"",IF(COUNTIFS($A$2:$A$301,A248,$C$2:$C$301,C248)&gt;1,"⚠ Folga duplicada",IF(COUNTIFS(FÉRIAS!$A$2:$A$301,A248,FÉRIAS!$C$2:$C$301,"&lt;="&amp;C248,FÉRIAS!$D$2:$D$301,"&gt;="&amp;C248)&gt;0,"⚠ Está de férias nesta data",IF(COUNTIFS(NATAL!$A$2:$A$301,A248,NATAL!$C$2:$C$301,C248,NATAL!$D$2:$D$301,"FOLGA")+COUNTIFS('ANO NOVO'!$A$2:$A$301,A248,'ANO NOVO'!$C$2:$C$301,C248,'ANO NOVO'!$D$2:$D$301,"FOLGA")&gt;0,"⚠ Folga já lançada em NATAL/ANO NOVO",IF(COUNTIFS(NATAL!$A$2:$A$301,A248,NATAL!$C$2:$C$301,C248,NATAL!$D$2:$D$301,"TRABALHA")+COUNTIFS('ANO NOVO'!$A$2:$A$301,A248,'ANO NOVO'!$C$2:$C$301,C248,'ANO NOVO'!$D$2:$D$301,"TRABALHA")&gt;0,"⚠ Marcado TRABALHA em NATAL/ANO NOVO",IF(COUNTIFS($B$2:$B$301,B248,$C$2:$C$301,C248)&gt;1,"⚠ "&amp;COUNTIFS($B$2:$B$301,B248,$C$2:$C$301,C248)&amp;" pessoas do setor de folga no dia",""))))))</f>
        <v/>
      </c>
    </row>
    <row r="249" customFormat="false" ht="15" hidden="false" customHeight="true" outlineLevel="0" collapsed="false">
      <c r="A249" s="54"/>
      <c r="B249" s="54"/>
      <c r="C249" s="53"/>
      <c r="D249" s="54"/>
      <c r="E249" s="55" t="str">
        <f aca="false">IF(ISNUMBER(C249),CHOOSE(WEEKDAY(C249),"Domingo","Segunda","Terça","Quarta","Quinta","Sexta","Sábado"),"")</f>
        <v/>
      </c>
      <c r="F249" s="55" t="str">
        <f aca="true">IF(NOT(ISNUMBER(C249)),"",IF(C249=TODAY(),"HOJE",IF(C249=TODAY()+1,"AMANHÃ",IF(C249&lt;TODAY(),"Realizada",IF(C249-TODAY()&lt;=7,"Em "&amp;(C249-TODAY())&amp;" dias","Agendada")))))</f>
        <v/>
      </c>
      <c r="G249" s="55" t="str">
        <f aca="false">IF(OR(A249="",NOT(ISNUMBER(C249))),"",IF(COUNTIFS($A$2:$A$301,A249,$C$2:$C$301,C249)&gt;1,"⚠ Folga duplicada",IF(COUNTIFS(FÉRIAS!$A$2:$A$301,A249,FÉRIAS!$C$2:$C$301,"&lt;="&amp;C249,FÉRIAS!$D$2:$D$301,"&gt;="&amp;C249)&gt;0,"⚠ Está de férias nesta data",IF(COUNTIFS(NATAL!$A$2:$A$301,A249,NATAL!$C$2:$C$301,C249,NATAL!$D$2:$D$301,"FOLGA")+COUNTIFS('ANO NOVO'!$A$2:$A$301,A249,'ANO NOVO'!$C$2:$C$301,C249,'ANO NOVO'!$D$2:$D$301,"FOLGA")&gt;0,"⚠ Folga já lançada em NATAL/ANO NOVO",IF(COUNTIFS(NATAL!$A$2:$A$301,A249,NATAL!$C$2:$C$301,C249,NATAL!$D$2:$D$301,"TRABALHA")+COUNTIFS('ANO NOVO'!$A$2:$A$301,A249,'ANO NOVO'!$C$2:$C$301,C249,'ANO NOVO'!$D$2:$D$301,"TRABALHA")&gt;0,"⚠ Marcado TRABALHA em NATAL/ANO NOVO",IF(COUNTIFS($B$2:$B$301,B249,$C$2:$C$301,C249)&gt;1,"⚠ "&amp;COUNTIFS($B$2:$B$301,B249,$C$2:$C$301,C249)&amp;" pessoas do setor de folga no dia",""))))))</f>
        <v/>
      </c>
    </row>
    <row r="250" customFormat="false" ht="15" hidden="false" customHeight="true" outlineLevel="0" collapsed="false">
      <c r="A250" s="54"/>
      <c r="B250" s="54"/>
      <c r="C250" s="53"/>
      <c r="D250" s="54"/>
      <c r="E250" s="55" t="str">
        <f aca="false">IF(ISNUMBER(C250),CHOOSE(WEEKDAY(C250),"Domingo","Segunda","Terça","Quarta","Quinta","Sexta","Sábado"),"")</f>
        <v/>
      </c>
      <c r="F250" s="55" t="str">
        <f aca="true">IF(NOT(ISNUMBER(C250)),"",IF(C250=TODAY(),"HOJE",IF(C250=TODAY()+1,"AMANHÃ",IF(C250&lt;TODAY(),"Realizada",IF(C250-TODAY()&lt;=7,"Em "&amp;(C250-TODAY())&amp;" dias","Agendada")))))</f>
        <v/>
      </c>
      <c r="G250" s="55" t="str">
        <f aca="false">IF(OR(A250="",NOT(ISNUMBER(C250))),"",IF(COUNTIFS($A$2:$A$301,A250,$C$2:$C$301,C250)&gt;1,"⚠ Folga duplicada",IF(COUNTIFS(FÉRIAS!$A$2:$A$301,A250,FÉRIAS!$C$2:$C$301,"&lt;="&amp;C250,FÉRIAS!$D$2:$D$301,"&gt;="&amp;C250)&gt;0,"⚠ Está de férias nesta data",IF(COUNTIFS(NATAL!$A$2:$A$301,A250,NATAL!$C$2:$C$301,C250,NATAL!$D$2:$D$301,"FOLGA")+COUNTIFS('ANO NOVO'!$A$2:$A$301,A250,'ANO NOVO'!$C$2:$C$301,C250,'ANO NOVO'!$D$2:$D$301,"FOLGA")&gt;0,"⚠ Folga já lançada em NATAL/ANO NOVO",IF(COUNTIFS(NATAL!$A$2:$A$301,A250,NATAL!$C$2:$C$301,C250,NATAL!$D$2:$D$301,"TRABALHA")+COUNTIFS('ANO NOVO'!$A$2:$A$301,A250,'ANO NOVO'!$C$2:$C$301,C250,'ANO NOVO'!$D$2:$D$301,"TRABALHA")&gt;0,"⚠ Marcado TRABALHA em NATAL/ANO NOVO",IF(COUNTIFS($B$2:$B$301,B250,$C$2:$C$301,C250)&gt;1,"⚠ "&amp;COUNTIFS($B$2:$B$301,B250,$C$2:$C$301,C250)&amp;" pessoas do setor de folga no dia",""))))))</f>
        <v/>
      </c>
    </row>
    <row r="251" customFormat="false" ht="15" hidden="false" customHeight="true" outlineLevel="0" collapsed="false">
      <c r="A251" s="54"/>
      <c r="B251" s="54"/>
      <c r="C251" s="53"/>
      <c r="D251" s="54"/>
      <c r="E251" s="55" t="str">
        <f aca="false">IF(ISNUMBER(C251),CHOOSE(WEEKDAY(C251),"Domingo","Segunda","Terça","Quarta","Quinta","Sexta","Sábado"),"")</f>
        <v/>
      </c>
      <c r="F251" s="55" t="str">
        <f aca="true">IF(NOT(ISNUMBER(C251)),"",IF(C251=TODAY(),"HOJE",IF(C251=TODAY()+1,"AMANHÃ",IF(C251&lt;TODAY(),"Realizada",IF(C251-TODAY()&lt;=7,"Em "&amp;(C251-TODAY())&amp;" dias","Agendada")))))</f>
        <v/>
      </c>
      <c r="G251" s="55" t="str">
        <f aca="false">IF(OR(A251="",NOT(ISNUMBER(C251))),"",IF(COUNTIFS($A$2:$A$301,A251,$C$2:$C$301,C251)&gt;1,"⚠ Folga duplicada",IF(COUNTIFS(FÉRIAS!$A$2:$A$301,A251,FÉRIAS!$C$2:$C$301,"&lt;="&amp;C251,FÉRIAS!$D$2:$D$301,"&gt;="&amp;C251)&gt;0,"⚠ Está de férias nesta data",IF(COUNTIFS(NATAL!$A$2:$A$301,A251,NATAL!$C$2:$C$301,C251,NATAL!$D$2:$D$301,"FOLGA")+COUNTIFS('ANO NOVO'!$A$2:$A$301,A251,'ANO NOVO'!$C$2:$C$301,C251,'ANO NOVO'!$D$2:$D$301,"FOLGA")&gt;0,"⚠ Folga já lançada em NATAL/ANO NOVO",IF(COUNTIFS(NATAL!$A$2:$A$301,A251,NATAL!$C$2:$C$301,C251,NATAL!$D$2:$D$301,"TRABALHA")+COUNTIFS('ANO NOVO'!$A$2:$A$301,A251,'ANO NOVO'!$C$2:$C$301,C251,'ANO NOVO'!$D$2:$D$301,"TRABALHA")&gt;0,"⚠ Marcado TRABALHA em NATAL/ANO NOVO",IF(COUNTIFS($B$2:$B$301,B251,$C$2:$C$301,C251)&gt;1,"⚠ "&amp;COUNTIFS($B$2:$B$301,B251,$C$2:$C$301,C251)&amp;" pessoas do setor de folga no dia",""))))))</f>
        <v/>
      </c>
    </row>
    <row r="252" customFormat="false" ht="15" hidden="false" customHeight="true" outlineLevel="0" collapsed="false">
      <c r="A252" s="54"/>
      <c r="B252" s="54"/>
      <c r="C252" s="53"/>
      <c r="D252" s="54"/>
      <c r="E252" s="55" t="str">
        <f aca="false">IF(ISNUMBER(C252),CHOOSE(WEEKDAY(C252),"Domingo","Segunda","Terça","Quarta","Quinta","Sexta","Sábado"),"")</f>
        <v/>
      </c>
      <c r="F252" s="55" t="str">
        <f aca="true">IF(NOT(ISNUMBER(C252)),"",IF(C252=TODAY(),"HOJE",IF(C252=TODAY()+1,"AMANHÃ",IF(C252&lt;TODAY(),"Realizada",IF(C252-TODAY()&lt;=7,"Em "&amp;(C252-TODAY())&amp;" dias","Agendada")))))</f>
        <v/>
      </c>
      <c r="G252" s="55" t="str">
        <f aca="false">IF(OR(A252="",NOT(ISNUMBER(C252))),"",IF(COUNTIFS($A$2:$A$301,A252,$C$2:$C$301,C252)&gt;1,"⚠ Folga duplicada",IF(COUNTIFS(FÉRIAS!$A$2:$A$301,A252,FÉRIAS!$C$2:$C$301,"&lt;="&amp;C252,FÉRIAS!$D$2:$D$301,"&gt;="&amp;C252)&gt;0,"⚠ Está de férias nesta data",IF(COUNTIFS(NATAL!$A$2:$A$301,A252,NATAL!$C$2:$C$301,C252,NATAL!$D$2:$D$301,"FOLGA")+COUNTIFS('ANO NOVO'!$A$2:$A$301,A252,'ANO NOVO'!$C$2:$C$301,C252,'ANO NOVO'!$D$2:$D$301,"FOLGA")&gt;0,"⚠ Folga já lançada em NATAL/ANO NOVO",IF(COUNTIFS(NATAL!$A$2:$A$301,A252,NATAL!$C$2:$C$301,C252,NATAL!$D$2:$D$301,"TRABALHA")+COUNTIFS('ANO NOVO'!$A$2:$A$301,A252,'ANO NOVO'!$C$2:$C$301,C252,'ANO NOVO'!$D$2:$D$301,"TRABALHA")&gt;0,"⚠ Marcado TRABALHA em NATAL/ANO NOVO",IF(COUNTIFS($B$2:$B$301,B252,$C$2:$C$301,C252)&gt;1,"⚠ "&amp;COUNTIFS($B$2:$B$301,B252,$C$2:$C$301,C252)&amp;" pessoas do setor de folga no dia",""))))))</f>
        <v/>
      </c>
    </row>
    <row r="253" customFormat="false" ht="15" hidden="false" customHeight="true" outlineLevel="0" collapsed="false">
      <c r="A253" s="54"/>
      <c r="B253" s="54"/>
      <c r="C253" s="53"/>
      <c r="D253" s="54"/>
      <c r="E253" s="55" t="str">
        <f aca="false">IF(ISNUMBER(C253),CHOOSE(WEEKDAY(C253),"Domingo","Segunda","Terça","Quarta","Quinta","Sexta","Sábado"),"")</f>
        <v/>
      </c>
      <c r="F253" s="55" t="str">
        <f aca="true">IF(NOT(ISNUMBER(C253)),"",IF(C253=TODAY(),"HOJE",IF(C253=TODAY()+1,"AMANHÃ",IF(C253&lt;TODAY(),"Realizada",IF(C253-TODAY()&lt;=7,"Em "&amp;(C253-TODAY())&amp;" dias","Agendada")))))</f>
        <v/>
      </c>
      <c r="G253" s="55" t="str">
        <f aca="false">IF(OR(A253="",NOT(ISNUMBER(C253))),"",IF(COUNTIFS($A$2:$A$301,A253,$C$2:$C$301,C253)&gt;1,"⚠ Folga duplicada",IF(COUNTIFS(FÉRIAS!$A$2:$A$301,A253,FÉRIAS!$C$2:$C$301,"&lt;="&amp;C253,FÉRIAS!$D$2:$D$301,"&gt;="&amp;C253)&gt;0,"⚠ Está de férias nesta data",IF(COUNTIFS(NATAL!$A$2:$A$301,A253,NATAL!$C$2:$C$301,C253,NATAL!$D$2:$D$301,"FOLGA")+COUNTIFS('ANO NOVO'!$A$2:$A$301,A253,'ANO NOVO'!$C$2:$C$301,C253,'ANO NOVO'!$D$2:$D$301,"FOLGA")&gt;0,"⚠ Folga já lançada em NATAL/ANO NOVO",IF(COUNTIFS(NATAL!$A$2:$A$301,A253,NATAL!$C$2:$C$301,C253,NATAL!$D$2:$D$301,"TRABALHA")+COUNTIFS('ANO NOVO'!$A$2:$A$301,A253,'ANO NOVO'!$C$2:$C$301,C253,'ANO NOVO'!$D$2:$D$301,"TRABALHA")&gt;0,"⚠ Marcado TRABALHA em NATAL/ANO NOVO",IF(COUNTIFS($B$2:$B$301,B253,$C$2:$C$301,C253)&gt;1,"⚠ "&amp;COUNTIFS($B$2:$B$301,B253,$C$2:$C$301,C253)&amp;" pessoas do setor de folga no dia",""))))))</f>
        <v/>
      </c>
    </row>
    <row r="254" customFormat="false" ht="15" hidden="false" customHeight="true" outlineLevel="0" collapsed="false">
      <c r="A254" s="54"/>
      <c r="B254" s="54"/>
      <c r="C254" s="53"/>
      <c r="D254" s="54"/>
      <c r="E254" s="55" t="str">
        <f aca="false">IF(ISNUMBER(C254),CHOOSE(WEEKDAY(C254),"Domingo","Segunda","Terça","Quarta","Quinta","Sexta","Sábado"),"")</f>
        <v/>
      </c>
      <c r="F254" s="55" t="str">
        <f aca="true">IF(NOT(ISNUMBER(C254)),"",IF(C254=TODAY(),"HOJE",IF(C254=TODAY()+1,"AMANHÃ",IF(C254&lt;TODAY(),"Realizada",IF(C254-TODAY()&lt;=7,"Em "&amp;(C254-TODAY())&amp;" dias","Agendada")))))</f>
        <v/>
      </c>
      <c r="G254" s="55" t="str">
        <f aca="false">IF(OR(A254="",NOT(ISNUMBER(C254))),"",IF(COUNTIFS($A$2:$A$301,A254,$C$2:$C$301,C254)&gt;1,"⚠ Folga duplicada",IF(COUNTIFS(FÉRIAS!$A$2:$A$301,A254,FÉRIAS!$C$2:$C$301,"&lt;="&amp;C254,FÉRIAS!$D$2:$D$301,"&gt;="&amp;C254)&gt;0,"⚠ Está de férias nesta data",IF(COUNTIFS(NATAL!$A$2:$A$301,A254,NATAL!$C$2:$C$301,C254,NATAL!$D$2:$D$301,"FOLGA")+COUNTIFS('ANO NOVO'!$A$2:$A$301,A254,'ANO NOVO'!$C$2:$C$301,C254,'ANO NOVO'!$D$2:$D$301,"FOLGA")&gt;0,"⚠ Folga já lançada em NATAL/ANO NOVO",IF(COUNTIFS(NATAL!$A$2:$A$301,A254,NATAL!$C$2:$C$301,C254,NATAL!$D$2:$D$301,"TRABALHA")+COUNTIFS('ANO NOVO'!$A$2:$A$301,A254,'ANO NOVO'!$C$2:$C$301,C254,'ANO NOVO'!$D$2:$D$301,"TRABALHA")&gt;0,"⚠ Marcado TRABALHA em NATAL/ANO NOVO",IF(COUNTIFS($B$2:$B$301,B254,$C$2:$C$301,C254)&gt;1,"⚠ "&amp;COUNTIFS($B$2:$B$301,B254,$C$2:$C$301,C254)&amp;" pessoas do setor de folga no dia",""))))))</f>
        <v/>
      </c>
    </row>
    <row r="255" customFormat="false" ht="15" hidden="false" customHeight="true" outlineLevel="0" collapsed="false">
      <c r="A255" s="54"/>
      <c r="B255" s="54"/>
      <c r="C255" s="53"/>
      <c r="D255" s="54"/>
      <c r="E255" s="55" t="str">
        <f aca="false">IF(ISNUMBER(C255),CHOOSE(WEEKDAY(C255),"Domingo","Segunda","Terça","Quarta","Quinta","Sexta","Sábado"),"")</f>
        <v/>
      </c>
      <c r="F255" s="55" t="str">
        <f aca="true">IF(NOT(ISNUMBER(C255)),"",IF(C255=TODAY(),"HOJE",IF(C255=TODAY()+1,"AMANHÃ",IF(C255&lt;TODAY(),"Realizada",IF(C255-TODAY()&lt;=7,"Em "&amp;(C255-TODAY())&amp;" dias","Agendada")))))</f>
        <v/>
      </c>
      <c r="G255" s="55" t="str">
        <f aca="false">IF(OR(A255="",NOT(ISNUMBER(C255))),"",IF(COUNTIFS($A$2:$A$301,A255,$C$2:$C$301,C255)&gt;1,"⚠ Folga duplicada",IF(COUNTIFS(FÉRIAS!$A$2:$A$301,A255,FÉRIAS!$C$2:$C$301,"&lt;="&amp;C255,FÉRIAS!$D$2:$D$301,"&gt;="&amp;C255)&gt;0,"⚠ Está de férias nesta data",IF(COUNTIFS(NATAL!$A$2:$A$301,A255,NATAL!$C$2:$C$301,C255,NATAL!$D$2:$D$301,"FOLGA")+COUNTIFS('ANO NOVO'!$A$2:$A$301,A255,'ANO NOVO'!$C$2:$C$301,C255,'ANO NOVO'!$D$2:$D$301,"FOLGA")&gt;0,"⚠ Folga já lançada em NATAL/ANO NOVO",IF(COUNTIFS(NATAL!$A$2:$A$301,A255,NATAL!$C$2:$C$301,C255,NATAL!$D$2:$D$301,"TRABALHA")+COUNTIFS('ANO NOVO'!$A$2:$A$301,A255,'ANO NOVO'!$C$2:$C$301,C255,'ANO NOVO'!$D$2:$D$301,"TRABALHA")&gt;0,"⚠ Marcado TRABALHA em NATAL/ANO NOVO",IF(COUNTIFS($B$2:$B$301,B255,$C$2:$C$301,C255)&gt;1,"⚠ "&amp;COUNTIFS($B$2:$B$301,B255,$C$2:$C$301,C255)&amp;" pessoas do setor de folga no dia",""))))))</f>
        <v/>
      </c>
    </row>
    <row r="256" customFormat="false" ht="15" hidden="false" customHeight="true" outlineLevel="0" collapsed="false">
      <c r="A256" s="54"/>
      <c r="B256" s="54"/>
      <c r="C256" s="53"/>
      <c r="D256" s="54"/>
      <c r="E256" s="55" t="str">
        <f aca="false">IF(ISNUMBER(C256),CHOOSE(WEEKDAY(C256),"Domingo","Segunda","Terça","Quarta","Quinta","Sexta","Sábado"),"")</f>
        <v/>
      </c>
      <c r="F256" s="55" t="str">
        <f aca="true">IF(NOT(ISNUMBER(C256)),"",IF(C256=TODAY(),"HOJE",IF(C256=TODAY()+1,"AMANHÃ",IF(C256&lt;TODAY(),"Realizada",IF(C256-TODAY()&lt;=7,"Em "&amp;(C256-TODAY())&amp;" dias","Agendada")))))</f>
        <v/>
      </c>
      <c r="G256" s="55" t="str">
        <f aca="false">IF(OR(A256="",NOT(ISNUMBER(C256))),"",IF(COUNTIFS($A$2:$A$301,A256,$C$2:$C$301,C256)&gt;1,"⚠ Folga duplicada",IF(COUNTIFS(FÉRIAS!$A$2:$A$301,A256,FÉRIAS!$C$2:$C$301,"&lt;="&amp;C256,FÉRIAS!$D$2:$D$301,"&gt;="&amp;C256)&gt;0,"⚠ Está de férias nesta data",IF(COUNTIFS(NATAL!$A$2:$A$301,A256,NATAL!$C$2:$C$301,C256,NATAL!$D$2:$D$301,"FOLGA")+COUNTIFS('ANO NOVO'!$A$2:$A$301,A256,'ANO NOVO'!$C$2:$C$301,C256,'ANO NOVO'!$D$2:$D$301,"FOLGA")&gt;0,"⚠ Folga já lançada em NATAL/ANO NOVO",IF(COUNTIFS(NATAL!$A$2:$A$301,A256,NATAL!$C$2:$C$301,C256,NATAL!$D$2:$D$301,"TRABALHA")+COUNTIFS('ANO NOVO'!$A$2:$A$301,A256,'ANO NOVO'!$C$2:$C$301,C256,'ANO NOVO'!$D$2:$D$301,"TRABALHA")&gt;0,"⚠ Marcado TRABALHA em NATAL/ANO NOVO",IF(COUNTIFS($B$2:$B$301,B256,$C$2:$C$301,C256)&gt;1,"⚠ "&amp;COUNTIFS($B$2:$B$301,B256,$C$2:$C$301,C256)&amp;" pessoas do setor de folga no dia",""))))))</f>
        <v/>
      </c>
    </row>
    <row r="257" customFormat="false" ht="15" hidden="false" customHeight="true" outlineLevel="0" collapsed="false">
      <c r="A257" s="54"/>
      <c r="B257" s="54"/>
      <c r="C257" s="53"/>
      <c r="D257" s="54"/>
      <c r="E257" s="55" t="str">
        <f aca="false">IF(ISNUMBER(C257),CHOOSE(WEEKDAY(C257),"Domingo","Segunda","Terça","Quarta","Quinta","Sexta","Sábado"),"")</f>
        <v/>
      </c>
      <c r="F257" s="55" t="str">
        <f aca="true">IF(NOT(ISNUMBER(C257)),"",IF(C257=TODAY(),"HOJE",IF(C257=TODAY()+1,"AMANHÃ",IF(C257&lt;TODAY(),"Realizada",IF(C257-TODAY()&lt;=7,"Em "&amp;(C257-TODAY())&amp;" dias","Agendada")))))</f>
        <v/>
      </c>
      <c r="G257" s="55" t="str">
        <f aca="false">IF(OR(A257="",NOT(ISNUMBER(C257))),"",IF(COUNTIFS($A$2:$A$301,A257,$C$2:$C$301,C257)&gt;1,"⚠ Folga duplicada",IF(COUNTIFS(FÉRIAS!$A$2:$A$301,A257,FÉRIAS!$C$2:$C$301,"&lt;="&amp;C257,FÉRIAS!$D$2:$D$301,"&gt;="&amp;C257)&gt;0,"⚠ Está de férias nesta data",IF(COUNTIFS(NATAL!$A$2:$A$301,A257,NATAL!$C$2:$C$301,C257,NATAL!$D$2:$D$301,"FOLGA")+COUNTIFS('ANO NOVO'!$A$2:$A$301,A257,'ANO NOVO'!$C$2:$C$301,C257,'ANO NOVO'!$D$2:$D$301,"FOLGA")&gt;0,"⚠ Folga já lançada em NATAL/ANO NOVO",IF(COUNTIFS(NATAL!$A$2:$A$301,A257,NATAL!$C$2:$C$301,C257,NATAL!$D$2:$D$301,"TRABALHA")+COUNTIFS('ANO NOVO'!$A$2:$A$301,A257,'ANO NOVO'!$C$2:$C$301,C257,'ANO NOVO'!$D$2:$D$301,"TRABALHA")&gt;0,"⚠ Marcado TRABALHA em NATAL/ANO NOVO",IF(COUNTIFS($B$2:$B$301,B257,$C$2:$C$301,C257)&gt;1,"⚠ "&amp;COUNTIFS($B$2:$B$301,B257,$C$2:$C$301,C257)&amp;" pessoas do setor de folga no dia",""))))))</f>
        <v/>
      </c>
    </row>
    <row r="258" customFormat="false" ht="15" hidden="false" customHeight="true" outlineLevel="0" collapsed="false">
      <c r="A258" s="54"/>
      <c r="B258" s="54"/>
      <c r="C258" s="53"/>
      <c r="D258" s="54"/>
      <c r="E258" s="55" t="str">
        <f aca="false">IF(ISNUMBER(C258),CHOOSE(WEEKDAY(C258),"Domingo","Segunda","Terça","Quarta","Quinta","Sexta","Sábado"),"")</f>
        <v/>
      </c>
      <c r="F258" s="55" t="str">
        <f aca="true">IF(NOT(ISNUMBER(C258)),"",IF(C258=TODAY(),"HOJE",IF(C258=TODAY()+1,"AMANHÃ",IF(C258&lt;TODAY(),"Realizada",IF(C258-TODAY()&lt;=7,"Em "&amp;(C258-TODAY())&amp;" dias","Agendada")))))</f>
        <v/>
      </c>
      <c r="G258" s="55" t="str">
        <f aca="false">IF(OR(A258="",NOT(ISNUMBER(C258))),"",IF(COUNTIFS($A$2:$A$301,A258,$C$2:$C$301,C258)&gt;1,"⚠ Folga duplicada",IF(COUNTIFS(FÉRIAS!$A$2:$A$301,A258,FÉRIAS!$C$2:$C$301,"&lt;="&amp;C258,FÉRIAS!$D$2:$D$301,"&gt;="&amp;C258)&gt;0,"⚠ Está de férias nesta data",IF(COUNTIFS(NATAL!$A$2:$A$301,A258,NATAL!$C$2:$C$301,C258,NATAL!$D$2:$D$301,"FOLGA")+COUNTIFS('ANO NOVO'!$A$2:$A$301,A258,'ANO NOVO'!$C$2:$C$301,C258,'ANO NOVO'!$D$2:$D$301,"FOLGA")&gt;0,"⚠ Folga já lançada em NATAL/ANO NOVO",IF(COUNTIFS(NATAL!$A$2:$A$301,A258,NATAL!$C$2:$C$301,C258,NATAL!$D$2:$D$301,"TRABALHA")+COUNTIFS('ANO NOVO'!$A$2:$A$301,A258,'ANO NOVO'!$C$2:$C$301,C258,'ANO NOVO'!$D$2:$D$301,"TRABALHA")&gt;0,"⚠ Marcado TRABALHA em NATAL/ANO NOVO",IF(COUNTIFS($B$2:$B$301,B258,$C$2:$C$301,C258)&gt;1,"⚠ "&amp;COUNTIFS($B$2:$B$301,B258,$C$2:$C$301,C258)&amp;" pessoas do setor de folga no dia",""))))))</f>
        <v/>
      </c>
    </row>
    <row r="259" customFormat="false" ht="15" hidden="false" customHeight="true" outlineLevel="0" collapsed="false">
      <c r="A259" s="54"/>
      <c r="B259" s="54"/>
      <c r="C259" s="53"/>
      <c r="D259" s="54"/>
      <c r="E259" s="55" t="str">
        <f aca="false">IF(ISNUMBER(C259),CHOOSE(WEEKDAY(C259),"Domingo","Segunda","Terça","Quarta","Quinta","Sexta","Sábado"),"")</f>
        <v/>
      </c>
      <c r="F259" s="55" t="str">
        <f aca="true">IF(NOT(ISNUMBER(C259)),"",IF(C259=TODAY(),"HOJE",IF(C259=TODAY()+1,"AMANHÃ",IF(C259&lt;TODAY(),"Realizada",IF(C259-TODAY()&lt;=7,"Em "&amp;(C259-TODAY())&amp;" dias","Agendada")))))</f>
        <v/>
      </c>
      <c r="G259" s="55" t="str">
        <f aca="false">IF(OR(A259="",NOT(ISNUMBER(C259))),"",IF(COUNTIFS($A$2:$A$301,A259,$C$2:$C$301,C259)&gt;1,"⚠ Folga duplicada",IF(COUNTIFS(FÉRIAS!$A$2:$A$301,A259,FÉRIAS!$C$2:$C$301,"&lt;="&amp;C259,FÉRIAS!$D$2:$D$301,"&gt;="&amp;C259)&gt;0,"⚠ Está de férias nesta data",IF(COUNTIFS(NATAL!$A$2:$A$301,A259,NATAL!$C$2:$C$301,C259,NATAL!$D$2:$D$301,"FOLGA")+COUNTIFS('ANO NOVO'!$A$2:$A$301,A259,'ANO NOVO'!$C$2:$C$301,C259,'ANO NOVO'!$D$2:$D$301,"FOLGA")&gt;0,"⚠ Folga já lançada em NATAL/ANO NOVO",IF(COUNTIFS(NATAL!$A$2:$A$301,A259,NATAL!$C$2:$C$301,C259,NATAL!$D$2:$D$301,"TRABALHA")+COUNTIFS('ANO NOVO'!$A$2:$A$301,A259,'ANO NOVO'!$C$2:$C$301,C259,'ANO NOVO'!$D$2:$D$301,"TRABALHA")&gt;0,"⚠ Marcado TRABALHA em NATAL/ANO NOVO",IF(COUNTIFS($B$2:$B$301,B259,$C$2:$C$301,C259)&gt;1,"⚠ "&amp;COUNTIFS($B$2:$B$301,B259,$C$2:$C$301,C259)&amp;" pessoas do setor de folga no dia",""))))))</f>
        <v/>
      </c>
    </row>
    <row r="260" customFormat="false" ht="15" hidden="false" customHeight="true" outlineLevel="0" collapsed="false">
      <c r="A260" s="54"/>
      <c r="B260" s="54"/>
      <c r="C260" s="53"/>
      <c r="D260" s="54"/>
      <c r="E260" s="55" t="str">
        <f aca="false">IF(ISNUMBER(C260),CHOOSE(WEEKDAY(C260),"Domingo","Segunda","Terça","Quarta","Quinta","Sexta","Sábado"),"")</f>
        <v/>
      </c>
      <c r="F260" s="55" t="str">
        <f aca="true">IF(NOT(ISNUMBER(C260)),"",IF(C260=TODAY(),"HOJE",IF(C260=TODAY()+1,"AMANHÃ",IF(C260&lt;TODAY(),"Realizada",IF(C260-TODAY()&lt;=7,"Em "&amp;(C260-TODAY())&amp;" dias","Agendada")))))</f>
        <v/>
      </c>
      <c r="G260" s="55" t="str">
        <f aca="false">IF(OR(A260="",NOT(ISNUMBER(C260))),"",IF(COUNTIFS($A$2:$A$301,A260,$C$2:$C$301,C260)&gt;1,"⚠ Folga duplicada",IF(COUNTIFS(FÉRIAS!$A$2:$A$301,A260,FÉRIAS!$C$2:$C$301,"&lt;="&amp;C260,FÉRIAS!$D$2:$D$301,"&gt;="&amp;C260)&gt;0,"⚠ Está de férias nesta data",IF(COUNTIFS(NATAL!$A$2:$A$301,A260,NATAL!$C$2:$C$301,C260,NATAL!$D$2:$D$301,"FOLGA")+COUNTIFS('ANO NOVO'!$A$2:$A$301,A260,'ANO NOVO'!$C$2:$C$301,C260,'ANO NOVO'!$D$2:$D$301,"FOLGA")&gt;0,"⚠ Folga já lançada em NATAL/ANO NOVO",IF(COUNTIFS(NATAL!$A$2:$A$301,A260,NATAL!$C$2:$C$301,C260,NATAL!$D$2:$D$301,"TRABALHA")+COUNTIFS('ANO NOVO'!$A$2:$A$301,A260,'ANO NOVO'!$C$2:$C$301,C260,'ANO NOVO'!$D$2:$D$301,"TRABALHA")&gt;0,"⚠ Marcado TRABALHA em NATAL/ANO NOVO",IF(COUNTIFS($B$2:$B$301,B260,$C$2:$C$301,C260)&gt;1,"⚠ "&amp;COUNTIFS($B$2:$B$301,B260,$C$2:$C$301,C260)&amp;" pessoas do setor de folga no dia",""))))))</f>
        <v/>
      </c>
    </row>
    <row r="261" customFormat="false" ht="15" hidden="false" customHeight="true" outlineLevel="0" collapsed="false">
      <c r="A261" s="54"/>
      <c r="B261" s="54"/>
      <c r="C261" s="53"/>
      <c r="D261" s="54"/>
      <c r="E261" s="55" t="str">
        <f aca="false">IF(ISNUMBER(C261),CHOOSE(WEEKDAY(C261),"Domingo","Segunda","Terça","Quarta","Quinta","Sexta","Sábado"),"")</f>
        <v/>
      </c>
      <c r="F261" s="55" t="str">
        <f aca="true">IF(NOT(ISNUMBER(C261)),"",IF(C261=TODAY(),"HOJE",IF(C261=TODAY()+1,"AMANHÃ",IF(C261&lt;TODAY(),"Realizada",IF(C261-TODAY()&lt;=7,"Em "&amp;(C261-TODAY())&amp;" dias","Agendada")))))</f>
        <v/>
      </c>
      <c r="G261" s="55" t="str">
        <f aca="false">IF(OR(A261="",NOT(ISNUMBER(C261))),"",IF(COUNTIFS($A$2:$A$301,A261,$C$2:$C$301,C261)&gt;1,"⚠ Folga duplicada",IF(COUNTIFS(FÉRIAS!$A$2:$A$301,A261,FÉRIAS!$C$2:$C$301,"&lt;="&amp;C261,FÉRIAS!$D$2:$D$301,"&gt;="&amp;C261)&gt;0,"⚠ Está de férias nesta data",IF(COUNTIFS(NATAL!$A$2:$A$301,A261,NATAL!$C$2:$C$301,C261,NATAL!$D$2:$D$301,"FOLGA")+COUNTIFS('ANO NOVO'!$A$2:$A$301,A261,'ANO NOVO'!$C$2:$C$301,C261,'ANO NOVO'!$D$2:$D$301,"FOLGA")&gt;0,"⚠ Folga já lançada em NATAL/ANO NOVO",IF(COUNTIFS(NATAL!$A$2:$A$301,A261,NATAL!$C$2:$C$301,C261,NATAL!$D$2:$D$301,"TRABALHA")+COUNTIFS('ANO NOVO'!$A$2:$A$301,A261,'ANO NOVO'!$C$2:$C$301,C261,'ANO NOVO'!$D$2:$D$301,"TRABALHA")&gt;0,"⚠ Marcado TRABALHA em NATAL/ANO NOVO",IF(COUNTIFS($B$2:$B$301,B261,$C$2:$C$301,C261)&gt;1,"⚠ "&amp;COUNTIFS($B$2:$B$301,B261,$C$2:$C$301,C261)&amp;" pessoas do setor de folga no dia",""))))))</f>
        <v/>
      </c>
    </row>
    <row r="262" customFormat="false" ht="15" hidden="false" customHeight="true" outlineLevel="0" collapsed="false">
      <c r="A262" s="54"/>
      <c r="B262" s="54"/>
      <c r="C262" s="53"/>
      <c r="D262" s="54"/>
      <c r="E262" s="55" t="str">
        <f aca="false">IF(ISNUMBER(C262),CHOOSE(WEEKDAY(C262),"Domingo","Segunda","Terça","Quarta","Quinta","Sexta","Sábado"),"")</f>
        <v/>
      </c>
      <c r="F262" s="55" t="str">
        <f aca="true">IF(NOT(ISNUMBER(C262)),"",IF(C262=TODAY(),"HOJE",IF(C262=TODAY()+1,"AMANHÃ",IF(C262&lt;TODAY(),"Realizada",IF(C262-TODAY()&lt;=7,"Em "&amp;(C262-TODAY())&amp;" dias","Agendada")))))</f>
        <v/>
      </c>
      <c r="G262" s="55" t="str">
        <f aca="false">IF(OR(A262="",NOT(ISNUMBER(C262))),"",IF(COUNTIFS($A$2:$A$301,A262,$C$2:$C$301,C262)&gt;1,"⚠ Folga duplicada",IF(COUNTIFS(FÉRIAS!$A$2:$A$301,A262,FÉRIAS!$C$2:$C$301,"&lt;="&amp;C262,FÉRIAS!$D$2:$D$301,"&gt;="&amp;C262)&gt;0,"⚠ Está de férias nesta data",IF(COUNTIFS(NATAL!$A$2:$A$301,A262,NATAL!$C$2:$C$301,C262,NATAL!$D$2:$D$301,"FOLGA")+COUNTIFS('ANO NOVO'!$A$2:$A$301,A262,'ANO NOVO'!$C$2:$C$301,C262,'ANO NOVO'!$D$2:$D$301,"FOLGA")&gt;0,"⚠ Folga já lançada em NATAL/ANO NOVO",IF(COUNTIFS(NATAL!$A$2:$A$301,A262,NATAL!$C$2:$C$301,C262,NATAL!$D$2:$D$301,"TRABALHA")+COUNTIFS('ANO NOVO'!$A$2:$A$301,A262,'ANO NOVO'!$C$2:$C$301,C262,'ANO NOVO'!$D$2:$D$301,"TRABALHA")&gt;0,"⚠ Marcado TRABALHA em NATAL/ANO NOVO",IF(COUNTIFS($B$2:$B$301,B262,$C$2:$C$301,C262)&gt;1,"⚠ "&amp;COUNTIFS($B$2:$B$301,B262,$C$2:$C$301,C262)&amp;" pessoas do setor de folga no dia",""))))))</f>
        <v/>
      </c>
    </row>
    <row r="263" customFormat="false" ht="15" hidden="false" customHeight="true" outlineLevel="0" collapsed="false">
      <c r="A263" s="54"/>
      <c r="B263" s="54"/>
      <c r="C263" s="53"/>
      <c r="D263" s="54"/>
      <c r="E263" s="55" t="str">
        <f aca="false">IF(ISNUMBER(C263),CHOOSE(WEEKDAY(C263),"Domingo","Segunda","Terça","Quarta","Quinta","Sexta","Sábado"),"")</f>
        <v/>
      </c>
      <c r="F263" s="55" t="str">
        <f aca="true">IF(NOT(ISNUMBER(C263)),"",IF(C263=TODAY(),"HOJE",IF(C263=TODAY()+1,"AMANHÃ",IF(C263&lt;TODAY(),"Realizada",IF(C263-TODAY()&lt;=7,"Em "&amp;(C263-TODAY())&amp;" dias","Agendada")))))</f>
        <v/>
      </c>
      <c r="G263" s="55" t="str">
        <f aca="false">IF(OR(A263="",NOT(ISNUMBER(C263))),"",IF(COUNTIFS($A$2:$A$301,A263,$C$2:$C$301,C263)&gt;1,"⚠ Folga duplicada",IF(COUNTIFS(FÉRIAS!$A$2:$A$301,A263,FÉRIAS!$C$2:$C$301,"&lt;="&amp;C263,FÉRIAS!$D$2:$D$301,"&gt;="&amp;C263)&gt;0,"⚠ Está de férias nesta data",IF(COUNTIFS(NATAL!$A$2:$A$301,A263,NATAL!$C$2:$C$301,C263,NATAL!$D$2:$D$301,"FOLGA")+COUNTIFS('ANO NOVO'!$A$2:$A$301,A263,'ANO NOVO'!$C$2:$C$301,C263,'ANO NOVO'!$D$2:$D$301,"FOLGA")&gt;0,"⚠ Folga já lançada em NATAL/ANO NOVO",IF(COUNTIFS(NATAL!$A$2:$A$301,A263,NATAL!$C$2:$C$301,C263,NATAL!$D$2:$D$301,"TRABALHA")+COUNTIFS('ANO NOVO'!$A$2:$A$301,A263,'ANO NOVO'!$C$2:$C$301,C263,'ANO NOVO'!$D$2:$D$301,"TRABALHA")&gt;0,"⚠ Marcado TRABALHA em NATAL/ANO NOVO",IF(COUNTIFS($B$2:$B$301,B263,$C$2:$C$301,C263)&gt;1,"⚠ "&amp;COUNTIFS($B$2:$B$301,B263,$C$2:$C$301,C263)&amp;" pessoas do setor de folga no dia",""))))))</f>
        <v/>
      </c>
    </row>
    <row r="264" customFormat="false" ht="15" hidden="false" customHeight="true" outlineLevel="0" collapsed="false">
      <c r="A264" s="54"/>
      <c r="B264" s="54"/>
      <c r="C264" s="53"/>
      <c r="D264" s="54"/>
      <c r="E264" s="55" t="str">
        <f aca="false">IF(ISNUMBER(C264),CHOOSE(WEEKDAY(C264),"Domingo","Segunda","Terça","Quarta","Quinta","Sexta","Sábado"),"")</f>
        <v/>
      </c>
      <c r="F264" s="55" t="str">
        <f aca="true">IF(NOT(ISNUMBER(C264)),"",IF(C264=TODAY(),"HOJE",IF(C264=TODAY()+1,"AMANHÃ",IF(C264&lt;TODAY(),"Realizada",IF(C264-TODAY()&lt;=7,"Em "&amp;(C264-TODAY())&amp;" dias","Agendada")))))</f>
        <v/>
      </c>
      <c r="G264" s="55" t="str">
        <f aca="false">IF(OR(A264="",NOT(ISNUMBER(C264))),"",IF(COUNTIFS($A$2:$A$301,A264,$C$2:$C$301,C264)&gt;1,"⚠ Folga duplicada",IF(COUNTIFS(FÉRIAS!$A$2:$A$301,A264,FÉRIAS!$C$2:$C$301,"&lt;="&amp;C264,FÉRIAS!$D$2:$D$301,"&gt;="&amp;C264)&gt;0,"⚠ Está de férias nesta data",IF(COUNTIFS(NATAL!$A$2:$A$301,A264,NATAL!$C$2:$C$301,C264,NATAL!$D$2:$D$301,"FOLGA")+COUNTIFS('ANO NOVO'!$A$2:$A$301,A264,'ANO NOVO'!$C$2:$C$301,C264,'ANO NOVO'!$D$2:$D$301,"FOLGA")&gt;0,"⚠ Folga já lançada em NATAL/ANO NOVO",IF(COUNTIFS(NATAL!$A$2:$A$301,A264,NATAL!$C$2:$C$301,C264,NATAL!$D$2:$D$301,"TRABALHA")+COUNTIFS('ANO NOVO'!$A$2:$A$301,A264,'ANO NOVO'!$C$2:$C$301,C264,'ANO NOVO'!$D$2:$D$301,"TRABALHA")&gt;0,"⚠ Marcado TRABALHA em NATAL/ANO NOVO",IF(COUNTIFS($B$2:$B$301,B264,$C$2:$C$301,C264)&gt;1,"⚠ "&amp;COUNTIFS($B$2:$B$301,B264,$C$2:$C$301,C264)&amp;" pessoas do setor de folga no dia",""))))))</f>
        <v/>
      </c>
    </row>
    <row r="265" customFormat="false" ht="15" hidden="false" customHeight="true" outlineLevel="0" collapsed="false">
      <c r="A265" s="54"/>
      <c r="B265" s="54"/>
      <c r="C265" s="53"/>
      <c r="D265" s="54"/>
      <c r="E265" s="55" t="str">
        <f aca="false">IF(ISNUMBER(C265),CHOOSE(WEEKDAY(C265),"Domingo","Segunda","Terça","Quarta","Quinta","Sexta","Sábado"),"")</f>
        <v/>
      </c>
      <c r="F265" s="55" t="str">
        <f aca="true">IF(NOT(ISNUMBER(C265)),"",IF(C265=TODAY(),"HOJE",IF(C265=TODAY()+1,"AMANHÃ",IF(C265&lt;TODAY(),"Realizada",IF(C265-TODAY()&lt;=7,"Em "&amp;(C265-TODAY())&amp;" dias","Agendada")))))</f>
        <v/>
      </c>
      <c r="G265" s="55" t="str">
        <f aca="false">IF(OR(A265="",NOT(ISNUMBER(C265))),"",IF(COUNTIFS($A$2:$A$301,A265,$C$2:$C$301,C265)&gt;1,"⚠ Folga duplicada",IF(COUNTIFS(FÉRIAS!$A$2:$A$301,A265,FÉRIAS!$C$2:$C$301,"&lt;="&amp;C265,FÉRIAS!$D$2:$D$301,"&gt;="&amp;C265)&gt;0,"⚠ Está de férias nesta data",IF(COUNTIFS(NATAL!$A$2:$A$301,A265,NATAL!$C$2:$C$301,C265,NATAL!$D$2:$D$301,"FOLGA")+COUNTIFS('ANO NOVO'!$A$2:$A$301,A265,'ANO NOVO'!$C$2:$C$301,C265,'ANO NOVO'!$D$2:$D$301,"FOLGA")&gt;0,"⚠ Folga já lançada em NATAL/ANO NOVO",IF(COUNTIFS(NATAL!$A$2:$A$301,A265,NATAL!$C$2:$C$301,C265,NATAL!$D$2:$D$301,"TRABALHA")+COUNTIFS('ANO NOVO'!$A$2:$A$301,A265,'ANO NOVO'!$C$2:$C$301,C265,'ANO NOVO'!$D$2:$D$301,"TRABALHA")&gt;0,"⚠ Marcado TRABALHA em NATAL/ANO NOVO",IF(COUNTIFS($B$2:$B$301,B265,$C$2:$C$301,C265)&gt;1,"⚠ "&amp;COUNTIFS($B$2:$B$301,B265,$C$2:$C$301,C265)&amp;" pessoas do setor de folga no dia",""))))))</f>
        <v/>
      </c>
    </row>
    <row r="266" customFormat="false" ht="15" hidden="false" customHeight="true" outlineLevel="0" collapsed="false">
      <c r="A266" s="54"/>
      <c r="B266" s="54"/>
      <c r="C266" s="53"/>
      <c r="D266" s="54"/>
      <c r="E266" s="55" t="str">
        <f aca="false">IF(ISNUMBER(C266),CHOOSE(WEEKDAY(C266),"Domingo","Segunda","Terça","Quarta","Quinta","Sexta","Sábado"),"")</f>
        <v/>
      </c>
      <c r="F266" s="55" t="str">
        <f aca="true">IF(NOT(ISNUMBER(C266)),"",IF(C266=TODAY(),"HOJE",IF(C266=TODAY()+1,"AMANHÃ",IF(C266&lt;TODAY(),"Realizada",IF(C266-TODAY()&lt;=7,"Em "&amp;(C266-TODAY())&amp;" dias","Agendada")))))</f>
        <v/>
      </c>
      <c r="G266" s="55" t="str">
        <f aca="false">IF(OR(A266="",NOT(ISNUMBER(C266))),"",IF(COUNTIFS($A$2:$A$301,A266,$C$2:$C$301,C266)&gt;1,"⚠ Folga duplicada",IF(COUNTIFS(FÉRIAS!$A$2:$A$301,A266,FÉRIAS!$C$2:$C$301,"&lt;="&amp;C266,FÉRIAS!$D$2:$D$301,"&gt;="&amp;C266)&gt;0,"⚠ Está de férias nesta data",IF(COUNTIFS(NATAL!$A$2:$A$301,A266,NATAL!$C$2:$C$301,C266,NATAL!$D$2:$D$301,"FOLGA")+COUNTIFS('ANO NOVO'!$A$2:$A$301,A266,'ANO NOVO'!$C$2:$C$301,C266,'ANO NOVO'!$D$2:$D$301,"FOLGA")&gt;0,"⚠ Folga já lançada em NATAL/ANO NOVO",IF(COUNTIFS(NATAL!$A$2:$A$301,A266,NATAL!$C$2:$C$301,C266,NATAL!$D$2:$D$301,"TRABALHA")+COUNTIFS('ANO NOVO'!$A$2:$A$301,A266,'ANO NOVO'!$C$2:$C$301,C266,'ANO NOVO'!$D$2:$D$301,"TRABALHA")&gt;0,"⚠ Marcado TRABALHA em NATAL/ANO NOVO",IF(COUNTIFS($B$2:$B$301,B266,$C$2:$C$301,C266)&gt;1,"⚠ "&amp;COUNTIFS($B$2:$B$301,B266,$C$2:$C$301,C266)&amp;" pessoas do setor de folga no dia",""))))))</f>
        <v/>
      </c>
    </row>
    <row r="267" customFormat="false" ht="15" hidden="false" customHeight="true" outlineLevel="0" collapsed="false">
      <c r="A267" s="54"/>
      <c r="B267" s="54"/>
      <c r="C267" s="53"/>
      <c r="D267" s="54"/>
      <c r="E267" s="55" t="str">
        <f aca="false">IF(ISNUMBER(C267),CHOOSE(WEEKDAY(C267),"Domingo","Segunda","Terça","Quarta","Quinta","Sexta","Sábado"),"")</f>
        <v/>
      </c>
      <c r="F267" s="55" t="str">
        <f aca="true">IF(NOT(ISNUMBER(C267)),"",IF(C267=TODAY(),"HOJE",IF(C267=TODAY()+1,"AMANHÃ",IF(C267&lt;TODAY(),"Realizada",IF(C267-TODAY()&lt;=7,"Em "&amp;(C267-TODAY())&amp;" dias","Agendada")))))</f>
        <v/>
      </c>
      <c r="G267" s="55" t="str">
        <f aca="false">IF(OR(A267="",NOT(ISNUMBER(C267))),"",IF(COUNTIFS($A$2:$A$301,A267,$C$2:$C$301,C267)&gt;1,"⚠ Folga duplicada",IF(COUNTIFS(FÉRIAS!$A$2:$A$301,A267,FÉRIAS!$C$2:$C$301,"&lt;="&amp;C267,FÉRIAS!$D$2:$D$301,"&gt;="&amp;C267)&gt;0,"⚠ Está de férias nesta data",IF(COUNTIFS(NATAL!$A$2:$A$301,A267,NATAL!$C$2:$C$301,C267,NATAL!$D$2:$D$301,"FOLGA")+COUNTIFS('ANO NOVO'!$A$2:$A$301,A267,'ANO NOVO'!$C$2:$C$301,C267,'ANO NOVO'!$D$2:$D$301,"FOLGA")&gt;0,"⚠ Folga já lançada em NATAL/ANO NOVO",IF(COUNTIFS(NATAL!$A$2:$A$301,A267,NATAL!$C$2:$C$301,C267,NATAL!$D$2:$D$301,"TRABALHA")+COUNTIFS('ANO NOVO'!$A$2:$A$301,A267,'ANO NOVO'!$C$2:$C$301,C267,'ANO NOVO'!$D$2:$D$301,"TRABALHA")&gt;0,"⚠ Marcado TRABALHA em NATAL/ANO NOVO",IF(COUNTIFS($B$2:$B$301,B267,$C$2:$C$301,C267)&gt;1,"⚠ "&amp;COUNTIFS($B$2:$B$301,B267,$C$2:$C$301,C267)&amp;" pessoas do setor de folga no dia",""))))))</f>
        <v/>
      </c>
    </row>
    <row r="268" customFormat="false" ht="15" hidden="false" customHeight="true" outlineLevel="0" collapsed="false">
      <c r="A268" s="54"/>
      <c r="B268" s="54"/>
      <c r="C268" s="53"/>
      <c r="D268" s="54"/>
      <c r="E268" s="55" t="str">
        <f aca="false">IF(ISNUMBER(C268),CHOOSE(WEEKDAY(C268),"Domingo","Segunda","Terça","Quarta","Quinta","Sexta","Sábado"),"")</f>
        <v/>
      </c>
      <c r="F268" s="55" t="str">
        <f aca="true">IF(NOT(ISNUMBER(C268)),"",IF(C268=TODAY(),"HOJE",IF(C268=TODAY()+1,"AMANHÃ",IF(C268&lt;TODAY(),"Realizada",IF(C268-TODAY()&lt;=7,"Em "&amp;(C268-TODAY())&amp;" dias","Agendada")))))</f>
        <v/>
      </c>
      <c r="G268" s="55" t="str">
        <f aca="false">IF(OR(A268="",NOT(ISNUMBER(C268))),"",IF(COUNTIFS($A$2:$A$301,A268,$C$2:$C$301,C268)&gt;1,"⚠ Folga duplicada",IF(COUNTIFS(FÉRIAS!$A$2:$A$301,A268,FÉRIAS!$C$2:$C$301,"&lt;="&amp;C268,FÉRIAS!$D$2:$D$301,"&gt;="&amp;C268)&gt;0,"⚠ Está de férias nesta data",IF(COUNTIFS(NATAL!$A$2:$A$301,A268,NATAL!$C$2:$C$301,C268,NATAL!$D$2:$D$301,"FOLGA")+COUNTIFS('ANO NOVO'!$A$2:$A$301,A268,'ANO NOVO'!$C$2:$C$301,C268,'ANO NOVO'!$D$2:$D$301,"FOLGA")&gt;0,"⚠ Folga já lançada em NATAL/ANO NOVO",IF(COUNTIFS(NATAL!$A$2:$A$301,A268,NATAL!$C$2:$C$301,C268,NATAL!$D$2:$D$301,"TRABALHA")+COUNTIFS('ANO NOVO'!$A$2:$A$301,A268,'ANO NOVO'!$C$2:$C$301,C268,'ANO NOVO'!$D$2:$D$301,"TRABALHA")&gt;0,"⚠ Marcado TRABALHA em NATAL/ANO NOVO",IF(COUNTIFS($B$2:$B$301,B268,$C$2:$C$301,C268)&gt;1,"⚠ "&amp;COUNTIFS($B$2:$B$301,B268,$C$2:$C$301,C268)&amp;" pessoas do setor de folga no dia",""))))))</f>
        <v/>
      </c>
    </row>
    <row r="269" customFormat="false" ht="15" hidden="false" customHeight="true" outlineLevel="0" collapsed="false">
      <c r="A269" s="54"/>
      <c r="B269" s="54"/>
      <c r="C269" s="53"/>
      <c r="D269" s="54"/>
      <c r="E269" s="55" t="str">
        <f aca="false">IF(ISNUMBER(C269),CHOOSE(WEEKDAY(C269),"Domingo","Segunda","Terça","Quarta","Quinta","Sexta","Sábado"),"")</f>
        <v/>
      </c>
      <c r="F269" s="55" t="str">
        <f aca="true">IF(NOT(ISNUMBER(C269)),"",IF(C269=TODAY(),"HOJE",IF(C269=TODAY()+1,"AMANHÃ",IF(C269&lt;TODAY(),"Realizada",IF(C269-TODAY()&lt;=7,"Em "&amp;(C269-TODAY())&amp;" dias","Agendada")))))</f>
        <v/>
      </c>
      <c r="G269" s="55" t="str">
        <f aca="false">IF(OR(A269="",NOT(ISNUMBER(C269))),"",IF(COUNTIFS($A$2:$A$301,A269,$C$2:$C$301,C269)&gt;1,"⚠ Folga duplicada",IF(COUNTIFS(FÉRIAS!$A$2:$A$301,A269,FÉRIAS!$C$2:$C$301,"&lt;="&amp;C269,FÉRIAS!$D$2:$D$301,"&gt;="&amp;C269)&gt;0,"⚠ Está de férias nesta data",IF(COUNTIFS(NATAL!$A$2:$A$301,A269,NATAL!$C$2:$C$301,C269,NATAL!$D$2:$D$301,"FOLGA")+COUNTIFS('ANO NOVO'!$A$2:$A$301,A269,'ANO NOVO'!$C$2:$C$301,C269,'ANO NOVO'!$D$2:$D$301,"FOLGA")&gt;0,"⚠ Folga já lançada em NATAL/ANO NOVO",IF(COUNTIFS(NATAL!$A$2:$A$301,A269,NATAL!$C$2:$C$301,C269,NATAL!$D$2:$D$301,"TRABALHA")+COUNTIFS('ANO NOVO'!$A$2:$A$301,A269,'ANO NOVO'!$C$2:$C$301,C269,'ANO NOVO'!$D$2:$D$301,"TRABALHA")&gt;0,"⚠ Marcado TRABALHA em NATAL/ANO NOVO",IF(COUNTIFS($B$2:$B$301,B269,$C$2:$C$301,C269)&gt;1,"⚠ "&amp;COUNTIFS($B$2:$B$301,B269,$C$2:$C$301,C269)&amp;" pessoas do setor de folga no dia",""))))))</f>
        <v/>
      </c>
    </row>
    <row r="270" customFormat="false" ht="15" hidden="false" customHeight="true" outlineLevel="0" collapsed="false">
      <c r="A270" s="54"/>
      <c r="B270" s="54"/>
      <c r="C270" s="53"/>
      <c r="D270" s="54"/>
      <c r="E270" s="55" t="str">
        <f aca="false">IF(ISNUMBER(C270),CHOOSE(WEEKDAY(C270),"Domingo","Segunda","Terça","Quarta","Quinta","Sexta","Sábado"),"")</f>
        <v/>
      </c>
      <c r="F270" s="55" t="str">
        <f aca="true">IF(NOT(ISNUMBER(C270)),"",IF(C270=TODAY(),"HOJE",IF(C270=TODAY()+1,"AMANHÃ",IF(C270&lt;TODAY(),"Realizada",IF(C270-TODAY()&lt;=7,"Em "&amp;(C270-TODAY())&amp;" dias","Agendada")))))</f>
        <v/>
      </c>
      <c r="G270" s="55" t="str">
        <f aca="false">IF(OR(A270="",NOT(ISNUMBER(C270))),"",IF(COUNTIFS($A$2:$A$301,A270,$C$2:$C$301,C270)&gt;1,"⚠ Folga duplicada",IF(COUNTIFS(FÉRIAS!$A$2:$A$301,A270,FÉRIAS!$C$2:$C$301,"&lt;="&amp;C270,FÉRIAS!$D$2:$D$301,"&gt;="&amp;C270)&gt;0,"⚠ Está de férias nesta data",IF(COUNTIFS(NATAL!$A$2:$A$301,A270,NATAL!$C$2:$C$301,C270,NATAL!$D$2:$D$301,"FOLGA")+COUNTIFS('ANO NOVO'!$A$2:$A$301,A270,'ANO NOVO'!$C$2:$C$301,C270,'ANO NOVO'!$D$2:$D$301,"FOLGA")&gt;0,"⚠ Folga já lançada em NATAL/ANO NOVO",IF(COUNTIFS(NATAL!$A$2:$A$301,A270,NATAL!$C$2:$C$301,C270,NATAL!$D$2:$D$301,"TRABALHA")+COUNTIFS('ANO NOVO'!$A$2:$A$301,A270,'ANO NOVO'!$C$2:$C$301,C270,'ANO NOVO'!$D$2:$D$301,"TRABALHA")&gt;0,"⚠ Marcado TRABALHA em NATAL/ANO NOVO",IF(COUNTIFS($B$2:$B$301,B270,$C$2:$C$301,C270)&gt;1,"⚠ "&amp;COUNTIFS($B$2:$B$301,B270,$C$2:$C$301,C270)&amp;" pessoas do setor de folga no dia",""))))))</f>
        <v/>
      </c>
    </row>
    <row r="271" customFormat="false" ht="15" hidden="false" customHeight="true" outlineLevel="0" collapsed="false">
      <c r="A271" s="54"/>
      <c r="B271" s="54"/>
      <c r="C271" s="53"/>
      <c r="D271" s="54"/>
      <c r="E271" s="55" t="str">
        <f aca="false">IF(ISNUMBER(C271),CHOOSE(WEEKDAY(C271),"Domingo","Segunda","Terça","Quarta","Quinta","Sexta","Sábado"),"")</f>
        <v/>
      </c>
      <c r="F271" s="55" t="str">
        <f aca="true">IF(NOT(ISNUMBER(C271)),"",IF(C271=TODAY(),"HOJE",IF(C271=TODAY()+1,"AMANHÃ",IF(C271&lt;TODAY(),"Realizada",IF(C271-TODAY()&lt;=7,"Em "&amp;(C271-TODAY())&amp;" dias","Agendada")))))</f>
        <v/>
      </c>
      <c r="G271" s="55" t="str">
        <f aca="false">IF(OR(A271="",NOT(ISNUMBER(C271))),"",IF(COUNTIFS($A$2:$A$301,A271,$C$2:$C$301,C271)&gt;1,"⚠ Folga duplicada",IF(COUNTIFS(FÉRIAS!$A$2:$A$301,A271,FÉRIAS!$C$2:$C$301,"&lt;="&amp;C271,FÉRIAS!$D$2:$D$301,"&gt;="&amp;C271)&gt;0,"⚠ Está de férias nesta data",IF(COUNTIFS(NATAL!$A$2:$A$301,A271,NATAL!$C$2:$C$301,C271,NATAL!$D$2:$D$301,"FOLGA")+COUNTIFS('ANO NOVO'!$A$2:$A$301,A271,'ANO NOVO'!$C$2:$C$301,C271,'ANO NOVO'!$D$2:$D$301,"FOLGA")&gt;0,"⚠ Folga já lançada em NATAL/ANO NOVO",IF(COUNTIFS(NATAL!$A$2:$A$301,A271,NATAL!$C$2:$C$301,C271,NATAL!$D$2:$D$301,"TRABALHA")+COUNTIFS('ANO NOVO'!$A$2:$A$301,A271,'ANO NOVO'!$C$2:$C$301,C271,'ANO NOVO'!$D$2:$D$301,"TRABALHA")&gt;0,"⚠ Marcado TRABALHA em NATAL/ANO NOVO",IF(COUNTIFS($B$2:$B$301,B271,$C$2:$C$301,C271)&gt;1,"⚠ "&amp;COUNTIFS($B$2:$B$301,B271,$C$2:$C$301,C271)&amp;" pessoas do setor de folga no dia",""))))))</f>
        <v/>
      </c>
    </row>
    <row r="272" customFormat="false" ht="15" hidden="false" customHeight="true" outlineLevel="0" collapsed="false">
      <c r="A272" s="54"/>
      <c r="B272" s="54"/>
      <c r="C272" s="53"/>
      <c r="D272" s="54"/>
      <c r="E272" s="55" t="str">
        <f aca="false">IF(ISNUMBER(C272),CHOOSE(WEEKDAY(C272),"Domingo","Segunda","Terça","Quarta","Quinta","Sexta","Sábado"),"")</f>
        <v/>
      </c>
      <c r="F272" s="55" t="str">
        <f aca="true">IF(NOT(ISNUMBER(C272)),"",IF(C272=TODAY(),"HOJE",IF(C272=TODAY()+1,"AMANHÃ",IF(C272&lt;TODAY(),"Realizada",IF(C272-TODAY()&lt;=7,"Em "&amp;(C272-TODAY())&amp;" dias","Agendada")))))</f>
        <v/>
      </c>
      <c r="G272" s="55" t="str">
        <f aca="false">IF(OR(A272="",NOT(ISNUMBER(C272))),"",IF(COUNTIFS($A$2:$A$301,A272,$C$2:$C$301,C272)&gt;1,"⚠ Folga duplicada",IF(COUNTIFS(FÉRIAS!$A$2:$A$301,A272,FÉRIAS!$C$2:$C$301,"&lt;="&amp;C272,FÉRIAS!$D$2:$D$301,"&gt;="&amp;C272)&gt;0,"⚠ Está de férias nesta data",IF(COUNTIFS(NATAL!$A$2:$A$301,A272,NATAL!$C$2:$C$301,C272,NATAL!$D$2:$D$301,"FOLGA")+COUNTIFS('ANO NOVO'!$A$2:$A$301,A272,'ANO NOVO'!$C$2:$C$301,C272,'ANO NOVO'!$D$2:$D$301,"FOLGA")&gt;0,"⚠ Folga já lançada em NATAL/ANO NOVO",IF(COUNTIFS(NATAL!$A$2:$A$301,A272,NATAL!$C$2:$C$301,C272,NATAL!$D$2:$D$301,"TRABALHA")+COUNTIFS('ANO NOVO'!$A$2:$A$301,A272,'ANO NOVO'!$C$2:$C$301,C272,'ANO NOVO'!$D$2:$D$301,"TRABALHA")&gt;0,"⚠ Marcado TRABALHA em NATAL/ANO NOVO",IF(COUNTIFS($B$2:$B$301,B272,$C$2:$C$301,C272)&gt;1,"⚠ "&amp;COUNTIFS($B$2:$B$301,B272,$C$2:$C$301,C272)&amp;" pessoas do setor de folga no dia",""))))))</f>
        <v/>
      </c>
    </row>
    <row r="273" customFormat="false" ht="15" hidden="false" customHeight="true" outlineLevel="0" collapsed="false">
      <c r="A273" s="54"/>
      <c r="B273" s="54"/>
      <c r="C273" s="53"/>
      <c r="D273" s="54"/>
      <c r="E273" s="55" t="str">
        <f aca="false">IF(ISNUMBER(C273),CHOOSE(WEEKDAY(C273),"Domingo","Segunda","Terça","Quarta","Quinta","Sexta","Sábado"),"")</f>
        <v/>
      </c>
      <c r="F273" s="55" t="str">
        <f aca="true">IF(NOT(ISNUMBER(C273)),"",IF(C273=TODAY(),"HOJE",IF(C273=TODAY()+1,"AMANHÃ",IF(C273&lt;TODAY(),"Realizada",IF(C273-TODAY()&lt;=7,"Em "&amp;(C273-TODAY())&amp;" dias","Agendada")))))</f>
        <v/>
      </c>
      <c r="G273" s="55" t="str">
        <f aca="false">IF(OR(A273="",NOT(ISNUMBER(C273))),"",IF(COUNTIFS($A$2:$A$301,A273,$C$2:$C$301,C273)&gt;1,"⚠ Folga duplicada",IF(COUNTIFS(FÉRIAS!$A$2:$A$301,A273,FÉRIAS!$C$2:$C$301,"&lt;="&amp;C273,FÉRIAS!$D$2:$D$301,"&gt;="&amp;C273)&gt;0,"⚠ Está de férias nesta data",IF(COUNTIFS(NATAL!$A$2:$A$301,A273,NATAL!$C$2:$C$301,C273,NATAL!$D$2:$D$301,"FOLGA")+COUNTIFS('ANO NOVO'!$A$2:$A$301,A273,'ANO NOVO'!$C$2:$C$301,C273,'ANO NOVO'!$D$2:$D$301,"FOLGA")&gt;0,"⚠ Folga já lançada em NATAL/ANO NOVO",IF(COUNTIFS(NATAL!$A$2:$A$301,A273,NATAL!$C$2:$C$301,C273,NATAL!$D$2:$D$301,"TRABALHA")+COUNTIFS('ANO NOVO'!$A$2:$A$301,A273,'ANO NOVO'!$C$2:$C$301,C273,'ANO NOVO'!$D$2:$D$301,"TRABALHA")&gt;0,"⚠ Marcado TRABALHA em NATAL/ANO NOVO",IF(COUNTIFS($B$2:$B$301,B273,$C$2:$C$301,C273)&gt;1,"⚠ "&amp;COUNTIFS($B$2:$B$301,B273,$C$2:$C$301,C273)&amp;" pessoas do setor de folga no dia",""))))))</f>
        <v/>
      </c>
    </row>
    <row r="274" customFormat="false" ht="15" hidden="false" customHeight="true" outlineLevel="0" collapsed="false">
      <c r="A274" s="54"/>
      <c r="B274" s="54"/>
      <c r="C274" s="53"/>
      <c r="D274" s="54"/>
      <c r="E274" s="55" t="str">
        <f aca="false">IF(ISNUMBER(C274),CHOOSE(WEEKDAY(C274),"Domingo","Segunda","Terça","Quarta","Quinta","Sexta","Sábado"),"")</f>
        <v/>
      </c>
      <c r="F274" s="55" t="str">
        <f aca="true">IF(NOT(ISNUMBER(C274)),"",IF(C274=TODAY(),"HOJE",IF(C274=TODAY()+1,"AMANHÃ",IF(C274&lt;TODAY(),"Realizada",IF(C274-TODAY()&lt;=7,"Em "&amp;(C274-TODAY())&amp;" dias","Agendada")))))</f>
        <v/>
      </c>
      <c r="G274" s="55" t="str">
        <f aca="false">IF(OR(A274="",NOT(ISNUMBER(C274))),"",IF(COUNTIFS($A$2:$A$301,A274,$C$2:$C$301,C274)&gt;1,"⚠ Folga duplicada",IF(COUNTIFS(FÉRIAS!$A$2:$A$301,A274,FÉRIAS!$C$2:$C$301,"&lt;="&amp;C274,FÉRIAS!$D$2:$D$301,"&gt;="&amp;C274)&gt;0,"⚠ Está de férias nesta data",IF(COUNTIFS(NATAL!$A$2:$A$301,A274,NATAL!$C$2:$C$301,C274,NATAL!$D$2:$D$301,"FOLGA")+COUNTIFS('ANO NOVO'!$A$2:$A$301,A274,'ANO NOVO'!$C$2:$C$301,C274,'ANO NOVO'!$D$2:$D$301,"FOLGA")&gt;0,"⚠ Folga já lançada em NATAL/ANO NOVO",IF(COUNTIFS(NATAL!$A$2:$A$301,A274,NATAL!$C$2:$C$301,C274,NATAL!$D$2:$D$301,"TRABALHA")+COUNTIFS('ANO NOVO'!$A$2:$A$301,A274,'ANO NOVO'!$C$2:$C$301,C274,'ANO NOVO'!$D$2:$D$301,"TRABALHA")&gt;0,"⚠ Marcado TRABALHA em NATAL/ANO NOVO",IF(COUNTIFS($B$2:$B$301,B274,$C$2:$C$301,C274)&gt;1,"⚠ "&amp;COUNTIFS($B$2:$B$301,B274,$C$2:$C$301,C274)&amp;" pessoas do setor de folga no dia",""))))))</f>
        <v/>
      </c>
    </row>
    <row r="275" customFormat="false" ht="15" hidden="false" customHeight="true" outlineLevel="0" collapsed="false">
      <c r="A275" s="54"/>
      <c r="B275" s="54"/>
      <c r="C275" s="53"/>
      <c r="D275" s="54"/>
      <c r="E275" s="55" t="str">
        <f aca="false">IF(ISNUMBER(C275),CHOOSE(WEEKDAY(C275),"Domingo","Segunda","Terça","Quarta","Quinta","Sexta","Sábado"),"")</f>
        <v/>
      </c>
      <c r="F275" s="55" t="str">
        <f aca="true">IF(NOT(ISNUMBER(C275)),"",IF(C275=TODAY(),"HOJE",IF(C275=TODAY()+1,"AMANHÃ",IF(C275&lt;TODAY(),"Realizada",IF(C275-TODAY()&lt;=7,"Em "&amp;(C275-TODAY())&amp;" dias","Agendada")))))</f>
        <v/>
      </c>
      <c r="G275" s="55" t="str">
        <f aca="false">IF(OR(A275="",NOT(ISNUMBER(C275))),"",IF(COUNTIFS($A$2:$A$301,A275,$C$2:$C$301,C275)&gt;1,"⚠ Folga duplicada",IF(COUNTIFS(FÉRIAS!$A$2:$A$301,A275,FÉRIAS!$C$2:$C$301,"&lt;="&amp;C275,FÉRIAS!$D$2:$D$301,"&gt;="&amp;C275)&gt;0,"⚠ Está de férias nesta data",IF(COUNTIFS(NATAL!$A$2:$A$301,A275,NATAL!$C$2:$C$301,C275,NATAL!$D$2:$D$301,"FOLGA")+COUNTIFS('ANO NOVO'!$A$2:$A$301,A275,'ANO NOVO'!$C$2:$C$301,C275,'ANO NOVO'!$D$2:$D$301,"FOLGA")&gt;0,"⚠ Folga já lançada em NATAL/ANO NOVO",IF(COUNTIFS(NATAL!$A$2:$A$301,A275,NATAL!$C$2:$C$301,C275,NATAL!$D$2:$D$301,"TRABALHA")+COUNTIFS('ANO NOVO'!$A$2:$A$301,A275,'ANO NOVO'!$C$2:$C$301,C275,'ANO NOVO'!$D$2:$D$301,"TRABALHA")&gt;0,"⚠ Marcado TRABALHA em NATAL/ANO NOVO",IF(COUNTIFS($B$2:$B$301,B275,$C$2:$C$301,C275)&gt;1,"⚠ "&amp;COUNTIFS($B$2:$B$301,B275,$C$2:$C$301,C275)&amp;" pessoas do setor de folga no dia",""))))))</f>
        <v/>
      </c>
    </row>
    <row r="276" customFormat="false" ht="15" hidden="false" customHeight="true" outlineLevel="0" collapsed="false">
      <c r="A276" s="54"/>
      <c r="B276" s="54"/>
      <c r="C276" s="53"/>
      <c r="D276" s="54"/>
      <c r="E276" s="55" t="str">
        <f aca="false">IF(ISNUMBER(C276),CHOOSE(WEEKDAY(C276),"Domingo","Segunda","Terça","Quarta","Quinta","Sexta","Sábado"),"")</f>
        <v/>
      </c>
      <c r="F276" s="55" t="str">
        <f aca="true">IF(NOT(ISNUMBER(C276)),"",IF(C276=TODAY(),"HOJE",IF(C276=TODAY()+1,"AMANHÃ",IF(C276&lt;TODAY(),"Realizada",IF(C276-TODAY()&lt;=7,"Em "&amp;(C276-TODAY())&amp;" dias","Agendada")))))</f>
        <v/>
      </c>
      <c r="G276" s="55" t="str">
        <f aca="false">IF(OR(A276="",NOT(ISNUMBER(C276))),"",IF(COUNTIFS($A$2:$A$301,A276,$C$2:$C$301,C276)&gt;1,"⚠ Folga duplicada",IF(COUNTIFS(FÉRIAS!$A$2:$A$301,A276,FÉRIAS!$C$2:$C$301,"&lt;="&amp;C276,FÉRIAS!$D$2:$D$301,"&gt;="&amp;C276)&gt;0,"⚠ Está de férias nesta data",IF(COUNTIFS(NATAL!$A$2:$A$301,A276,NATAL!$C$2:$C$301,C276,NATAL!$D$2:$D$301,"FOLGA")+COUNTIFS('ANO NOVO'!$A$2:$A$301,A276,'ANO NOVO'!$C$2:$C$301,C276,'ANO NOVO'!$D$2:$D$301,"FOLGA")&gt;0,"⚠ Folga já lançada em NATAL/ANO NOVO",IF(COUNTIFS(NATAL!$A$2:$A$301,A276,NATAL!$C$2:$C$301,C276,NATAL!$D$2:$D$301,"TRABALHA")+COUNTIFS('ANO NOVO'!$A$2:$A$301,A276,'ANO NOVO'!$C$2:$C$301,C276,'ANO NOVO'!$D$2:$D$301,"TRABALHA")&gt;0,"⚠ Marcado TRABALHA em NATAL/ANO NOVO",IF(COUNTIFS($B$2:$B$301,B276,$C$2:$C$301,C276)&gt;1,"⚠ "&amp;COUNTIFS($B$2:$B$301,B276,$C$2:$C$301,C276)&amp;" pessoas do setor de folga no dia",""))))))</f>
        <v/>
      </c>
    </row>
    <row r="277" customFormat="false" ht="15" hidden="false" customHeight="true" outlineLevel="0" collapsed="false">
      <c r="A277" s="54"/>
      <c r="B277" s="54"/>
      <c r="C277" s="53"/>
      <c r="D277" s="54"/>
      <c r="E277" s="55" t="str">
        <f aca="false">IF(ISNUMBER(C277),CHOOSE(WEEKDAY(C277),"Domingo","Segunda","Terça","Quarta","Quinta","Sexta","Sábado"),"")</f>
        <v/>
      </c>
      <c r="F277" s="55" t="str">
        <f aca="true">IF(NOT(ISNUMBER(C277)),"",IF(C277=TODAY(),"HOJE",IF(C277=TODAY()+1,"AMANHÃ",IF(C277&lt;TODAY(),"Realizada",IF(C277-TODAY()&lt;=7,"Em "&amp;(C277-TODAY())&amp;" dias","Agendada")))))</f>
        <v/>
      </c>
      <c r="G277" s="55" t="str">
        <f aca="false">IF(OR(A277="",NOT(ISNUMBER(C277))),"",IF(COUNTIFS($A$2:$A$301,A277,$C$2:$C$301,C277)&gt;1,"⚠ Folga duplicada",IF(COUNTIFS(FÉRIAS!$A$2:$A$301,A277,FÉRIAS!$C$2:$C$301,"&lt;="&amp;C277,FÉRIAS!$D$2:$D$301,"&gt;="&amp;C277)&gt;0,"⚠ Está de férias nesta data",IF(COUNTIFS(NATAL!$A$2:$A$301,A277,NATAL!$C$2:$C$301,C277,NATAL!$D$2:$D$301,"FOLGA")+COUNTIFS('ANO NOVO'!$A$2:$A$301,A277,'ANO NOVO'!$C$2:$C$301,C277,'ANO NOVO'!$D$2:$D$301,"FOLGA")&gt;0,"⚠ Folga já lançada em NATAL/ANO NOVO",IF(COUNTIFS(NATAL!$A$2:$A$301,A277,NATAL!$C$2:$C$301,C277,NATAL!$D$2:$D$301,"TRABALHA")+COUNTIFS('ANO NOVO'!$A$2:$A$301,A277,'ANO NOVO'!$C$2:$C$301,C277,'ANO NOVO'!$D$2:$D$301,"TRABALHA")&gt;0,"⚠ Marcado TRABALHA em NATAL/ANO NOVO",IF(COUNTIFS($B$2:$B$301,B277,$C$2:$C$301,C277)&gt;1,"⚠ "&amp;COUNTIFS($B$2:$B$301,B277,$C$2:$C$301,C277)&amp;" pessoas do setor de folga no dia",""))))))</f>
        <v/>
      </c>
    </row>
    <row r="278" customFormat="false" ht="15" hidden="false" customHeight="true" outlineLevel="0" collapsed="false">
      <c r="A278" s="54"/>
      <c r="B278" s="54"/>
      <c r="C278" s="53"/>
      <c r="D278" s="54"/>
      <c r="E278" s="55" t="str">
        <f aca="false">IF(ISNUMBER(C278),CHOOSE(WEEKDAY(C278),"Domingo","Segunda","Terça","Quarta","Quinta","Sexta","Sábado"),"")</f>
        <v/>
      </c>
      <c r="F278" s="55" t="str">
        <f aca="true">IF(NOT(ISNUMBER(C278)),"",IF(C278=TODAY(),"HOJE",IF(C278=TODAY()+1,"AMANHÃ",IF(C278&lt;TODAY(),"Realizada",IF(C278-TODAY()&lt;=7,"Em "&amp;(C278-TODAY())&amp;" dias","Agendada")))))</f>
        <v/>
      </c>
      <c r="G278" s="55" t="str">
        <f aca="false">IF(OR(A278="",NOT(ISNUMBER(C278))),"",IF(COUNTIFS($A$2:$A$301,A278,$C$2:$C$301,C278)&gt;1,"⚠ Folga duplicada",IF(COUNTIFS(FÉRIAS!$A$2:$A$301,A278,FÉRIAS!$C$2:$C$301,"&lt;="&amp;C278,FÉRIAS!$D$2:$D$301,"&gt;="&amp;C278)&gt;0,"⚠ Está de férias nesta data",IF(COUNTIFS(NATAL!$A$2:$A$301,A278,NATAL!$C$2:$C$301,C278,NATAL!$D$2:$D$301,"FOLGA")+COUNTIFS('ANO NOVO'!$A$2:$A$301,A278,'ANO NOVO'!$C$2:$C$301,C278,'ANO NOVO'!$D$2:$D$301,"FOLGA")&gt;0,"⚠ Folga já lançada em NATAL/ANO NOVO",IF(COUNTIFS(NATAL!$A$2:$A$301,A278,NATAL!$C$2:$C$301,C278,NATAL!$D$2:$D$301,"TRABALHA")+COUNTIFS('ANO NOVO'!$A$2:$A$301,A278,'ANO NOVO'!$C$2:$C$301,C278,'ANO NOVO'!$D$2:$D$301,"TRABALHA")&gt;0,"⚠ Marcado TRABALHA em NATAL/ANO NOVO",IF(COUNTIFS($B$2:$B$301,B278,$C$2:$C$301,C278)&gt;1,"⚠ "&amp;COUNTIFS($B$2:$B$301,B278,$C$2:$C$301,C278)&amp;" pessoas do setor de folga no dia",""))))))</f>
        <v/>
      </c>
    </row>
    <row r="279" customFormat="false" ht="15" hidden="false" customHeight="true" outlineLevel="0" collapsed="false">
      <c r="A279" s="54"/>
      <c r="B279" s="54"/>
      <c r="C279" s="53"/>
      <c r="D279" s="54"/>
      <c r="E279" s="55" t="str">
        <f aca="false">IF(ISNUMBER(C279),CHOOSE(WEEKDAY(C279),"Domingo","Segunda","Terça","Quarta","Quinta","Sexta","Sábado"),"")</f>
        <v/>
      </c>
      <c r="F279" s="55" t="str">
        <f aca="true">IF(NOT(ISNUMBER(C279)),"",IF(C279=TODAY(),"HOJE",IF(C279=TODAY()+1,"AMANHÃ",IF(C279&lt;TODAY(),"Realizada",IF(C279-TODAY()&lt;=7,"Em "&amp;(C279-TODAY())&amp;" dias","Agendada")))))</f>
        <v/>
      </c>
      <c r="G279" s="55" t="str">
        <f aca="false">IF(OR(A279="",NOT(ISNUMBER(C279))),"",IF(COUNTIFS($A$2:$A$301,A279,$C$2:$C$301,C279)&gt;1,"⚠ Folga duplicada",IF(COUNTIFS(FÉRIAS!$A$2:$A$301,A279,FÉRIAS!$C$2:$C$301,"&lt;="&amp;C279,FÉRIAS!$D$2:$D$301,"&gt;="&amp;C279)&gt;0,"⚠ Está de férias nesta data",IF(COUNTIFS(NATAL!$A$2:$A$301,A279,NATAL!$C$2:$C$301,C279,NATAL!$D$2:$D$301,"FOLGA")+COUNTIFS('ANO NOVO'!$A$2:$A$301,A279,'ANO NOVO'!$C$2:$C$301,C279,'ANO NOVO'!$D$2:$D$301,"FOLGA")&gt;0,"⚠ Folga já lançada em NATAL/ANO NOVO",IF(COUNTIFS(NATAL!$A$2:$A$301,A279,NATAL!$C$2:$C$301,C279,NATAL!$D$2:$D$301,"TRABALHA")+COUNTIFS('ANO NOVO'!$A$2:$A$301,A279,'ANO NOVO'!$C$2:$C$301,C279,'ANO NOVO'!$D$2:$D$301,"TRABALHA")&gt;0,"⚠ Marcado TRABALHA em NATAL/ANO NOVO",IF(COUNTIFS($B$2:$B$301,B279,$C$2:$C$301,C279)&gt;1,"⚠ "&amp;COUNTIFS($B$2:$B$301,B279,$C$2:$C$301,C279)&amp;" pessoas do setor de folga no dia",""))))))</f>
        <v/>
      </c>
    </row>
    <row r="280" customFormat="false" ht="15" hidden="false" customHeight="true" outlineLevel="0" collapsed="false">
      <c r="A280" s="54"/>
      <c r="B280" s="54"/>
      <c r="C280" s="53"/>
      <c r="D280" s="54"/>
      <c r="E280" s="55" t="str">
        <f aca="false">IF(ISNUMBER(C280),CHOOSE(WEEKDAY(C280),"Domingo","Segunda","Terça","Quarta","Quinta","Sexta","Sábado"),"")</f>
        <v/>
      </c>
      <c r="F280" s="55" t="str">
        <f aca="true">IF(NOT(ISNUMBER(C280)),"",IF(C280=TODAY(),"HOJE",IF(C280=TODAY()+1,"AMANHÃ",IF(C280&lt;TODAY(),"Realizada",IF(C280-TODAY()&lt;=7,"Em "&amp;(C280-TODAY())&amp;" dias","Agendada")))))</f>
        <v/>
      </c>
      <c r="G280" s="55" t="str">
        <f aca="false">IF(OR(A280="",NOT(ISNUMBER(C280))),"",IF(COUNTIFS($A$2:$A$301,A280,$C$2:$C$301,C280)&gt;1,"⚠ Folga duplicada",IF(COUNTIFS(FÉRIAS!$A$2:$A$301,A280,FÉRIAS!$C$2:$C$301,"&lt;="&amp;C280,FÉRIAS!$D$2:$D$301,"&gt;="&amp;C280)&gt;0,"⚠ Está de férias nesta data",IF(COUNTIFS(NATAL!$A$2:$A$301,A280,NATAL!$C$2:$C$301,C280,NATAL!$D$2:$D$301,"FOLGA")+COUNTIFS('ANO NOVO'!$A$2:$A$301,A280,'ANO NOVO'!$C$2:$C$301,C280,'ANO NOVO'!$D$2:$D$301,"FOLGA")&gt;0,"⚠ Folga já lançada em NATAL/ANO NOVO",IF(COUNTIFS(NATAL!$A$2:$A$301,A280,NATAL!$C$2:$C$301,C280,NATAL!$D$2:$D$301,"TRABALHA")+COUNTIFS('ANO NOVO'!$A$2:$A$301,A280,'ANO NOVO'!$C$2:$C$301,C280,'ANO NOVO'!$D$2:$D$301,"TRABALHA")&gt;0,"⚠ Marcado TRABALHA em NATAL/ANO NOVO",IF(COUNTIFS($B$2:$B$301,B280,$C$2:$C$301,C280)&gt;1,"⚠ "&amp;COUNTIFS($B$2:$B$301,B280,$C$2:$C$301,C280)&amp;" pessoas do setor de folga no dia",""))))))</f>
        <v/>
      </c>
    </row>
    <row r="281" customFormat="false" ht="15" hidden="false" customHeight="true" outlineLevel="0" collapsed="false">
      <c r="A281" s="54"/>
      <c r="B281" s="54"/>
      <c r="C281" s="53"/>
      <c r="D281" s="54"/>
      <c r="E281" s="55" t="str">
        <f aca="false">IF(ISNUMBER(C281),CHOOSE(WEEKDAY(C281),"Domingo","Segunda","Terça","Quarta","Quinta","Sexta","Sábado"),"")</f>
        <v/>
      </c>
      <c r="F281" s="55" t="str">
        <f aca="true">IF(NOT(ISNUMBER(C281)),"",IF(C281=TODAY(),"HOJE",IF(C281=TODAY()+1,"AMANHÃ",IF(C281&lt;TODAY(),"Realizada",IF(C281-TODAY()&lt;=7,"Em "&amp;(C281-TODAY())&amp;" dias","Agendada")))))</f>
        <v/>
      </c>
      <c r="G281" s="55" t="str">
        <f aca="false">IF(OR(A281="",NOT(ISNUMBER(C281))),"",IF(COUNTIFS($A$2:$A$301,A281,$C$2:$C$301,C281)&gt;1,"⚠ Folga duplicada",IF(COUNTIFS(FÉRIAS!$A$2:$A$301,A281,FÉRIAS!$C$2:$C$301,"&lt;="&amp;C281,FÉRIAS!$D$2:$D$301,"&gt;="&amp;C281)&gt;0,"⚠ Está de férias nesta data",IF(COUNTIFS(NATAL!$A$2:$A$301,A281,NATAL!$C$2:$C$301,C281,NATAL!$D$2:$D$301,"FOLGA")+COUNTIFS('ANO NOVO'!$A$2:$A$301,A281,'ANO NOVO'!$C$2:$C$301,C281,'ANO NOVO'!$D$2:$D$301,"FOLGA")&gt;0,"⚠ Folga já lançada em NATAL/ANO NOVO",IF(COUNTIFS(NATAL!$A$2:$A$301,A281,NATAL!$C$2:$C$301,C281,NATAL!$D$2:$D$301,"TRABALHA")+COUNTIFS('ANO NOVO'!$A$2:$A$301,A281,'ANO NOVO'!$C$2:$C$301,C281,'ANO NOVO'!$D$2:$D$301,"TRABALHA")&gt;0,"⚠ Marcado TRABALHA em NATAL/ANO NOVO",IF(COUNTIFS($B$2:$B$301,B281,$C$2:$C$301,C281)&gt;1,"⚠ "&amp;COUNTIFS($B$2:$B$301,B281,$C$2:$C$301,C281)&amp;" pessoas do setor de folga no dia",""))))))</f>
        <v/>
      </c>
    </row>
    <row r="282" customFormat="false" ht="15" hidden="false" customHeight="true" outlineLevel="0" collapsed="false">
      <c r="A282" s="54"/>
      <c r="B282" s="54"/>
      <c r="C282" s="53"/>
      <c r="D282" s="54"/>
      <c r="E282" s="55" t="str">
        <f aca="false">IF(ISNUMBER(C282),CHOOSE(WEEKDAY(C282),"Domingo","Segunda","Terça","Quarta","Quinta","Sexta","Sábado"),"")</f>
        <v/>
      </c>
      <c r="F282" s="55" t="str">
        <f aca="true">IF(NOT(ISNUMBER(C282)),"",IF(C282=TODAY(),"HOJE",IF(C282=TODAY()+1,"AMANHÃ",IF(C282&lt;TODAY(),"Realizada",IF(C282-TODAY()&lt;=7,"Em "&amp;(C282-TODAY())&amp;" dias","Agendada")))))</f>
        <v/>
      </c>
      <c r="G282" s="55" t="str">
        <f aca="false">IF(OR(A282="",NOT(ISNUMBER(C282))),"",IF(COUNTIFS($A$2:$A$301,A282,$C$2:$C$301,C282)&gt;1,"⚠ Folga duplicada",IF(COUNTIFS(FÉRIAS!$A$2:$A$301,A282,FÉRIAS!$C$2:$C$301,"&lt;="&amp;C282,FÉRIAS!$D$2:$D$301,"&gt;="&amp;C282)&gt;0,"⚠ Está de férias nesta data",IF(COUNTIFS(NATAL!$A$2:$A$301,A282,NATAL!$C$2:$C$301,C282,NATAL!$D$2:$D$301,"FOLGA")+COUNTIFS('ANO NOVO'!$A$2:$A$301,A282,'ANO NOVO'!$C$2:$C$301,C282,'ANO NOVO'!$D$2:$D$301,"FOLGA")&gt;0,"⚠ Folga já lançada em NATAL/ANO NOVO",IF(COUNTIFS(NATAL!$A$2:$A$301,A282,NATAL!$C$2:$C$301,C282,NATAL!$D$2:$D$301,"TRABALHA")+COUNTIFS('ANO NOVO'!$A$2:$A$301,A282,'ANO NOVO'!$C$2:$C$301,C282,'ANO NOVO'!$D$2:$D$301,"TRABALHA")&gt;0,"⚠ Marcado TRABALHA em NATAL/ANO NOVO",IF(COUNTIFS($B$2:$B$301,B282,$C$2:$C$301,C282)&gt;1,"⚠ "&amp;COUNTIFS($B$2:$B$301,B282,$C$2:$C$301,C282)&amp;" pessoas do setor de folga no dia",""))))))</f>
        <v/>
      </c>
    </row>
    <row r="283" customFormat="false" ht="15" hidden="false" customHeight="true" outlineLevel="0" collapsed="false">
      <c r="A283" s="54"/>
      <c r="B283" s="54"/>
      <c r="C283" s="53"/>
      <c r="D283" s="54"/>
      <c r="E283" s="55" t="str">
        <f aca="false">IF(ISNUMBER(C283),CHOOSE(WEEKDAY(C283),"Domingo","Segunda","Terça","Quarta","Quinta","Sexta","Sábado"),"")</f>
        <v/>
      </c>
      <c r="F283" s="55" t="str">
        <f aca="true">IF(NOT(ISNUMBER(C283)),"",IF(C283=TODAY(),"HOJE",IF(C283=TODAY()+1,"AMANHÃ",IF(C283&lt;TODAY(),"Realizada",IF(C283-TODAY()&lt;=7,"Em "&amp;(C283-TODAY())&amp;" dias","Agendada")))))</f>
        <v/>
      </c>
      <c r="G283" s="55" t="str">
        <f aca="false">IF(OR(A283="",NOT(ISNUMBER(C283))),"",IF(COUNTIFS($A$2:$A$301,A283,$C$2:$C$301,C283)&gt;1,"⚠ Folga duplicada",IF(COUNTIFS(FÉRIAS!$A$2:$A$301,A283,FÉRIAS!$C$2:$C$301,"&lt;="&amp;C283,FÉRIAS!$D$2:$D$301,"&gt;="&amp;C283)&gt;0,"⚠ Está de férias nesta data",IF(COUNTIFS(NATAL!$A$2:$A$301,A283,NATAL!$C$2:$C$301,C283,NATAL!$D$2:$D$301,"FOLGA")+COUNTIFS('ANO NOVO'!$A$2:$A$301,A283,'ANO NOVO'!$C$2:$C$301,C283,'ANO NOVO'!$D$2:$D$301,"FOLGA")&gt;0,"⚠ Folga já lançada em NATAL/ANO NOVO",IF(COUNTIFS(NATAL!$A$2:$A$301,A283,NATAL!$C$2:$C$301,C283,NATAL!$D$2:$D$301,"TRABALHA")+COUNTIFS('ANO NOVO'!$A$2:$A$301,A283,'ANO NOVO'!$C$2:$C$301,C283,'ANO NOVO'!$D$2:$D$301,"TRABALHA")&gt;0,"⚠ Marcado TRABALHA em NATAL/ANO NOVO",IF(COUNTIFS($B$2:$B$301,B283,$C$2:$C$301,C283)&gt;1,"⚠ "&amp;COUNTIFS($B$2:$B$301,B283,$C$2:$C$301,C283)&amp;" pessoas do setor de folga no dia",""))))))</f>
        <v/>
      </c>
    </row>
    <row r="284" customFormat="false" ht="15" hidden="false" customHeight="true" outlineLevel="0" collapsed="false">
      <c r="A284" s="54"/>
      <c r="B284" s="54"/>
      <c r="C284" s="53"/>
      <c r="D284" s="54"/>
      <c r="E284" s="55" t="str">
        <f aca="false">IF(ISNUMBER(C284),CHOOSE(WEEKDAY(C284),"Domingo","Segunda","Terça","Quarta","Quinta","Sexta","Sábado"),"")</f>
        <v/>
      </c>
      <c r="F284" s="55" t="str">
        <f aca="true">IF(NOT(ISNUMBER(C284)),"",IF(C284=TODAY(),"HOJE",IF(C284=TODAY()+1,"AMANHÃ",IF(C284&lt;TODAY(),"Realizada",IF(C284-TODAY()&lt;=7,"Em "&amp;(C284-TODAY())&amp;" dias","Agendada")))))</f>
        <v/>
      </c>
      <c r="G284" s="55" t="str">
        <f aca="false">IF(OR(A284="",NOT(ISNUMBER(C284))),"",IF(COUNTIFS($A$2:$A$301,A284,$C$2:$C$301,C284)&gt;1,"⚠ Folga duplicada",IF(COUNTIFS(FÉRIAS!$A$2:$A$301,A284,FÉRIAS!$C$2:$C$301,"&lt;="&amp;C284,FÉRIAS!$D$2:$D$301,"&gt;="&amp;C284)&gt;0,"⚠ Está de férias nesta data",IF(COUNTIFS(NATAL!$A$2:$A$301,A284,NATAL!$C$2:$C$301,C284,NATAL!$D$2:$D$301,"FOLGA")+COUNTIFS('ANO NOVO'!$A$2:$A$301,A284,'ANO NOVO'!$C$2:$C$301,C284,'ANO NOVO'!$D$2:$D$301,"FOLGA")&gt;0,"⚠ Folga já lançada em NATAL/ANO NOVO",IF(COUNTIFS(NATAL!$A$2:$A$301,A284,NATAL!$C$2:$C$301,C284,NATAL!$D$2:$D$301,"TRABALHA")+COUNTIFS('ANO NOVO'!$A$2:$A$301,A284,'ANO NOVO'!$C$2:$C$301,C284,'ANO NOVO'!$D$2:$D$301,"TRABALHA")&gt;0,"⚠ Marcado TRABALHA em NATAL/ANO NOVO",IF(COUNTIFS($B$2:$B$301,B284,$C$2:$C$301,C284)&gt;1,"⚠ "&amp;COUNTIFS($B$2:$B$301,B284,$C$2:$C$301,C284)&amp;" pessoas do setor de folga no dia",""))))))</f>
        <v/>
      </c>
    </row>
    <row r="285" customFormat="false" ht="15" hidden="false" customHeight="true" outlineLevel="0" collapsed="false">
      <c r="A285" s="54"/>
      <c r="B285" s="54"/>
      <c r="C285" s="53"/>
      <c r="D285" s="54"/>
      <c r="E285" s="55" t="str">
        <f aca="false">IF(ISNUMBER(C285),CHOOSE(WEEKDAY(C285),"Domingo","Segunda","Terça","Quarta","Quinta","Sexta","Sábado"),"")</f>
        <v/>
      </c>
      <c r="F285" s="55" t="str">
        <f aca="true">IF(NOT(ISNUMBER(C285)),"",IF(C285=TODAY(),"HOJE",IF(C285=TODAY()+1,"AMANHÃ",IF(C285&lt;TODAY(),"Realizada",IF(C285-TODAY()&lt;=7,"Em "&amp;(C285-TODAY())&amp;" dias","Agendada")))))</f>
        <v/>
      </c>
      <c r="G285" s="55" t="str">
        <f aca="false">IF(OR(A285="",NOT(ISNUMBER(C285))),"",IF(COUNTIFS($A$2:$A$301,A285,$C$2:$C$301,C285)&gt;1,"⚠ Folga duplicada",IF(COUNTIFS(FÉRIAS!$A$2:$A$301,A285,FÉRIAS!$C$2:$C$301,"&lt;="&amp;C285,FÉRIAS!$D$2:$D$301,"&gt;="&amp;C285)&gt;0,"⚠ Está de férias nesta data",IF(COUNTIFS(NATAL!$A$2:$A$301,A285,NATAL!$C$2:$C$301,C285,NATAL!$D$2:$D$301,"FOLGA")+COUNTIFS('ANO NOVO'!$A$2:$A$301,A285,'ANO NOVO'!$C$2:$C$301,C285,'ANO NOVO'!$D$2:$D$301,"FOLGA")&gt;0,"⚠ Folga já lançada em NATAL/ANO NOVO",IF(COUNTIFS(NATAL!$A$2:$A$301,A285,NATAL!$C$2:$C$301,C285,NATAL!$D$2:$D$301,"TRABALHA")+COUNTIFS('ANO NOVO'!$A$2:$A$301,A285,'ANO NOVO'!$C$2:$C$301,C285,'ANO NOVO'!$D$2:$D$301,"TRABALHA")&gt;0,"⚠ Marcado TRABALHA em NATAL/ANO NOVO",IF(COUNTIFS($B$2:$B$301,B285,$C$2:$C$301,C285)&gt;1,"⚠ "&amp;COUNTIFS($B$2:$B$301,B285,$C$2:$C$301,C285)&amp;" pessoas do setor de folga no dia",""))))))</f>
        <v/>
      </c>
    </row>
    <row r="286" customFormat="false" ht="15" hidden="false" customHeight="true" outlineLevel="0" collapsed="false">
      <c r="A286" s="54"/>
      <c r="B286" s="54"/>
      <c r="C286" s="53"/>
      <c r="D286" s="54"/>
      <c r="E286" s="55" t="str">
        <f aca="false">IF(ISNUMBER(C286),CHOOSE(WEEKDAY(C286),"Domingo","Segunda","Terça","Quarta","Quinta","Sexta","Sábado"),"")</f>
        <v/>
      </c>
      <c r="F286" s="55" t="str">
        <f aca="true">IF(NOT(ISNUMBER(C286)),"",IF(C286=TODAY(),"HOJE",IF(C286=TODAY()+1,"AMANHÃ",IF(C286&lt;TODAY(),"Realizada",IF(C286-TODAY()&lt;=7,"Em "&amp;(C286-TODAY())&amp;" dias","Agendada")))))</f>
        <v/>
      </c>
      <c r="G286" s="55" t="str">
        <f aca="false">IF(OR(A286="",NOT(ISNUMBER(C286))),"",IF(COUNTIFS($A$2:$A$301,A286,$C$2:$C$301,C286)&gt;1,"⚠ Folga duplicada",IF(COUNTIFS(FÉRIAS!$A$2:$A$301,A286,FÉRIAS!$C$2:$C$301,"&lt;="&amp;C286,FÉRIAS!$D$2:$D$301,"&gt;="&amp;C286)&gt;0,"⚠ Está de férias nesta data",IF(COUNTIFS(NATAL!$A$2:$A$301,A286,NATAL!$C$2:$C$301,C286,NATAL!$D$2:$D$301,"FOLGA")+COUNTIFS('ANO NOVO'!$A$2:$A$301,A286,'ANO NOVO'!$C$2:$C$301,C286,'ANO NOVO'!$D$2:$D$301,"FOLGA")&gt;0,"⚠ Folga já lançada em NATAL/ANO NOVO",IF(COUNTIFS(NATAL!$A$2:$A$301,A286,NATAL!$C$2:$C$301,C286,NATAL!$D$2:$D$301,"TRABALHA")+COUNTIFS('ANO NOVO'!$A$2:$A$301,A286,'ANO NOVO'!$C$2:$C$301,C286,'ANO NOVO'!$D$2:$D$301,"TRABALHA")&gt;0,"⚠ Marcado TRABALHA em NATAL/ANO NOVO",IF(COUNTIFS($B$2:$B$301,B286,$C$2:$C$301,C286)&gt;1,"⚠ "&amp;COUNTIFS($B$2:$B$301,B286,$C$2:$C$301,C286)&amp;" pessoas do setor de folga no dia",""))))))</f>
        <v/>
      </c>
    </row>
    <row r="287" customFormat="false" ht="15" hidden="false" customHeight="true" outlineLevel="0" collapsed="false">
      <c r="A287" s="54"/>
      <c r="B287" s="54"/>
      <c r="C287" s="53"/>
      <c r="D287" s="54"/>
      <c r="E287" s="55" t="str">
        <f aca="false">IF(ISNUMBER(C287),CHOOSE(WEEKDAY(C287),"Domingo","Segunda","Terça","Quarta","Quinta","Sexta","Sábado"),"")</f>
        <v/>
      </c>
      <c r="F287" s="55" t="str">
        <f aca="true">IF(NOT(ISNUMBER(C287)),"",IF(C287=TODAY(),"HOJE",IF(C287=TODAY()+1,"AMANHÃ",IF(C287&lt;TODAY(),"Realizada",IF(C287-TODAY()&lt;=7,"Em "&amp;(C287-TODAY())&amp;" dias","Agendada")))))</f>
        <v/>
      </c>
      <c r="G287" s="55" t="str">
        <f aca="false">IF(OR(A287="",NOT(ISNUMBER(C287))),"",IF(COUNTIFS($A$2:$A$301,A287,$C$2:$C$301,C287)&gt;1,"⚠ Folga duplicada",IF(COUNTIFS(FÉRIAS!$A$2:$A$301,A287,FÉRIAS!$C$2:$C$301,"&lt;="&amp;C287,FÉRIAS!$D$2:$D$301,"&gt;="&amp;C287)&gt;0,"⚠ Está de férias nesta data",IF(COUNTIFS(NATAL!$A$2:$A$301,A287,NATAL!$C$2:$C$301,C287,NATAL!$D$2:$D$301,"FOLGA")+COUNTIFS('ANO NOVO'!$A$2:$A$301,A287,'ANO NOVO'!$C$2:$C$301,C287,'ANO NOVO'!$D$2:$D$301,"FOLGA")&gt;0,"⚠ Folga já lançada em NATAL/ANO NOVO",IF(COUNTIFS(NATAL!$A$2:$A$301,A287,NATAL!$C$2:$C$301,C287,NATAL!$D$2:$D$301,"TRABALHA")+COUNTIFS('ANO NOVO'!$A$2:$A$301,A287,'ANO NOVO'!$C$2:$C$301,C287,'ANO NOVO'!$D$2:$D$301,"TRABALHA")&gt;0,"⚠ Marcado TRABALHA em NATAL/ANO NOVO",IF(COUNTIFS($B$2:$B$301,B287,$C$2:$C$301,C287)&gt;1,"⚠ "&amp;COUNTIFS($B$2:$B$301,B287,$C$2:$C$301,C287)&amp;" pessoas do setor de folga no dia",""))))))</f>
        <v/>
      </c>
    </row>
    <row r="288" customFormat="false" ht="15" hidden="false" customHeight="true" outlineLevel="0" collapsed="false">
      <c r="A288" s="54"/>
      <c r="B288" s="54"/>
      <c r="C288" s="53"/>
      <c r="D288" s="54"/>
      <c r="E288" s="55" t="str">
        <f aca="false">IF(ISNUMBER(C288),CHOOSE(WEEKDAY(C288),"Domingo","Segunda","Terça","Quarta","Quinta","Sexta","Sábado"),"")</f>
        <v/>
      </c>
      <c r="F288" s="55" t="str">
        <f aca="true">IF(NOT(ISNUMBER(C288)),"",IF(C288=TODAY(),"HOJE",IF(C288=TODAY()+1,"AMANHÃ",IF(C288&lt;TODAY(),"Realizada",IF(C288-TODAY()&lt;=7,"Em "&amp;(C288-TODAY())&amp;" dias","Agendada")))))</f>
        <v/>
      </c>
      <c r="G288" s="55" t="str">
        <f aca="false">IF(OR(A288="",NOT(ISNUMBER(C288))),"",IF(COUNTIFS($A$2:$A$301,A288,$C$2:$C$301,C288)&gt;1,"⚠ Folga duplicada",IF(COUNTIFS(FÉRIAS!$A$2:$A$301,A288,FÉRIAS!$C$2:$C$301,"&lt;="&amp;C288,FÉRIAS!$D$2:$D$301,"&gt;="&amp;C288)&gt;0,"⚠ Está de férias nesta data",IF(COUNTIFS(NATAL!$A$2:$A$301,A288,NATAL!$C$2:$C$301,C288,NATAL!$D$2:$D$301,"FOLGA")+COUNTIFS('ANO NOVO'!$A$2:$A$301,A288,'ANO NOVO'!$C$2:$C$301,C288,'ANO NOVO'!$D$2:$D$301,"FOLGA")&gt;0,"⚠ Folga já lançada em NATAL/ANO NOVO",IF(COUNTIFS(NATAL!$A$2:$A$301,A288,NATAL!$C$2:$C$301,C288,NATAL!$D$2:$D$301,"TRABALHA")+COUNTIFS('ANO NOVO'!$A$2:$A$301,A288,'ANO NOVO'!$C$2:$C$301,C288,'ANO NOVO'!$D$2:$D$301,"TRABALHA")&gt;0,"⚠ Marcado TRABALHA em NATAL/ANO NOVO",IF(COUNTIFS($B$2:$B$301,B288,$C$2:$C$301,C288)&gt;1,"⚠ "&amp;COUNTIFS($B$2:$B$301,B288,$C$2:$C$301,C288)&amp;" pessoas do setor de folga no dia",""))))))</f>
        <v/>
      </c>
    </row>
    <row r="289" customFormat="false" ht="15" hidden="false" customHeight="true" outlineLevel="0" collapsed="false">
      <c r="A289" s="54"/>
      <c r="B289" s="54"/>
      <c r="C289" s="53"/>
      <c r="D289" s="54"/>
      <c r="E289" s="55" t="str">
        <f aca="false">IF(ISNUMBER(C289),CHOOSE(WEEKDAY(C289),"Domingo","Segunda","Terça","Quarta","Quinta","Sexta","Sábado"),"")</f>
        <v/>
      </c>
      <c r="F289" s="55" t="str">
        <f aca="true">IF(NOT(ISNUMBER(C289)),"",IF(C289=TODAY(),"HOJE",IF(C289=TODAY()+1,"AMANHÃ",IF(C289&lt;TODAY(),"Realizada",IF(C289-TODAY()&lt;=7,"Em "&amp;(C289-TODAY())&amp;" dias","Agendada")))))</f>
        <v/>
      </c>
      <c r="G289" s="55" t="str">
        <f aca="false">IF(OR(A289="",NOT(ISNUMBER(C289))),"",IF(COUNTIFS($A$2:$A$301,A289,$C$2:$C$301,C289)&gt;1,"⚠ Folga duplicada",IF(COUNTIFS(FÉRIAS!$A$2:$A$301,A289,FÉRIAS!$C$2:$C$301,"&lt;="&amp;C289,FÉRIAS!$D$2:$D$301,"&gt;="&amp;C289)&gt;0,"⚠ Está de férias nesta data",IF(COUNTIFS(NATAL!$A$2:$A$301,A289,NATAL!$C$2:$C$301,C289,NATAL!$D$2:$D$301,"FOLGA")+COUNTIFS('ANO NOVO'!$A$2:$A$301,A289,'ANO NOVO'!$C$2:$C$301,C289,'ANO NOVO'!$D$2:$D$301,"FOLGA")&gt;0,"⚠ Folga já lançada em NATAL/ANO NOVO",IF(COUNTIFS(NATAL!$A$2:$A$301,A289,NATAL!$C$2:$C$301,C289,NATAL!$D$2:$D$301,"TRABALHA")+COUNTIFS('ANO NOVO'!$A$2:$A$301,A289,'ANO NOVO'!$C$2:$C$301,C289,'ANO NOVO'!$D$2:$D$301,"TRABALHA")&gt;0,"⚠ Marcado TRABALHA em NATAL/ANO NOVO",IF(COUNTIFS($B$2:$B$301,B289,$C$2:$C$301,C289)&gt;1,"⚠ "&amp;COUNTIFS($B$2:$B$301,B289,$C$2:$C$301,C289)&amp;" pessoas do setor de folga no dia",""))))))</f>
        <v/>
      </c>
    </row>
    <row r="290" customFormat="false" ht="15" hidden="false" customHeight="true" outlineLevel="0" collapsed="false">
      <c r="A290" s="54"/>
      <c r="B290" s="54"/>
      <c r="C290" s="53"/>
      <c r="D290" s="54"/>
      <c r="E290" s="55" t="str">
        <f aca="false">IF(ISNUMBER(C290),CHOOSE(WEEKDAY(C290),"Domingo","Segunda","Terça","Quarta","Quinta","Sexta","Sábado"),"")</f>
        <v/>
      </c>
      <c r="F290" s="55" t="str">
        <f aca="true">IF(NOT(ISNUMBER(C290)),"",IF(C290=TODAY(),"HOJE",IF(C290=TODAY()+1,"AMANHÃ",IF(C290&lt;TODAY(),"Realizada",IF(C290-TODAY()&lt;=7,"Em "&amp;(C290-TODAY())&amp;" dias","Agendada")))))</f>
        <v/>
      </c>
      <c r="G290" s="55" t="str">
        <f aca="false">IF(OR(A290="",NOT(ISNUMBER(C290))),"",IF(COUNTIFS($A$2:$A$301,A290,$C$2:$C$301,C290)&gt;1,"⚠ Folga duplicada",IF(COUNTIFS(FÉRIAS!$A$2:$A$301,A290,FÉRIAS!$C$2:$C$301,"&lt;="&amp;C290,FÉRIAS!$D$2:$D$301,"&gt;="&amp;C290)&gt;0,"⚠ Está de férias nesta data",IF(COUNTIFS(NATAL!$A$2:$A$301,A290,NATAL!$C$2:$C$301,C290,NATAL!$D$2:$D$301,"FOLGA")+COUNTIFS('ANO NOVO'!$A$2:$A$301,A290,'ANO NOVO'!$C$2:$C$301,C290,'ANO NOVO'!$D$2:$D$301,"FOLGA")&gt;0,"⚠ Folga já lançada em NATAL/ANO NOVO",IF(COUNTIFS(NATAL!$A$2:$A$301,A290,NATAL!$C$2:$C$301,C290,NATAL!$D$2:$D$301,"TRABALHA")+COUNTIFS('ANO NOVO'!$A$2:$A$301,A290,'ANO NOVO'!$C$2:$C$301,C290,'ANO NOVO'!$D$2:$D$301,"TRABALHA")&gt;0,"⚠ Marcado TRABALHA em NATAL/ANO NOVO",IF(COUNTIFS($B$2:$B$301,B290,$C$2:$C$301,C290)&gt;1,"⚠ "&amp;COUNTIFS($B$2:$B$301,B290,$C$2:$C$301,C290)&amp;" pessoas do setor de folga no dia",""))))))</f>
        <v/>
      </c>
    </row>
    <row r="291" customFormat="false" ht="15" hidden="false" customHeight="true" outlineLevel="0" collapsed="false">
      <c r="A291" s="54"/>
      <c r="B291" s="54"/>
      <c r="C291" s="53"/>
      <c r="D291" s="54"/>
      <c r="E291" s="55" t="str">
        <f aca="false">IF(ISNUMBER(C291),CHOOSE(WEEKDAY(C291),"Domingo","Segunda","Terça","Quarta","Quinta","Sexta","Sábado"),"")</f>
        <v/>
      </c>
      <c r="F291" s="55" t="str">
        <f aca="true">IF(NOT(ISNUMBER(C291)),"",IF(C291=TODAY(),"HOJE",IF(C291=TODAY()+1,"AMANHÃ",IF(C291&lt;TODAY(),"Realizada",IF(C291-TODAY()&lt;=7,"Em "&amp;(C291-TODAY())&amp;" dias","Agendada")))))</f>
        <v/>
      </c>
      <c r="G291" s="55" t="str">
        <f aca="false">IF(OR(A291="",NOT(ISNUMBER(C291))),"",IF(COUNTIFS($A$2:$A$301,A291,$C$2:$C$301,C291)&gt;1,"⚠ Folga duplicada",IF(COUNTIFS(FÉRIAS!$A$2:$A$301,A291,FÉRIAS!$C$2:$C$301,"&lt;="&amp;C291,FÉRIAS!$D$2:$D$301,"&gt;="&amp;C291)&gt;0,"⚠ Está de férias nesta data",IF(COUNTIFS(NATAL!$A$2:$A$301,A291,NATAL!$C$2:$C$301,C291,NATAL!$D$2:$D$301,"FOLGA")+COUNTIFS('ANO NOVO'!$A$2:$A$301,A291,'ANO NOVO'!$C$2:$C$301,C291,'ANO NOVO'!$D$2:$D$301,"FOLGA")&gt;0,"⚠ Folga já lançada em NATAL/ANO NOVO",IF(COUNTIFS(NATAL!$A$2:$A$301,A291,NATAL!$C$2:$C$301,C291,NATAL!$D$2:$D$301,"TRABALHA")+COUNTIFS('ANO NOVO'!$A$2:$A$301,A291,'ANO NOVO'!$C$2:$C$301,C291,'ANO NOVO'!$D$2:$D$301,"TRABALHA")&gt;0,"⚠ Marcado TRABALHA em NATAL/ANO NOVO",IF(COUNTIFS($B$2:$B$301,B291,$C$2:$C$301,C291)&gt;1,"⚠ "&amp;COUNTIFS($B$2:$B$301,B291,$C$2:$C$301,C291)&amp;" pessoas do setor de folga no dia",""))))))</f>
        <v/>
      </c>
    </row>
    <row r="292" customFormat="false" ht="15" hidden="false" customHeight="true" outlineLevel="0" collapsed="false">
      <c r="A292" s="54"/>
      <c r="B292" s="54"/>
      <c r="C292" s="53"/>
      <c r="D292" s="54"/>
      <c r="E292" s="55" t="str">
        <f aca="false">IF(ISNUMBER(C292),CHOOSE(WEEKDAY(C292),"Domingo","Segunda","Terça","Quarta","Quinta","Sexta","Sábado"),"")</f>
        <v/>
      </c>
      <c r="F292" s="55" t="str">
        <f aca="true">IF(NOT(ISNUMBER(C292)),"",IF(C292=TODAY(),"HOJE",IF(C292=TODAY()+1,"AMANHÃ",IF(C292&lt;TODAY(),"Realizada",IF(C292-TODAY()&lt;=7,"Em "&amp;(C292-TODAY())&amp;" dias","Agendada")))))</f>
        <v/>
      </c>
      <c r="G292" s="55" t="str">
        <f aca="false">IF(OR(A292="",NOT(ISNUMBER(C292))),"",IF(COUNTIFS($A$2:$A$301,A292,$C$2:$C$301,C292)&gt;1,"⚠ Folga duplicada",IF(COUNTIFS(FÉRIAS!$A$2:$A$301,A292,FÉRIAS!$C$2:$C$301,"&lt;="&amp;C292,FÉRIAS!$D$2:$D$301,"&gt;="&amp;C292)&gt;0,"⚠ Está de férias nesta data",IF(COUNTIFS(NATAL!$A$2:$A$301,A292,NATAL!$C$2:$C$301,C292,NATAL!$D$2:$D$301,"FOLGA")+COUNTIFS('ANO NOVO'!$A$2:$A$301,A292,'ANO NOVO'!$C$2:$C$301,C292,'ANO NOVO'!$D$2:$D$301,"FOLGA")&gt;0,"⚠ Folga já lançada em NATAL/ANO NOVO",IF(COUNTIFS(NATAL!$A$2:$A$301,A292,NATAL!$C$2:$C$301,C292,NATAL!$D$2:$D$301,"TRABALHA")+COUNTIFS('ANO NOVO'!$A$2:$A$301,A292,'ANO NOVO'!$C$2:$C$301,C292,'ANO NOVO'!$D$2:$D$301,"TRABALHA")&gt;0,"⚠ Marcado TRABALHA em NATAL/ANO NOVO",IF(COUNTIFS($B$2:$B$301,B292,$C$2:$C$301,C292)&gt;1,"⚠ "&amp;COUNTIFS($B$2:$B$301,B292,$C$2:$C$301,C292)&amp;" pessoas do setor de folga no dia",""))))))</f>
        <v/>
      </c>
    </row>
    <row r="293" customFormat="false" ht="15" hidden="false" customHeight="true" outlineLevel="0" collapsed="false">
      <c r="A293" s="54"/>
      <c r="B293" s="54"/>
      <c r="C293" s="53"/>
      <c r="D293" s="54"/>
      <c r="E293" s="55" t="str">
        <f aca="false">IF(ISNUMBER(C293),CHOOSE(WEEKDAY(C293),"Domingo","Segunda","Terça","Quarta","Quinta","Sexta","Sábado"),"")</f>
        <v/>
      </c>
      <c r="F293" s="55" t="str">
        <f aca="true">IF(NOT(ISNUMBER(C293)),"",IF(C293=TODAY(),"HOJE",IF(C293=TODAY()+1,"AMANHÃ",IF(C293&lt;TODAY(),"Realizada",IF(C293-TODAY()&lt;=7,"Em "&amp;(C293-TODAY())&amp;" dias","Agendada")))))</f>
        <v/>
      </c>
      <c r="G293" s="55" t="str">
        <f aca="false">IF(OR(A293="",NOT(ISNUMBER(C293))),"",IF(COUNTIFS($A$2:$A$301,A293,$C$2:$C$301,C293)&gt;1,"⚠ Folga duplicada",IF(COUNTIFS(FÉRIAS!$A$2:$A$301,A293,FÉRIAS!$C$2:$C$301,"&lt;="&amp;C293,FÉRIAS!$D$2:$D$301,"&gt;="&amp;C293)&gt;0,"⚠ Está de férias nesta data",IF(COUNTIFS(NATAL!$A$2:$A$301,A293,NATAL!$C$2:$C$301,C293,NATAL!$D$2:$D$301,"FOLGA")+COUNTIFS('ANO NOVO'!$A$2:$A$301,A293,'ANO NOVO'!$C$2:$C$301,C293,'ANO NOVO'!$D$2:$D$301,"FOLGA")&gt;0,"⚠ Folga já lançada em NATAL/ANO NOVO",IF(COUNTIFS(NATAL!$A$2:$A$301,A293,NATAL!$C$2:$C$301,C293,NATAL!$D$2:$D$301,"TRABALHA")+COUNTIFS('ANO NOVO'!$A$2:$A$301,A293,'ANO NOVO'!$C$2:$C$301,C293,'ANO NOVO'!$D$2:$D$301,"TRABALHA")&gt;0,"⚠ Marcado TRABALHA em NATAL/ANO NOVO",IF(COUNTIFS($B$2:$B$301,B293,$C$2:$C$301,C293)&gt;1,"⚠ "&amp;COUNTIFS($B$2:$B$301,B293,$C$2:$C$301,C293)&amp;" pessoas do setor de folga no dia",""))))))</f>
        <v/>
      </c>
    </row>
    <row r="294" customFormat="false" ht="15" hidden="false" customHeight="true" outlineLevel="0" collapsed="false">
      <c r="A294" s="54"/>
      <c r="B294" s="54"/>
      <c r="C294" s="53"/>
      <c r="D294" s="54"/>
      <c r="E294" s="55" t="str">
        <f aca="false">IF(ISNUMBER(C294),CHOOSE(WEEKDAY(C294),"Domingo","Segunda","Terça","Quarta","Quinta","Sexta","Sábado"),"")</f>
        <v/>
      </c>
      <c r="F294" s="55" t="str">
        <f aca="true">IF(NOT(ISNUMBER(C294)),"",IF(C294=TODAY(),"HOJE",IF(C294=TODAY()+1,"AMANHÃ",IF(C294&lt;TODAY(),"Realizada",IF(C294-TODAY()&lt;=7,"Em "&amp;(C294-TODAY())&amp;" dias","Agendada")))))</f>
        <v/>
      </c>
      <c r="G294" s="55" t="str">
        <f aca="false">IF(OR(A294="",NOT(ISNUMBER(C294))),"",IF(COUNTIFS($A$2:$A$301,A294,$C$2:$C$301,C294)&gt;1,"⚠ Folga duplicada",IF(COUNTIFS(FÉRIAS!$A$2:$A$301,A294,FÉRIAS!$C$2:$C$301,"&lt;="&amp;C294,FÉRIAS!$D$2:$D$301,"&gt;="&amp;C294)&gt;0,"⚠ Está de férias nesta data",IF(COUNTIFS(NATAL!$A$2:$A$301,A294,NATAL!$C$2:$C$301,C294,NATAL!$D$2:$D$301,"FOLGA")+COUNTIFS('ANO NOVO'!$A$2:$A$301,A294,'ANO NOVO'!$C$2:$C$301,C294,'ANO NOVO'!$D$2:$D$301,"FOLGA")&gt;0,"⚠ Folga já lançada em NATAL/ANO NOVO",IF(COUNTIFS(NATAL!$A$2:$A$301,A294,NATAL!$C$2:$C$301,C294,NATAL!$D$2:$D$301,"TRABALHA")+COUNTIFS('ANO NOVO'!$A$2:$A$301,A294,'ANO NOVO'!$C$2:$C$301,C294,'ANO NOVO'!$D$2:$D$301,"TRABALHA")&gt;0,"⚠ Marcado TRABALHA em NATAL/ANO NOVO",IF(COUNTIFS($B$2:$B$301,B294,$C$2:$C$301,C294)&gt;1,"⚠ "&amp;COUNTIFS($B$2:$B$301,B294,$C$2:$C$301,C294)&amp;" pessoas do setor de folga no dia",""))))))</f>
        <v/>
      </c>
    </row>
    <row r="295" customFormat="false" ht="15" hidden="false" customHeight="true" outlineLevel="0" collapsed="false">
      <c r="A295" s="54"/>
      <c r="B295" s="54"/>
      <c r="C295" s="53"/>
      <c r="D295" s="54"/>
      <c r="E295" s="55" t="str">
        <f aca="false">IF(ISNUMBER(C295),CHOOSE(WEEKDAY(C295),"Domingo","Segunda","Terça","Quarta","Quinta","Sexta","Sábado"),"")</f>
        <v/>
      </c>
      <c r="F295" s="55" t="str">
        <f aca="true">IF(NOT(ISNUMBER(C295)),"",IF(C295=TODAY(),"HOJE",IF(C295=TODAY()+1,"AMANHÃ",IF(C295&lt;TODAY(),"Realizada",IF(C295-TODAY()&lt;=7,"Em "&amp;(C295-TODAY())&amp;" dias","Agendada")))))</f>
        <v/>
      </c>
      <c r="G295" s="55" t="str">
        <f aca="false">IF(OR(A295="",NOT(ISNUMBER(C295))),"",IF(COUNTIFS($A$2:$A$301,A295,$C$2:$C$301,C295)&gt;1,"⚠ Folga duplicada",IF(COUNTIFS(FÉRIAS!$A$2:$A$301,A295,FÉRIAS!$C$2:$C$301,"&lt;="&amp;C295,FÉRIAS!$D$2:$D$301,"&gt;="&amp;C295)&gt;0,"⚠ Está de férias nesta data",IF(COUNTIFS(NATAL!$A$2:$A$301,A295,NATAL!$C$2:$C$301,C295,NATAL!$D$2:$D$301,"FOLGA")+COUNTIFS('ANO NOVO'!$A$2:$A$301,A295,'ANO NOVO'!$C$2:$C$301,C295,'ANO NOVO'!$D$2:$D$301,"FOLGA")&gt;0,"⚠ Folga já lançada em NATAL/ANO NOVO",IF(COUNTIFS(NATAL!$A$2:$A$301,A295,NATAL!$C$2:$C$301,C295,NATAL!$D$2:$D$301,"TRABALHA")+COUNTIFS('ANO NOVO'!$A$2:$A$301,A295,'ANO NOVO'!$C$2:$C$301,C295,'ANO NOVO'!$D$2:$D$301,"TRABALHA")&gt;0,"⚠ Marcado TRABALHA em NATAL/ANO NOVO",IF(COUNTIFS($B$2:$B$301,B295,$C$2:$C$301,C295)&gt;1,"⚠ "&amp;COUNTIFS($B$2:$B$301,B295,$C$2:$C$301,C295)&amp;" pessoas do setor de folga no dia",""))))))</f>
        <v/>
      </c>
    </row>
    <row r="296" customFormat="false" ht="15" hidden="false" customHeight="true" outlineLevel="0" collapsed="false">
      <c r="A296" s="54"/>
      <c r="B296" s="54"/>
      <c r="C296" s="53"/>
      <c r="D296" s="54"/>
      <c r="E296" s="55" t="str">
        <f aca="false">IF(ISNUMBER(C296),CHOOSE(WEEKDAY(C296),"Domingo","Segunda","Terça","Quarta","Quinta","Sexta","Sábado"),"")</f>
        <v/>
      </c>
      <c r="F296" s="55" t="str">
        <f aca="true">IF(NOT(ISNUMBER(C296)),"",IF(C296=TODAY(),"HOJE",IF(C296=TODAY()+1,"AMANHÃ",IF(C296&lt;TODAY(),"Realizada",IF(C296-TODAY()&lt;=7,"Em "&amp;(C296-TODAY())&amp;" dias","Agendada")))))</f>
        <v/>
      </c>
      <c r="G296" s="55" t="str">
        <f aca="false">IF(OR(A296="",NOT(ISNUMBER(C296))),"",IF(COUNTIFS($A$2:$A$301,A296,$C$2:$C$301,C296)&gt;1,"⚠ Folga duplicada",IF(COUNTIFS(FÉRIAS!$A$2:$A$301,A296,FÉRIAS!$C$2:$C$301,"&lt;="&amp;C296,FÉRIAS!$D$2:$D$301,"&gt;="&amp;C296)&gt;0,"⚠ Está de férias nesta data",IF(COUNTIFS(NATAL!$A$2:$A$301,A296,NATAL!$C$2:$C$301,C296,NATAL!$D$2:$D$301,"FOLGA")+COUNTIFS('ANO NOVO'!$A$2:$A$301,A296,'ANO NOVO'!$C$2:$C$301,C296,'ANO NOVO'!$D$2:$D$301,"FOLGA")&gt;0,"⚠ Folga já lançada em NATAL/ANO NOVO",IF(COUNTIFS(NATAL!$A$2:$A$301,A296,NATAL!$C$2:$C$301,C296,NATAL!$D$2:$D$301,"TRABALHA")+COUNTIFS('ANO NOVO'!$A$2:$A$301,A296,'ANO NOVO'!$C$2:$C$301,C296,'ANO NOVO'!$D$2:$D$301,"TRABALHA")&gt;0,"⚠ Marcado TRABALHA em NATAL/ANO NOVO",IF(COUNTIFS($B$2:$B$301,B296,$C$2:$C$301,C296)&gt;1,"⚠ "&amp;COUNTIFS($B$2:$B$301,B296,$C$2:$C$301,C296)&amp;" pessoas do setor de folga no dia",""))))))</f>
        <v/>
      </c>
    </row>
    <row r="297" customFormat="false" ht="15" hidden="false" customHeight="true" outlineLevel="0" collapsed="false">
      <c r="A297" s="54"/>
      <c r="B297" s="54"/>
      <c r="C297" s="53"/>
      <c r="D297" s="54"/>
      <c r="E297" s="55" t="str">
        <f aca="false">IF(ISNUMBER(C297),CHOOSE(WEEKDAY(C297),"Domingo","Segunda","Terça","Quarta","Quinta","Sexta","Sábado"),"")</f>
        <v/>
      </c>
      <c r="F297" s="55" t="str">
        <f aca="true">IF(NOT(ISNUMBER(C297)),"",IF(C297=TODAY(),"HOJE",IF(C297=TODAY()+1,"AMANHÃ",IF(C297&lt;TODAY(),"Realizada",IF(C297-TODAY()&lt;=7,"Em "&amp;(C297-TODAY())&amp;" dias","Agendada")))))</f>
        <v/>
      </c>
      <c r="G297" s="55" t="str">
        <f aca="false">IF(OR(A297="",NOT(ISNUMBER(C297))),"",IF(COUNTIFS($A$2:$A$301,A297,$C$2:$C$301,C297)&gt;1,"⚠ Folga duplicada",IF(COUNTIFS(FÉRIAS!$A$2:$A$301,A297,FÉRIAS!$C$2:$C$301,"&lt;="&amp;C297,FÉRIAS!$D$2:$D$301,"&gt;="&amp;C297)&gt;0,"⚠ Está de férias nesta data",IF(COUNTIFS(NATAL!$A$2:$A$301,A297,NATAL!$C$2:$C$301,C297,NATAL!$D$2:$D$301,"FOLGA")+COUNTIFS('ANO NOVO'!$A$2:$A$301,A297,'ANO NOVO'!$C$2:$C$301,C297,'ANO NOVO'!$D$2:$D$301,"FOLGA")&gt;0,"⚠ Folga já lançada em NATAL/ANO NOVO",IF(COUNTIFS(NATAL!$A$2:$A$301,A297,NATAL!$C$2:$C$301,C297,NATAL!$D$2:$D$301,"TRABALHA")+COUNTIFS('ANO NOVO'!$A$2:$A$301,A297,'ANO NOVO'!$C$2:$C$301,C297,'ANO NOVO'!$D$2:$D$301,"TRABALHA")&gt;0,"⚠ Marcado TRABALHA em NATAL/ANO NOVO",IF(COUNTIFS($B$2:$B$301,B297,$C$2:$C$301,C297)&gt;1,"⚠ "&amp;COUNTIFS($B$2:$B$301,B297,$C$2:$C$301,C297)&amp;" pessoas do setor de folga no dia",""))))))</f>
        <v/>
      </c>
    </row>
    <row r="298" customFormat="false" ht="15" hidden="false" customHeight="true" outlineLevel="0" collapsed="false">
      <c r="A298" s="54"/>
      <c r="B298" s="54"/>
      <c r="C298" s="53"/>
      <c r="D298" s="54"/>
      <c r="E298" s="55" t="str">
        <f aca="false">IF(ISNUMBER(C298),CHOOSE(WEEKDAY(C298),"Domingo","Segunda","Terça","Quarta","Quinta","Sexta","Sábado"),"")</f>
        <v/>
      </c>
      <c r="F298" s="55" t="str">
        <f aca="true">IF(NOT(ISNUMBER(C298)),"",IF(C298=TODAY(),"HOJE",IF(C298=TODAY()+1,"AMANHÃ",IF(C298&lt;TODAY(),"Realizada",IF(C298-TODAY()&lt;=7,"Em "&amp;(C298-TODAY())&amp;" dias","Agendada")))))</f>
        <v/>
      </c>
      <c r="G298" s="55" t="str">
        <f aca="false">IF(OR(A298="",NOT(ISNUMBER(C298))),"",IF(COUNTIFS($A$2:$A$301,A298,$C$2:$C$301,C298)&gt;1,"⚠ Folga duplicada",IF(COUNTIFS(FÉRIAS!$A$2:$A$301,A298,FÉRIAS!$C$2:$C$301,"&lt;="&amp;C298,FÉRIAS!$D$2:$D$301,"&gt;="&amp;C298)&gt;0,"⚠ Está de férias nesta data",IF(COUNTIFS(NATAL!$A$2:$A$301,A298,NATAL!$C$2:$C$301,C298,NATAL!$D$2:$D$301,"FOLGA")+COUNTIFS('ANO NOVO'!$A$2:$A$301,A298,'ANO NOVO'!$C$2:$C$301,C298,'ANO NOVO'!$D$2:$D$301,"FOLGA")&gt;0,"⚠ Folga já lançada em NATAL/ANO NOVO",IF(COUNTIFS(NATAL!$A$2:$A$301,A298,NATAL!$C$2:$C$301,C298,NATAL!$D$2:$D$301,"TRABALHA")+COUNTIFS('ANO NOVO'!$A$2:$A$301,A298,'ANO NOVO'!$C$2:$C$301,C298,'ANO NOVO'!$D$2:$D$301,"TRABALHA")&gt;0,"⚠ Marcado TRABALHA em NATAL/ANO NOVO",IF(COUNTIFS($B$2:$B$301,B298,$C$2:$C$301,C298)&gt;1,"⚠ "&amp;COUNTIFS($B$2:$B$301,B298,$C$2:$C$301,C298)&amp;" pessoas do setor de folga no dia",""))))))</f>
        <v/>
      </c>
    </row>
    <row r="299" customFormat="false" ht="15" hidden="false" customHeight="true" outlineLevel="0" collapsed="false">
      <c r="A299" s="54"/>
      <c r="B299" s="54"/>
      <c r="C299" s="53"/>
      <c r="D299" s="54"/>
      <c r="E299" s="55" t="str">
        <f aca="false">IF(ISNUMBER(C299),CHOOSE(WEEKDAY(C299),"Domingo","Segunda","Terça","Quarta","Quinta","Sexta","Sábado"),"")</f>
        <v/>
      </c>
      <c r="F299" s="55" t="str">
        <f aca="true">IF(NOT(ISNUMBER(C299)),"",IF(C299=TODAY(),"HOJE",IF(C299=TODAY()+1,"AMANHÃ",IF(C299&lt;TODAY(),"Realizada",IF(C299-TODAY()&lt;=7,"Em "&amp;(C299-TODAY())&amp;" dias","Agendada")))))</f>
        <v/>
      </c>
      <c r="G299" s="55" t="str">
        <f aca="false">IF(OR(A299="",NOT(ISNUMBER(C299))),"",IF(COUNTIFS($A$2:$A$301,A299,$C$2:$C$301,C299)&gt;1,"⚠ Folga duplicada",IF(COUNTIFS(FÉRIAS!$A$2:$A$301,A299,FÉRIAS!$C$2:$C$301,"&lt;="&amp;C299,FÉRIAS!$D$2:$D$301,"&gt;="&amp;C299)&gt;0,"⚠ Está de férias nesta data",IF(COUNTIFS(NATAL!$A$2:$A$301,A299,NATAL!$C$2:$C$301,C299,NATAL!$D$2:$D$301,"FOLGA")+COUNTIFS('ANO NOVO'!$A$2:$A$301,A299,'ANO NOVO'!$C$2:$C$301,C299,'ANO NOVO'!$D$2:$D$301,"FOLGA")&gt;0,"⚠ Folga já lançada em NATAL/ANO NOVO",IF(COUNTIFS(NATAL!$A$2:$A$301,A299,NATAL!$C$2:$C$301,C299,NATAL!$D$2:$D$301,"TRABALHA")+COUNTIFS('ANO NOVO'!$A$2:$A$301,A299,'ANO NOVO'!$C$2:$C$301,C299,'ANO NOVO'!$D$2:$D$301,"TRABALHA")&gt;0,"⚠ Marcado TRABALHA em NATAL/ANO NOVO",IF(COUNTIFS($B$2:$B$301,B299,$C$2:$C$301,C299)&gt;1,"⚠ "&amp;COUNTIFS($B$2:$B$301,B299,$C$2:$C$301,C299)&amp;" pessoas do setor de folga no dia",""))))))</f>
        <v/>
      </c>
    </row>
    <row r="300" customFormat="false" ht="15" hidden="false" customHeight="true" outlineLevel="0" collapsed="false">
      <c r="A300" s="54"/>
      <c r="B300" s="54"/>
      <c r="C300" s="53"/>
      <c r="D300" s="54"/>
      <c r="E300" s="55" t="str">
        <f aca="false">IF(ISNUMBER(C300),CHOOSE(WEEKDAY(C300),"Domingo","Segunda","Terça","Quarta","Quinta","Sexta","Sábado"),"")</f>
        <v/>
      </c>
      <c r="F300" s="55" t="str">
        <f aca="true">IF(NOT(ISNUMBER(C300)),"",IF(C300=TODAY(),"HOJE",IF(C300=TODAY()+1,"AMANHÃ",IF(C300&lt;TODAY(),"Realizada",IF(C300-TODAY()&lt;=7,"Em "&amp;(C300-TODAY())&amp;" dias","Agendada")))))</f>
        <v/>
      </c>
      <c r="G300" s="55" t="str">
        <f aca="false">IF(OR(A300="",NOT(ISNUMBER(C300))),"",IF(COUNTIFS($A$2:$A$301,A300,$C$2:$C$301,C300)&gt;1,"⚠ Folga duplicada",IF(COUNTIFS(FÉRIAS!$A$2:$A$301,A300,FÉRIAS!$C$2:$C$301,"&lt;="&amp;C300,FÉRIAS!$D$2:$D$301,"&gt;="&amp;C300)&gt;0,"⚠ Está de férias nesta data",IF(COUNTIFS(NATAL!$A$2:$A$301,A300,NATAL!$C$2:$C$301,C300,NATAL!$D$2:$D$301,"FOLGA")+COUNTIFS('ANO NOVO'!$A$2:$A$301,A300,'ANO NOVO'!$C$2:$C$301,C300,'ANO NOVO'!$D$2:$D$301,"FOLGA")&gt;0,"⚠ Folga já lançada em NATAL/ANO NOVO",IF(COUNTIFS(NATAL!$A$2:$A$301,A300,NATAL!$C$2:$C$301,C300,NATAL!$D$2:$D$301,"TRABALHA")+COUNTIFS('ANO NOVO'!$A$2:$A$301,A300,'ANO NOVO'!$C$2:$C$301,C300,'ANO NOVO'!$D$2:$D$301,"TRABALHA")&gt;0,"⚠ Marcado TRABALHA em NATAL/ANO NOVO",IF(COUNTIFS($B$2:$B$301,B300,$C$2:$C$301,C300)&gt;1,"⚠ "&amp;COUNTIFS($B$2:$B$301,B300,$C$2:$C$301,C300)&amp;" pessoas do setor de folga no dia",""))))))</f>
        <v/>
      </c>
    </row>
    <row r="301" customFormat="false" ht="15" hidden="false" customHeight="true" outlineLevel="0" collapsed="false">
      <c r="A301" s="54"/>
      <c r="B301" s="54"/>
      <c r="C301" s="53"/>
      <c r="D301" s="54"/>
      <c r="E301" s="55" t="str">
        <f aca="false">IF(ISNUMBER(C301),CHOOSE(WEEKDAY(C301),"Domingo","Segunda","Terça","Quarta","Quinta","Sexta","Sábado"),"")</f>
        <v/>
      </c>
      <c r="F301" s="55" t="str">
        <f aca="true">IF(NOT(ISNUMBER(C301)),"",IF(C301=TODAY(),"HOJE",IF(C301=TODAY()+1,"AMANHÃ",IF(C301&lt;TODAY(),"Realizada",IF(C301-TODAY()&lt;=7,"Em "&amp;(C301-TODAY())&amp;" dias","Agendada")))))</f>
        <v/>
      </c>
      <c r="G301" s="55" t="str">
        <f aca="false">IF(OR(A301="",NOT(ISNUMBER(C301))),"",IF(COUNTIFS($A$2:$A$301,A301,$C$2:$C$301,C301)&gt;1,"⚠ Folga duplicada",IF(COUNTIFS(FÉRIAS!$A$2:$A$301,A301,FÉRIAS!$C$2:$C$301,"&lt;="&amp;C301,FÉRIAS!$D$2:$D$301,"&gt;="&amp;C301)&gt;0,"⚠ Está de férias nesta data",IF(COUNTIFS(NATAL!$A$2:$A$301,A301,NATAL!$C$2:$C$301,C301,NATAL!$D$2:$D$301,"FOLGA")+COUNTIFS('ANO NOVO'!$A$2:$A$301,A301,'ANO NOVO'!$C$2:$C$301,C301,'ANO NOVO'!$D$2:$D$301,"FOLGA")&gt;0,"⚠ Folga já lançada em NATAL/ANO NOVO",IF(COUNTIFS(NATAL!$A$2:$A$301,A301,NATAL!$C$2:$C$301,C301,NATAL!$D$2:$D$301,"TRABALHA")+COUNTIFS('ANO NOVO'!$A$2:$A$301,A301,'ANO NOVO'!$C$2:$C$301,C301,'ANO NOVO'!$D$2:$D$301,"TRABALHA")&gt;0,"⚠ Marcado TRABALHA em NATAL/ANO NOVO",IF(COUNTIFS($B$2:$B$301,B301,$C$2:$C$301,C301)&gt;1,"⚠ "&amp;COUNTIFS($B$2:$B$301,B301,$C$2:$C$301,C301)&amp;" pessoas do setor de folga no dia",""))))))</f>
        <v/>
      </c>
    </row>
  </sheetData>
  <autoFilter ref="A1:G301"/>
  <conditionalFormatting sqref="G2:G301">
    <cfRule type="expression" priority="2" aboveAverage="0" equalAverage="0" bottom="0" percent="0" rank="0" text="" dxfId="13">
      <formula>LEFT($G2,1)="⚠"</formula>
    </cfRule>
  </conditionalFormatting>
  <conditionalFormatting sqref="A2:G301">
    <cfRule type="expression" priority="3" aboveAverage="0" equalAverage="0" bottom="0" percent="0" rank="0" text="" dxfId="0">
      <formula>AND(ISNUMBER($C2),$C2=TODAY())</formula>
    </cfRule>
    <cfRule type="expression" priority="4" aboveAverage="0" equalAverage="0" bottom="0" percent="0" rank="0" text="" dxfId="6">
      <formula>AND(ISNUMBER($C2),$C2&gt;TODAY(),$C2&lt;=TODAY()+7)</formula>
    </cfRule>
    <cfRule type="expression" priority="5" aboveAverage="0" equalAverage="0" bottom="0" percent="0" rank="0" text="" dxfId="14">
      <formula>AND(ISNUMBER($C2),$C2&lt;TODAY())</formula>
    </cfRule>
  </conditionalFormatting>
  <dataValidations count="3">
    <dataValidation allowBlank="true" error="Este setor não está na aba LISTAS. Deseja manter mesmo assim?" errorStyle="warning" errorTitle="Setor fora da lista" operator="between" showDropDown="false" showErrorMessage="true" showInputMessage="false" sqref="B2:B301" type="list">
      <formula1>LISTAS!$B$2:$B$20</formula1>
      <formula2>0</formula2>
    </dataValidation>
    <dataValidation allowBlank="true" error="Este nome não está na lista de Funcionários (aba LISTAS, coluna F). Nomes escritos de forma diferente impedem os alertas entre abas. Manter mesmo assim?" errorStyle="warning" errorTitle="Nome fora da lista" operator="between" showDropDown="false" showErrorMessage="true" showInputMessage="false" sqref="A2:A301" type="list">
      <formula1>LISTAS!$F$2:$F$300</formula1>
      <formula2>0</formula2>
    </dataValidation>
    <dataValidation allowBlank="true" error="Digite uma data válida no formato dd/mm/aaaa." errorStyle="stop" errorTitle="Data inválida" operator="between" prompt="Digite a data da folga (dd/mm/aaaa). Para uma nova folga do mesmo funcionário, use uma nova linha." promptTitle="Data" showDropDown="false" showErrorMessage="true" showInputMessage="true" sqref="C2:C301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49" width="32"/>
    <col collapsed="false" customWidth="true" hidden="false" outlineLevel="0" max="2" min="2" style="49" width="24"/>
    <col collapsed="false" customWidth="true" hidden="false" outlineLevel="0" max="4" min="3" style="49" width="18"/>
    <col collapsed="false" customWidth="true" hidden="false" outlineLevel="0" max="5" min="5" style="49" width="44.99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0" t="s">
        <v>11</v>
      </c>
      <c r="B1" s="50" t="s">
        <v>12</v>
      </c>
      <c r="C1" s="50" t="s">
        <v>22</v>
      </c>
      <c r="D1" s="50" t="s">
        <v>72</v>
      </c>
      <c r="E1" s="50" t="s">
        <v>14</v>
      </c>
      <c r="F1" s="50" t="s">
        <v>25</v>
      </c>
    </row>
    <row r="2" customFormat="false" ht="15" hidden="false" customHeight="true" outlineLevel="0" collapsed="false">
      <c r="A2" s="54"/>
      <c r="B2" s="54"/>
      <c r="C2" s="53"/>
      <c r="D2" s="54"/>
      <c r="E2" s="54"/>
      <c r="F2" s="55" t="str">
        <f aca="false">IF(A2="","",TRIM(IF(NOT(ISNUMBER(C2)),"⚠ Falta a data. ","")&amp;IF(ISNUMBER(C2),IF(AND(MONTH(C2)=12,OR(DAY(C2)=24,DAY(C2)=25)),"","⚠ Data fora do Natal (24 ou 25/12). "),"")&amp;IF(AND(ISNUMBER(C2),COUNTIFS($A$2:$A$301,A2,$C$2:$C$301,C2)&gt;1),"⚠ Nome repetido na mesma data. ","")&amp;IF(AND(ISNUMBER(C2),COUNTIFS(FÉRIAS!$A$2:$A$301,A2,FÉRIAS!$C$2:$C$301,"&lt;="&amp;C2,FÉRIAS!$D$2:$D$301,"&gt;="&amp;C2)&gt;0),IF(D2="TRABALHA","⚠ Está de férias e marcado TRABALHA. ","⚠ Já está de férias nesta data. "),"")&amp;IF(AND(ISNUMBER(C2),COUNTIFS(FOLGAS!$A$2:$A$301,A2,FOLGAS!$C$2:$C$301,C2)&gt;0),IF(D2="FOLGA","⚠ Folga também lançada na aba FOLGAS. ",IF(D2="TRABALHA","⚠ Marcado TRABALHA, mas tem folga na aba FOLGAS. ","")),"")&amp;IF(AND(ISNUMBER(C2),D2="FOLGA",B2&lt;&gt;"",COUNTIFS($B$2:$B$301,B2,$C$2:$C$301,C2,$D$2:$D$301,"TRABALHA")=0),"⚠ Ninguém do setor trabalhando nesta data. ","")))</f>
        <v/>
      </c>
    </row>
    <row r="3" customFormat="false" ht="15" hidden="false" customHeight="true" outlineLevel="0" collapsed="false">
      <c r="A3" s="54"/>
      <c r="B3" s="54"/>
      <c r="C3" s="53"/>
      <c r="D3" s="54"/>
      <c r="E3" s="54"/>
      <c r="F3" s="55" t="str">
        <f aca="false">IF(A3="","",TRIM(IF(NOT(ISNUMBER(C3)),"⚠ Falta a data. ","")&amp;IF(ISNUMBER(C3),IF(AND(MONTH(C3)=12,OR(DAY(C3)=24,DAY(C3)=25)),"","⚠ Data fora do Natal (24 ou 25/12). "),"")&amp;IF(AND(ISNUMBER(C3),COUNTIFS($A$2:$A$301,A3,$C$2:$C$301,C3)&gt;1),"⚠ Nome repetido na mesma data. ","")&amp;IF(AND(ISNUMBER(C3),COUNTIFS(FÉRIAS!$A$2:$A$301,A3,FÉRIAS!$C$2:$C$301,"&lt;="&amp;C3,FÉRIAS!$D$2:$D$301,"&gt;="&amp;C3)&gt;0),IF(D3="TRABALHA","⚠ Está de férias e marcado TRABALHA. ","⚠ Já está de férias nesta data. "),"")&amp;IF(AND(ISNUMBER(C3),COUNTIFS(FOLGAS!$A$2:$A$301,A3,FOLGAS!$C$2:$C$301,C3)&gt;0),IF(D3="FOLGA","⚠ Folga também lançada na aba FOLGAS. ",IF(D3="TRABALHA","⚠ Marcado TRABALHA, mas tem folga na aba FOLGAS. ","")),"")&amp;IF(AND(ISNUMBER(C3),D3="FOLGA",B3&lt;&gt;"",COUNTIFS($B$2:$B$301,B3,$C$2:$C$301,C3,$D$2:$D$301,"TRABALHA")=0),"⚠ Ninguém do setor trabalhando nesta data. ","")))</f>
        <v/>
      </c>
    </row>
    <row r="4" customFormat="false" ht="15" hidden="false" customHeight="true" outlineLevel="0" collapsed="false">
      <c r="A4" s="54"/>
      <c r="B4" s="54"/>
      <c r="C4" s="53"/>
      <c r="D4" s="54"/>
      <c r="E4" s="54"/>
      <c r="F4" s="55" t="str">
        <f aca="false">IF(A4="","",TRIM(IF(NOT(ISNUMBER(C4)),"⚠ Falta a data. ","")&amp;IF(ISNUMBER(C4),IF(AND(MONTH(C4)=12,OR(DAY(C4)=24,DAY(C4)=25)),"","⚠ Data fora do Natal (24 ou 25/12). "),"")&amp;IF(AND(ISNUMBER(C4),COUNTIFS($A$2:$A$301,A4,$C$2:$C$301,C4)&gt;1),"⚠ Nome repetido na mesma data. ","")&amp;IF(AND(ISNUMBER(C4),COUNTIFS(FÉRIAS!$A$2:$A$301,A4,FÉRIAS!$C$2:$C$301,"&lt;="&amp;C4,FÉRIAS!$D$2:$D$301,"&gt;="&amp;C4)&gt;0),IF(D4="TRABALHA","⚠ Está de férias e marcado TRABALHA. ","⚠ Já está de férias nesta data. "),"")&amp;IF(AND(ISNUMBER(C4),COUNTIFS(FOLGAS!$A$2:$A$301,A4,FOLGAS!$C$2:$C$301,C4)&gt;0),IF(D4="FOLGA","⚠ Folga também lançada na aba FOLGAS. ",IF(D4="TRABALHA","⚠ Marcado TRABALHA, mas tem folga na aba FOLGAS. ","")),"")&amp;IF(AND(ISNUMBER(C4),D4="FOLGA",B4&lt;&gt;"",COUNTIFS($B$2:$B$301,B4,$C$2:$C$301,C4,$D$2:$D$301,"TRABALHA")=0),"⚠ Ninguém do setor trabalhando nesta data. ","")))</f>
        <v/>
      </c>
    </row>
    <row r="5" customFormat="false" ht="15" hidden="false" customHeight="true" outlineLevel="0" collapsed="false">
      <c r="A5" s="54"/>
      <c r="B5" s="54"/>
      <c r="C5" s="53"/>
      <c r="D5" s="54"/>
      <c r="E5" s="54"/>
      <c r="F5" s="55" t="str">
        <f aca="false">IF(A5="","",TRIM(IF(NOT(ISNUMBER(C5)),"⚠ Falta a data. ","")&amp;IF(ISNUMBER(C5),IF(AND(MONTH(C5)=12,OR(DAY(C5)=24,DAY(C5)=25)),"","⚠ Data fora do Natal (24 ou 25/12). "),"")&amp;IF(AND(ISNUMBER(C5),COUNTIFS($A$2:$A$301,A5,$C$2:$C$301,C5)&gt;1),"⚠ Nome repetido na mesma data. ","")&amp;IF(AND(ISNUMBER(C5),COUNTIFS(FÉRIAS!$A$2:$A$301,A5,FÉRIAS!$C$2:$C$301,"&lt;="&amp;C5,FÉRIAS!$D$2:$D$301,"&gt;="&amp;C5)&gt;0),IF(D5="TRABALHA","⚠ Está de férias e marcado TRABALHA. ","⚠ Já está de férias nesta data. "),"")&amp;IF(AND(ISNUMBER(C5),COUNTIFS(FOLGAS!$A$2:$A$301,A5,FOLGAS!$C$2:$C$301,C5)&gt;0),IF(D5="FOLGA","⚠ Folga também lançada na aba FOLGAS. ",IF(D5="TRABALHA","⚠ Marcado TRABALHA, mas tem folga na aba FOLGAS. ","")),"")&amp;IF(AND(ISNUMBER(C5),D5="FOLGA",B5&lt;&gt;"",COUNTIFS($B$2:$B$301,B5,$C$2:$C$301,C5,$D$2:$D$301,"TRABALHA")=0),"⚠ Ninguém do setor trabalhando nesta data. ","")))</f>
        <v/>
      </c>
    </row>
    <row r="6" customFormat="false" ht="15" hidden="false" customHeight="true" outlineLevel="0" collapsed="false">
      <c r="A6" s="54"/>
      <c r="B6" s="54"/>
      <c r="C6" s="53"/>
      <c r="D6" s="54"/>
      <c r="E6" s="54"/>
      <c r="F6" s="55" t="str">
        <f aca="false">IF(A6="","",TRIM(IF(NOT(ISNUMBER(C6)),"⚠ Falta a data. ","")&amp;IF(ISNUMBER(C6),IF(AND(MONTH(C6)=12,OR(DAY(C6)=24,DAY(C6)=25)),"","⚠ Data fora do Natal (24 ou 25/12). "),"")&amp;IF(AND(ISNUMBER(C6),COUNTIFS($A$2:$A$301,A6,$C$2:$C$301,C6)&gt;1),"⚠ Nome repetido na mesma data. ","")&amp;IF(AND(ISNUMBER(C6),COUNTIFS(FÉRIAS!$A$2:$A$301,A6,FÉRIAS!$C$2:$C$301,"&lt;="&amp;C6,FÉRIAS!$D$2:$D$301,"&gt;="&amp;C6)&gt;0),IF(D6="TRABALHA","⚠ Está de férias e marcado TRABALHA. ","⚠ Já está de férias nesta data. "),"")&amp;IF(AND(ISNUMBER(C6),COUNTIFS(FOLGAS!$A$2:$A$301,A6,FOLGAS!$C$2:$C$301,C6)&gt;0),IF(D6="FOLGA","⚠ Folga também lançada na aba FOLGAS. ",IF(D6="TRABALHA","⚠ Marcado TRABALHA, mas tem folga na aba FOLGAS. ","")),"")&amp;IF(AND(ISNUMBER(C6),D6="FOLGA",B6&lt;&gt;"",COUNTIFS($B$2:$B$301,B6,$C$2:$C$301,C6,$D$2:$D$301,"TRABALHA")=0),"⚠ Ninguém do setor trabalhando nesta data. ","")))</f>
        <v/>
      </c>
    </row>
    <row r="7" customFormat="false" ht="15" hidden="false" customHeight="true" outlineLevel="0" collapsed="false">
      <c r="A7" s="54"/>
      <c r="B7" s="54"/>
      <c r="C7" s="53"/>
      <c r="D7" s="54"/>
      <c r="E7" s="54"/>
      <c r="F7" s="55" t="str">
        <f aca="false">IF(A7="","",TRIM(IF(NOT(ISNUMBER(C7)),"⚠ Falta a data. ","")&amp;IF(ISNUMBER(C7),IF(AND(MONTH(C7)=12,OR(DAY(C7)=24,DAY(C7)=25)),"","⚠ Data fora do Natal (24 ou 25/12). "),"")&amp;IF(AND(ISNUMBER(C7),COUNTIFS($A$2:$A$301,A7,$C$2:$C$301,C7)&gt;1),"⚠ Nome repetido na mesma data. ","")&amp;IF(AND(ISNUMBER(C7),COUNTIFS(FÉRIAS!$A$2:$A$301,A7,FÉRIAS!$C$2:$C$301,"&lt;="&amp;C7,FÉRIAS!$D$2:$D$301,"&gt;="&amp;C7)&gt;0),IF(D7="TRABALHA","⚠ Está de férias e marcado TRABALHA. ","⚠ Já está de férias nesta data. "),"")&amp;IF(AND(ISNUMBER(C7),COUNTIFS(FOLGAS!$A$2:$A$301,A7,FOLGAS!$C$2:$C$301,C7)&gt;0),IF(D7="FOLGA","⚠ Folga também lançada na aba FOLGAS. ",IF(D7="TRABALHA","⚠ Marcado TRABALHA, mas tem folga na aba FOLGAS. ","")),"")&amp;IF(AND(ISNUMBER(C7),D7="FOLGA",B7&lt;&gt;"",COUNTIFS($B$2:$B$301,B7,$C$2:$C$301,C7,$D$2:$D$301,"TRABALHA")=0),"⚠ Ninguém do setor trabalhando nesta data. ","")))</f>
        <v/>
      </c>
    </row>
    <row r="8" customFormat="false" ht="15" hidden="false" customHeight="true" outlineLevel="0" collapsed="false">
      <c r="A8" s="54"/>
      <c r="B8" s="54"/>
      <c r="C8" s="53"/>
      <c r="D8" s="54"/>
      <c r="E8" s="54"/>
      <c r="F8" s="55" t="str">
        <f aca="false">IF(A8="","",TRIM(IF(NOT(ISNUMBER(C8)),"⚠ Falta a data. ","")&amp;IF(ISNUMBER(C8),IF(AND(MONTH(C8)=12,OR(DAY(C8)=24,DAY(C8)=25)),"","⚠ Data fora do Natal (24 ou 25/12). "),"")&amp;IF(AND(ISNUMBER(C8),COUNTIFS($A$2:$A$301,A8,$C$2:$C$301,C8)&gt;1),"⚠ Nome repetido na mesma data. ","")&amp;IF(AND(ISNUMBER(C8),COUNTIFS(FÉRIAS!$A$2:$A$301,A8,FÉRIAS!$C$2:$C$301,"&lt;="&amp;C8,FÉRIAS!$D$2:$D$301,"&gt;="&amp;C8)&gt;0),IF(D8="TRABALHA","⚠ Está de férias e marcado TRABALHA. ","⚠ Já está de férias nesta data. "),"")&amp;IF(AND(ISNUMBER(C8),COUNTIFS(FOLGAS!$A$2:$A$301,A8,FOLGAS!$C$2:$C$301,C8)&gt;0),IF(D8="FOLGA","⚠ Folga também lançada na aba FOLGAS. ",IF(D8="TRABALHA","⚠ Marcado TRABALHA, mas tem folga na aba FOLGAS. ","")),"")&amp;IF(AND(ISNUMBER(C8),D8="FOLGA",B8&lt;&gt;"",COUNTIFS($B$2:$B$301,B8,$C$2:$C$301,C8,$D$2:$D$301,"TRABALHA")=0),"⚠ Ninguém do setor trabalhando nesta data. ","")))</f>
        <v/>
      </c>
    </row>
    <row r="9" customFormat="false" ht="15" hidden="false" customHeight="true" outlineLevel="0" collapsed="false">
      <c r="A9" s="54"/>
      <c r="B9" s="54"/>
      <c r="C9" s="53"/>
      <c r="D9" s="54"/>
      <c r="E9" s="54"/>
      <c r="F9" s="55" t="str">
        <f aca="false">IF(A9="","",TRIM(IF(NOT(ISNUMBER(C9)),"⚠ Falta a data. ","")&amp;IF(ISNUMBER(C9),IF(AND(MONTH(C9)=12,OR(DAY(C9)=24,DAY(C9)=25)),"","⚠ Data fora do Natal (24 ou 25/12). "),"")&amp;IF(AND(ISNUMBER(C9),COUNTIFS($A$2:$A$301,A9,$C$2:$C$301,C9)&gt;1),"⚠ Nome repetido na mesma data. ","")&amp;IF(AND(ISNUMBER(C9),COUNTIFS(FÉRIAS!$A$2:$A$301,A9,FÉRIAS!$C$2:$C$301,"&lt;="&amp;C9,FÉRIAS!$D$2:$D$301,"&gt;="&amp;C9)&gt;0),IF(D9="TRABALHA","⚠ Está de férias e marcado TRABALHA. ","⚠ Já está de férias nesta data. "),"")&amp;IF(AND(ISNUMBER(C9),COUNTIFS(FOLGAS!$A$2:$A$301,A9,FOLGAS!$C$2:$C$301,C9)&gt;0),IF(D9="FOLGA","⚠ Folga também lançada na aba FOLGAS. ",IF(D9="TRABALHA","⚠ Marcado TRABALHA, mas tem folga na aba FOLGAS. ","")),"")&amp;IF(AND(ISNUMBER(C9),D9="FOLGA",B9&lt;&gt;"",COUNTIFS($B$2:$B$301,B9,$C$2:$C$301,C9,$D$2:$D$301,"TRABALHA")=0),"⚠ Ninguém do setor trabalhando nesta data. ","")))</f>
        <v/>
      </c>
    </row>
    <row r="10" customFormat="false" ht="15" hidden="false" customHeight="true" outlineLevel="0" collapsed="false">
      <c r="A10" s="54"/>
      <c r="B10" s="54"/>
      <c r="C10" s="53"/>
      <c r="D10" s="54"/>
      <c r="E10" s="54"/>
      <c r="F10" s="55" t="str">
        <f aca="false">IF(A10="","",TRIM(IF(NOT(ISNUMBER(C10)),"⚠ Falta a data. ","")&amp;IF(ISNUMBER(C10),IF(AND(MONTH(C10)=12,OR(DAY(C10)=24,DAY(C10)=25)),"","⚠ Data fora do Natal (24 ou 25/12). "),"")&amp;IF(AND(ISNUMBER(C10),COUNTIFS($A$2:$A$301,A10,$C$2:$C$301,C10)&gt;1),"⚠ Nome repetido na mesma data. ","")&amp;IF(AND(ISNUMBER(C10),COUNTIFS(FÉRIAS!$A$2:$A$301,A10,FÉRIAS!$C$2:$C$301,"&lt;="&amp;C10,FÉRIAS!$D$2:$D$301,"&gt;="&amp;C10)&gt;0),IF(D10="TRABALHA","⚠ Está de férias e marcado TRABALHA. ","⚠ Já está de férias nesta data. "),"")&amp;IF(AND(ISNUMBER(C10),COUNTIFS(FOLGAS!$A$2:$A$301,A10,FOLGAS!$C$2:$C$301,C10)&gt;0),IF(D10="FOLGA","⚠ Folga também lançada na aba FOLGAS. ",IF(D10="TRABALHA","⚠ Marcado TRABALHA, mas tem folga na aba FOLGAS. ","")),"")&amp;IF(AND(ISNUMBER(C10),D10="FOLGA",B10&lt;&gt;"",COUNTIFS($B$2:$B$301,B10,$C$2:$C$301,C10,$D$2:$D$301,"TRABALHA")=0),"⚠ Ninguém do setor trabalhando nesta data. ","")))</f>
        <v/>
      </c>
    </row>
    <row r="11" customFormat="false" ht="15" hidden="false" customHeight="true" outlineLevel="0" collapsed="false">
      <c r="A11" s="54"/>
      <c r="B11" s="54"/>
      <c r="C11" s="53"/>
      <c r="D11" s="54"/>
      <c r="E11" s="54"/>
      <c r="F11" s="55" t="str">
        <f aca="false">IF(A11="","",TRIM(IF(NOT(ISNUMBER(C11)),"⚠ Falta a data. ","")&amp;IF(ISNUMBER(C11),IF(AND(MONTH(C11)=12,OR(DAY(C11)=24,DAY(C11)=25)),"","⚠ Data fora do Natal (24 ou 25/12). "),"")&amp;IF(AND(ISNUMBER(C11),COUNTIFS($A$2:$A$301,A11,$C$2:$C$301,C11)&gt;1),"⚠ Nome repetido na mesma data. ","")&amp;IF(AND(ISNUMBER(C11),COUNTIFS(FÉRIAS!$A$2:$A$301,A11,FÉRIAS!$C$2:$C$301,"&lt;="&amp;C11,FÉRIAS!$D$2:$D$301,"&gt;="&amp;C11)&gt;0),IF(D11="TRABALHA","⚠ Está de férias e marcado TRABALHA. ","⚠ Já está de férias nesta data. "),"")&amp;IF(AND(ISNUMBER(C11),COUNTIFS(FOLGAS!$A$2:$A$301,A11,FOLGAS!$C$2:$C$301,C11)&gt;0),IF(D11="FOLGA","⚠ Folga também lançada na aba FOLGAS. ",IF(D11="TRABALHA","⚠ Marcado TRABALHA, mas tem folga na aba FOLGAS. ","")),"")&amp;IF(AND(ISNUMBER(C11),D11="FOLGA",B11&lt;&gt;"",COUNTIFS($B$2:$B$301,B11,$C$2:$C$301,C11,$D$2:$D$301,"TRABALHA")=0),"⚠ Ninguém do setor trabalhando nesta data. ","")))</f>
        <v/>
      </c>
    </row>
    <row r="12" customFormat="false" ht="15" hidden="false" customHeight="true" outlineLevel="0" collapsed="false">
      <c r="A12" s="54"/>
      <c r="B12" s="54"/>
      <c r="C12" s="53"/>
      <c r="D12" s="54"/>
      <c r="E12" s="54"/>
      <c r="F12" s="55" t="str">
        <f aca="false">IF(A12="","",TRIM(IF(NOT(ISNUMBER(C12)),"⚠ Falta a data. ","")&amp;IF(ISNUMBER(C12),IF(AND(MONTH(C12)=12,OR(DAY(C12)=24,DAY(C12)=25)),"","⚠ Data fora do Natal (24 ou 25/12). "),"")&amp;IF(AND(ISNUMBER(C12),COUNTIFS($A$2:$A$301,A12,$C$2:$C$301,C12)&gt;1),"⚠ Nome repetido na mesma data. ","")&amp;IF(AND(ISNUMBER(C12),COUNTIFS(FÉRIAS!$A$2:$A$301,A12,FÉRIAS!$C$2:$C$301,"&lt;="&amp;C12,FÉRIAS!$D$2:$D$301,"&gt;="&amp;C12)&gt;0),IF(D12="TRABALHA","⚠ Está de férias e marcado TRABALHA. ","⚠ Já está de férias nesta data. "),"")&amp;IF(AND(ISNUMBER(C12),COUNTIFS(FOLGAS!$A$2:$A$301,A12,FOLGAS!$C$2:$C$301,C12)&gt;0),IF(D12="FOLGA","⚠ Folga também lançada na aba FOLGAS. ",IF(D12="TRABALHA","⚠ Marcado TRABALHA, mas tem folga na aba FOLGAS. ","")),"")&amp;IF(AND(ISNUMBER(C12),D12="FOLGA",B12&lt;&gt;"",COUNTIFS($B$2:$B$301,B12,$C$2:$C$301,C12,$D$2:$D$301,"TRABALHA")=0),"⚠ Ninguém do setor trabalhando nesta data. ","")))</f>
        <v/>
      </c>
    </row>
    <row r="13" customFormat="false" ht="15" hidden="false" customHeight="true" outlineLevel="0" collapsed="false">
      <c r="A13" s="54"/>
      <c r="B13" s="54"/>
      <c r="C13" s="53"/>
      <c r="D13" s="54"/>
      <c r="E13" s="54"/>
      <c r="F13" s="55" t="str">
        <f aca="false">IF(A13="","",TRIM(IF(NOT(ISNUMBER(C13)),"⚠ Falta a data. ","")&amp;IF(ISNUMBER(C13),IF(AND(MONTH(C13)=12,OR(DAY(C13)=24,DAY(C13)=25)),"","⚠ Data fora do Natal (24 ou 25/12). "),"")&amp;IF(AND(ISNUMBER(C13),COUNTIFS($A$2:$A$301,A13,$C$2:$C$301,C13)&gt;1),"⚠ Nome repetido na mesma data. ","")&amp;IF(AND(ISNUMBER(C13),COUNTIFS(FÉRIAS!$A$2:$A$301,A13,FÉRIAS!$C$2:$C$301,"&lt;="&amp;C13,FÉRIAS!$D$2:$D$301,"&gt;="&amp;C13)&gt;0),IF(D13="TRABALHA","⚠ Está de férias e marcado TRABALHA. ","⚠ Já está de férias nesta data. "),"")&amp;IF(AND(ISNUMBER(C13),COUNTIFS(FOLGAS!$A$2:$A$301,A13,FOLGAS!$C$2:$C$301,C13)&gt;0),IF(D13="FOLGA","⚠ Folga também lançada na aba FOLGAS. ",IF(D13="TRABALHA","⚠ Marcado TRABALHA, mas tem folga na aba FOLGAS. ","")),"")&amp;IF(AND(ISNUMBER(C13),D13="FOLGA",B13&lt;&gt;"",COUNTIFS($B$2:$B$301,B13,$C$2:$C$301,C13,$D$2:$D$301,"TRABALHA")=0),"⚠ Ninguém do setor trabalhando nesta data. ","")))</f>
        <v/>
      </c>
    </row>
    <row r="14" customFormat="false" ht="15" hidden="false" customHeight="true" outlineLevel="0" collapsed="false">
      <c r="A14" s="54"/>
      <c r="B14" s="54"/>
      <c r="C14" s="53"/>
      <c r="D14" s="54"/>
      <c r="E14" s="54"/>
      <c r="F14" s="55" t="str">
        <f aca="false">IF(A14="","",TRIM(IF(NOT(ISNUMBER(C14)),"⚠ Falta a data. ","")&amp;IF(ISNUMBER(C14),IF(AND(MONTH(C14)=12,OR(DAY(C14)=24,DAY(C14)=25)),"","⚠ Data fora do Natal (24 ou 25/12). "),"")&amp;IF(AND(ISNUMBER(C14),COUNTIFS($A$2:$A$301,A14,$C$2:$C$301,C14)&gt;1),"⚠ Nome repetido na mesma data. ","")&amp;IF(AND(ISNUMBER(C14),COUNTIFS(FÉRIAS!$A$2:$A$301,A14,FÉRIAS!$C$2:$C$301,"&lt;="&amp;C14,FÉRIAS!$D$2:$D$301,"&gt;="&amp;C14)&gt;0),IF(D14="TRABALHA","⚠ Está de férias e marcado TRABALHA. ","⚠ Já está de férias nesta data. "),"")&amp;IF(AND(ISNUMBER(C14),COUNTIFS(FOLGAS!$A$2:$A$301,A14,FOLGAS!$C$2:$C$301,C14)&gt;0),IF(D14="FOLGA","⚠ Folga também lançada na aba FOLGAS. ",IF(D14="TRABALHA","⚠ Marcado TRABALHA, mas tem folga na aba FOLGAS. ","")),"")&amp;IF(AND(ISNUMBER(C14),D14="FOLGA",B14&lt;&gt;"",COUNTIFS($B$2:$B$301,B14,$C$2:$C$301,C14,$D$2:$D$301,"TRABALHA")=0),"⚠ Ninguém do setor trabalhando nesta data. ","")))</f>
        <v/>
      </c>
    </row>
    <row r="15" customFormat="false" ht="15" hidden="false" customHeight="true" outlineLevel="0" collapsed="false">
      <c r="A15" s="54"/>
      <c r="B15" s="54"/>
      <c r="C15" s="53"/>
      <c r="D15" s="54"/>
      <c r="E15" s="54"/>
      <c r="F15" s="55" t="str">
        <f aca="false">IF(A15="","",TRIM(IF(NOT(ISNUMBER(C15)),"⚠ Falta a data. ","")&amp;IF(ISNUMBER(C15),IF(AND(MONTH(C15)=12,OR(DAY(C15)=24,DAY(C15)=25)),"","⚠ Data fora do Natal (24 ou 25/12). "),"")&amp;IF(AND(ISNUMBER(C15),COUNTIFS($A$2:$A$301,A15,$C$2:$C$301,C15)&gt;1),"⚠ Nome repetido na mesma data. ","")&amp;IF(AND(ISNUMBER(C15),COUNTIFS(FÉRIAS!$A$2:$A$301,A15,FÉRIAS!$C$2:$C$301,"&lt;="&amp;C15,FÉRIAS!$D$2:$D$301,"&gt;="&amp;C15)&gt;0),IF(D15="TRABALHA","⚠ Está de férias e marcado TRABALHA. ","⚠ Já está de férias nesta data. "),"")&amp;IF(AND(ISNUMBER(C15),COUNTIFS(FOLGAS!$A$2:$A$301,A15,FOLGAS!$C$2:$C$301,C15)&gt;0),IF(D15="FOLGA","⚠ Folga também lançada na aba FOLGAS. ",IF(D15="TRABALHA","⚠ Marcado TRABALHA, mas tem folga na aba FOLGAS. ","")),"")&amp;IF(AND(ISNUMBER(C15),D15="FOLGA",B15&lt;&gt;"",COUNTIFS($B$2:$B$301,B15,$C$2:$C$301,C15,$D$2:$D$301,"TRABALHA")=0),"⚠ Ninguém do setor trabalhando nesta data. ","")))</f>
        <v/>
      </c>
    </row>
    <row r="16" customFormat="false" ht="15" hidden="false" customHeight="true" outlineLevel="0" collapsed="false">
      <c r="A16" s="54"/>
      <c r="B16" s="54"/>
      <c r="C16" s="53"/>
      <c r="D16" s="54"/>
      <c r="E16" s="54"/>
      <c r="F16" s="55" t="str">
        <f aca="false">IF(A16="","",TRIM(IF(NOT(ISNUMBER(C16)),"⚠ Falta a data. ","")&amp;IF(ISNUMBER(C16),IF(AND(MONTH(C16)=12,OR(DAY(C16)=24,DAY(C16)=25)),"","⚠ Data fora do Natal (24 ou 25/12). "),"")&amp;IF(AND(ISNUMBER(C16),COUNTIFS($A$2:$A$301,A16,$C$2:$C$301,C16)&gt;1),"⚠ Nome repetido na mesma data. ","")&amp;IF(AND(ISNUMBER(C16),COUNTIFS(FÉRIAS!$A$2:$A$301,A16,FÉRIAS!$C$2:$C$301,"&lt;="&amp;C16,FÉRIAS!$D$2:$D$301,"&gt;="&amp;C16)&gt;0),IF(D16="TRABALHA","⚠ Está de férias e marcado TRABALHA. ","⚠ Já está de férias nesta data. "),"")&amp;IF(AND(ISNUMBER(C16),COUNTIFS(FOLGAS!$A$2:$A$301,A16,FOLGAS!$C$2:$C$301,C16)&gt;0),IF(D16="FOLGA","⚠ Folga também lançada na aba FOLGAS. ",IF(D16="TRABALHA","⚠ Marcado TRABALHA, mas tem folga na aba FOLGAS. ","")),"")&amp;IF(AND(ISNUMBER(C16),D16="FOLGA",B16&lt;&gt;"",COUNTIFS($B$2:$B$301,B16,$C$2:$C$301,C16,$D$2:$D$301,"TRABALHA")=0),"⚠ Ninguém do setor trabalhando nesta data. ","")))</f>
        <v/>
      </c>
    </row>
    <row r="17" customFormat="false" ht="15" hidden="false" customHeight="true" outlineLevel="0" collapsed="false">
      <c r="A17" s="54"/>
      <c r="B17" s="54"/>
      <c r="C17" s="53"/>
      <c r="D17" s="54"/>
      <c r="E17" s="54"/>
      <c r="F17" s="55" t="str">
        <f aca="false">IF(A17="","",TRIM(IF(NOT(ISNUMBER(C17)),"⚠ Falta a data. ","")&amp;IF(ISNUMBER(C17),IF(AND(MONTH(C17)=12,OR(DAY(C17)=24,DAY(C17)=25)),"","⚠ Data fora do Natal (24 ou 25/12). "),"")&amp;IF(AND(ISNUMBER(C17),COUNTIFS($A$2:$A$301,A17,$C$2:$C$301,C17)&gt;1),"⚠ Nome repetido na mesma data. ","")&amp;IF(AND(ISNUMBER(C17),COUNTIFS(FÉRIAS!$A$2:$A$301,A17,FÉRIAS!$C$2:$C$301,"&lt;="&amp;C17,FÉRIAS!$D$2:$D$301,"&gt;="&amp;C17)&gt;0),IF(D17="TRABALHA","⚠ Está de férias e marcado TRABALHA. ","⚠ Já está de férias nesta data. "),"")&amp;IF(AND(ISNUMBER(C17),COUNTIFS(FOLGAS!$A$2:$A$301,A17,FOLGAS!$C$2:$C$301,C17)&gt;0),IF(D17="FOLGA","⚠ Folga também lançada na aba FOLGAS. ",IF(D17="TRABALHA","⚠ Marcado TRABALHA, mas tem folga na aba FOLGAS. ","")),"")&amp;IF(AND(ISNUMBER(C17),D17="FOLGA",B17&lt;&gt;"",COUNTIFS($B$2:$B$301,B17,$C$2:$C$301,C17,$D$2:$D$301,"TRABALHA")=0),"⚠ Ninguém do setor trabalhando nesta data. ","")))</f>
        <v/>
      </c>
    </row>
    <row r="18" customFormat="false" ht="15" hidden="false" customHeight="true" outlineLevel="0" collapsed="false">
      <c r="A18" s="54"/>
      <c r="B18" s="54"/>
      <c r="C18" s="53"/>
      <c r="D18" s="54"/>
      <c r="E18" s="54"/>
      <c r="F18" s="55" t="str">
        <f aca="false">IF(A18="","",TRIM(IF(NOT(ISNUMBER(C18)),"⚠ Falta a data. ","")&amp;IF(ISNUMBER(C18),IF(AND(MONTH(C18)=12,OR(DAY(C18)=24,DAY(C18)=25)),"","⚠ Data fora do Natal (24 ou 25/12). "),"")&amp;IF(AND(ISNUMBER(C18),COUNTIFS($A$2:$A$301,A18,$C$2:$C$301,C18)&gt;1),"⚠ Nome repetido na mesma data. ","")&amp;IF(AND(ISNUMBER(C18),COUNTIFS(FÉRIAS!$A$2:$A$301,A18,FÉRIAS!$C$2:$C$301,"&lt;="&amp;C18,FÉRIAS!$D$2:$D$301,"&gt;="&amp;C18)&gt;0),IF(D18="TRABALHA","⚠ Está de férias e marcado TRABALHA. ","⚠ Já está de férias nesta data. "),"")&amp;IF(AND(ISNUMBER(C18),COUNTIFS(FOLGAS!$A$2:$A$301,A18,FOLGAS!$C$2:$C$301,C18)&gt;0),IF(D18="FOLGA","⚠ Folga também lançada na aba FOLGAS. ",IF(D18="TRABALHA","⚠ Marcado TRABALHA, mas tem folga na aba FOLGAS. ","")),"")&amp;IF(AND(ISNUMBER(C18),D18="FOLGA",B18&lt;&gt;"",COUNTIFS($B$2:$B$301,B18,$C$2:$C$301,C18,$D$2:$D$301,"TRABALHA")=0),"⚠ Ninguém do setor trabalhando nesta data. ","")))</f>
        <v/>
      </c>
    </row>
    <row r="19" customFormat="false" ht="15" hidden="false" customHeight="true" outlineLevel="0" collapsed="false">
      <c r="A19" s="54"/>
      <c r="B19" s="54"/>
      <c r="C19" s="53"/>
      <c r="D19" s="54"/>
      <c r="E19" s="54"/>
      <c r="F19" s="55" t="str">
        <f aca="false">IF(A19="","",TRIM(IF(NOT(ISNUMBER(C19)),"⚠ Falta a data. ","")&amp;IF(ISNUMBER(C19),IF(AND(MONTH(C19)=12,OR(DAY(C19)=24,DAY(C19)=25)),"","⚠ Data fora do Natal (24 ou 25/12). "),"")&amp;IF(AND(ISNUMBER(C19),COUNTIFS($A$2:$A$301,A19,$C$2:$C$301,C19)&gt;1),"⚠ Nome repetido na mesma data. ","")&amp;IF(AND(ISNUMBER(C19),COUNTIFS(FÉRIAS!$A$2:$A$301,A19,FÉRIAS!$C$2:$C$301,"&lt;="&amp;C19,FÉRIAS!$D$2:$D$301,"&gt;="&amp;C19)&gt;0),IF(D19="TRABALHA","⚠ Está de férias e marcado TRABALHA. ","⚠ Já está de férias nesta data. "),"")&amp;IF(AND(ISNUMBER(C19),COUNTIFS(FOLGAS!$A$2:$A$301,A19,FOLGAS!$C$2:$C$301,C19)&gt;0),IF(D19="FOLGA","⚠ Folga também lançada na aba FOLGAS. ",IF(D19="TRABALHA","⚠ Marcado TRABALHA, mas tem folga na aba FOLGAS. ","")),"")&amp;IF(AND(ISNUMBER(C19),D19="FOLGA",B19&lt;&gt;"",COUNTIFS($B$2:$B$301,B19,$C$2:$C$301,C19,$D$2:$D$301,"TRABALHA")=0),"⚠ Ninguém do setor trabalhando nesta data. ","")))</f>
        <v/>
      </c>
    </row>
    <row r="20" customFormat="false" ht="15" hidden="false" customHeight="true" outlineLevel="0" collapsed="false">
      <c r="A20" s="54"/>
      <c r="B20" s="54"/>
      <c r="C20" s="53"/>
      <c r="D20" s="54"/>
      <c r="E20" s="54"/>
      <c r="F20" s="55" t="str">
        <f aca="false">IF(A20="","",TRIM(IF(NOT(ISNUMBER(C20)),"⚠ Falta a data. ","")&amp;IF(ISNUMBER(C20),IF(AND(MONTH(C20)=12,OR(DAY(C20)=24,DAY(C20)=25)),"","⚠ Data fora do Natal (24 ou 25/12). "),"")&amp;IF(AND(ISNUMBER(C20),COUNTIFS($A$2:$A$301,A20,$C$2:$C$301,C20)&gt;1),"⚠ Nome repetido na mesma data. ","")&amp;IF(AND(ISNUMBER(C20),COUNTIFS(FÉRIAS!$A$2:$A$301,A20,FÉRIAS!$C$2:$C$301,"&lt;="&amp;C20,FÉRIAS!$D$2:$D$301,"&gt;="&amp;C20)&gt;0),IF(D20="TRABALHA","⚠ Está de férias e marcado TRABALHA. ","⚠ Já está de férias nesta data. "),"")&amp;IF(AND(ISNUMBER(C20),COUNTIFS(FOLGAS!$A$2:$A$301,A20,FOLGAS!$C$2:$C$301,C20)&gt;0),IF(D20="FOLGA","⚠ Folga também lançada na aba FOLGAS. ",IF(D20="TRABALHA","⚠ Marcado TRABALHA, mas tem folga na aba FOLGAS. ","")),"")&amp;IF(AND(ISNUMBER(C20),D20="FOLGA",B20&lt;&gt;"",COUNTIFS($B$2:$B$301,B20,$C$2:$C$301,C20,$D$2:$D$301,"TRABALHA")=0),"⚠ Ninguém do setor trabalhando nesta data. ","")))</f>
        <v/>
      </c>
    </row>
    <row r="21" customFormat="false" ht="15" hidden="false" customHeight="true" outlineLevel="0" collapsed="false">
      <c r="A21" s="54"/>
      <c r="B21" s="54"/>
      <c r="C21" s="53"/>
      <c r="D21" s="54"/>
      <c r="E21" s="54"/>
      <c r="F21" s="55" t="str">
        <f aca="false">IF(A21="","",TRIM(IF(NOT(ISNUMBER(C21)),"⚠ Falta a data. ","")&amp;IF(ISNUMBER(C21),IF(AND(MONTH(C21)=12,OR(DAY(C21)=24,DAY(C21)=25)),"","⚠ Data fora do Natal (24 ou 25/12). "),"")&amp;IF(AND(ISNUMBER(C21),COUNTIFS($A$2:$A$301,A21,$C$2:$C$301,C21)&gt;1),"⚠ Nome repetido na mesma data. ","")&amp;IF(AND(ISNUMBER(C21),COUNTIFS(FÉRIAS!$A$2:$A$301,A21,FÉRIAS!$C$2:$C$301,"&lt;="&amp;C21,FÉRIAS!$D$2:$D$301,"&gt;="&amp;C21)&gt;0),IF(D21="TRABALHA","⚠ Está de férias e marcado TRABALHA. ","⚠ Já está de férias nesta data. "),"")&amp;IF(AND(ISNUMBER(C21),COUNTIFS(FOLGAS!$A$2:$A$301,A21,FOLGAS!$C$2:$C$301,C21)&gt;0),IF(D21="FOLGA","⚠ Folga também lançada na aba FOLGAS. ",IF(D21="TRABALHA","⚠ Marcado TRABALHA, mas tem folga na aba FOLGAS. ","")),"")&amp;IF(AND(ISNUMBER(C21),D21="FOLGA",B21&lt;&gt;"",COUNTIFS($B$2:$B$301,B21,$C$2:$C$301,C21,$D$2:$D$301,"TRABALHA")=0),"⚠ Ninguém do setor trabalhando nesta data. ","")))</f>
        <v/>
      </c>
    </row>
    <row r="22" customFormat="false" ht="15" hidden="false" customHeight="true" outlineLevel="0" collapsed="false">
      <c r="A22" s="54"/>
      <c r="B22" s="54"/>
      <c r="C22" s="53"/>
      <c r="D22" s="54"/>
      <c r="E22" s="54"/>
      <c r="F22" s="55" t="str">
        <f aca="false">IF(A22="","",TRIM(IF(NOT(ISNUMBER(C22)),"⚠ Falta a data. ","")&amp;IF(ISNUMBER(C22),IF(AND(MONTH(C22)=12,OR(DAY(C22)=24,DAY(C22)=25)),"","⚠ Data fora do Natal (24 ou 25/12). "),"")&amp;IF(AND(ISNUMBER(C22),COUNTIFS($A$2:$A$301,A22,$C$2:$C$301,C22)&gt;1),"⚠ Nome repetido na mesma data. ","")&amp;IF(AND(ISNUMBER(C22),COUNTIFS(FÉRIAS!$A$2:$A$301,A22,FÉRIAS!$C$2:$C$301,"&lt;="&amp;C22,FÉRIAS!$D$2:$D$301,"&gt;="&amp;C22)&gt;0),IF(D22="TRABALHA","⚠ Está de férias e marcado TRABALHA. ","⚠ Já está de férias nesta data. "),"")&amp;IF(AND(ISNUMBER(C22),COUNTIFS(FOLGAS!$A$2:$A$301,A22,FOLGAS!$C$2:$C$301,C22)&gt;0),IF(D22="FOLGA","⚠ Folga também lançada na aba FOLGAS. ",IF(D22="TRABALHA","⚠ Marcado TRABALHA, mas tem folga na aba FOLGAS. ","")),"")&amp;IF(AND(ISNUMBER(C22),D22="FOLGA",B22&lt;&gt;"",COUNTIFS($B$2:$B$301,B22,$C$2:$C$301,C22,$D$2:$D$301,"TRABALHA")=0),"⚠ Ninguém do setor trabalhando nesta data. ","")))</f>
        <v/>
      </c>
    </row>
    <row r="23" customFormat="false" ht="15" hidden="false" customHeight="true" outlineLevel="0" collapsed="false">
      <c r="A23" s="54"/>
      <c r="B23" s="54"/>
      <c r="C23" s="53"/>
      <c r="D23" s="54"/>
      <c r="E23" s="54"/>
      <c r="F23" s="55" t="str">
        <f aca="false">IF(A23="","",TRIM(IF(NOT(ISNUMBER(C23)),"⚠ Falta a data. ","")&amp;IF(ISNUMBER(C23),IF(AND(MONTH(C23)=12,OR(DAY(C23)=24,DAY(C23)=25)),"","⚠ Data fora do Natal (24 ou 25/12). "),"")&amp;IF(AND(ISNUMBER(C23),COUNTIFS($A$2:$A$301,A23,$C$2:$C$301,C23)&gt;1),"⚠ Nome repetido na mesma data. ","")&amp;IF(AND(ISNUMBER(C23),COUNTIFS(FÉRIAS!$A$2:$A$301,A23,FÉRIAS!$C$2:$C$301,"&lt;="&amp;C23,FÉRIAS!$D$2:$D$301,"&gt;="&amp;C23)&gt;0),IF(D23="TRABALHA","⚠ Está de férias e marcado TRABALHA. ","⚠ Já está de férias nesta data. "),"")&amp;IF(AND(ISNUMBER(C23),COUNTIFS(FOLGAS!$A$2:$A$301,A23,FOLGAS!$C$2:$C$301,C23)&gt;0),IF(D23="FOLGA","⚠ Folga também lançada na aba FOLGAS. ",IF(D23="TRABALHA","⚠ Marcado TRABALHA, mas tem folga na aba FOLGAS. ","")),"")&amp;IF(AND(ISNUMBER(C23),D23="FOLGA",B23&lt;&gt;"",COUNTIFS($B$2:$B$301,B23,$C$2:$C$301,C23,$D$2:$D$301,"TRABALHA")=0),"⚠ Ninguém do setor trabalhando nesta data. ","")))</f>
        <v/>
      </c>
    </row>
    <row r="24" customFormat="false" ht="15" hidden="false" customHeight="true" outlineLevel="0" collapsed="false">
      <c r="A24" s="54"/>
      <c r="B24" s="54"/>
      <c r="C24" s="53"/>
      <c r="D24" s="54"/>
      <c r="E24" s="54"/>
      <c r="F24" s="55" t="str">
        <f aca="false">IF(A24="","",TRIM(IF(NOT(ISNUMBER(C24)),"⚠ Falta a data. ","")&amp;IF(ISNUMBER(C24),IF(AND(MONTH(C24)=12,OR(DAY(C24)=24,DAY(C24)=25)),"","⚠ Data fora do Natal (24 ou 25/12). "),"")&amp;IF(AND(ISNUMBER(C24),COUNTIFS($A$2:$A$301,A24,$C$2:$C$301,C24)&gt;1),"⚠ Nome repetido na mesma data. ","")&amp;IF(AND(ISNUMBER(C24),COUNTIFS(FÉRIAS!$A$2:$A$301,A24,FÉRIAS!$C$2:$C$301,"&lt;="&amp;C24,FÉRIAS!$D$2:$D$301,"&gt;="&amp;C24)&gt;0),IF(D24="TRABALHA","⚠ Está de férias e marcado TRABALHA. ","⚠ Já está de férias nesta data. "),"")&amp;IF(AND(ISNUMBER(C24),COUNTIFS(FOLGAS!$A$2:$A$301,A24,FOLGAS!$C$2:$C$301,C24)&gt;0),IF(D24="FOLGA","⚠ Folga também lançada na aba FOLGAS. ",IF(D24="TRABALHA","⚠ Marcado TRABALHA, mas tem folga na aba FOLGAS. ","")),"")&amp;IF(AND(ISNUMBER(C24),D24="FOLGA",B24&lt;&gt;"",COUNTIFS($B$2:$B$301,B24,$C$2:$C$301,C24,$D$2:$D$301,"TRABALHA")=0),"⚠ Ninguém do setor trabalhando nesta data. ","")))</f>
        <v/>
      </c>
    </row>
    <row r="25" customFormat="false" ht="15" hidden="false" customHeight="true" outlineLevel="0" collapsed="false">
      <c r="A25" s="54"/>
      <c r="B25" s="54"/>
      <c r="C25" s="53"/>
      <c r="D25" s="54"/>
      <c r="E25" s="54"/>
      <c r="F25" s="55" t="str">
        <f aca="false">IF(A25="","",TRIM(IF(NOT(ISNUMBER(C25)),"⚠ Falta a data. ","")&amp;IF(ISNUMBER(C25),IF(AND(MONTH(C25)=12,OR(DAY(C25)=24,DAY(C25)=25)),"","⚠ Data fora do Natal (24 ou 25/12). "),"")&amp;IF(AND(ISNUMBER(C25),COUNTIFS($A$2:$A$301,A25,$C$2:$C$301,C25)&gt;1),"⚠ Nome repetido na mesma data. ","")&amp;IF(AND(ISNUMBER(C25),COUNTIFS(FÉRIAS!$A$2:$A$301,A25,FÉRIAS!$C$2:$C$301,"&lt;="&amp;C25,FÉRIAS!$D$2:$D$301,"&gt;="&amp;C25)&gt;0),IF(D25="TRABALHA","⚠ Está de férias e marcado TRABALHA. ","⚠ Já está de férias nesta data. "),"")&amp;IF(AND(ISNUMBER(C25),COUNTIFS(FOLGAS!$A$2:$A$301,A25,FOLGAS!$C$2:$C$301,C25)&gt;0),IF(D25="FOLGA","⚠ Folga também lançada na aba FOLGAS. ",IF(D25="TRABALHA","⚠ Marcado TRABALHA, mas tem folga na aba FOLGAS. ","")),"")&amp;IF(AND(ISNUMBER(C25),D25="FOLGA",B25&lt;&gt;"",COUNTIFS($B$2:$B$301,B25,$C$2:$C$301,C25,$D$2:$D$301,"TRABALHA")=0),"⚠ Ninguém do setor trabalhando nesta data. ","")))</f>
        <v/>
      </c>
    </row>
    <row r="26" customFormat="false" ht="15" hidden="false" customHeight="true" outlineLevel="0" collapsed="false">
      <c r="A26" s="54"/>
      <c r="B26" s="54"/>
      <c r="C26" s="53"/>
      <c r="D26" s="54"/>
      <c r="E26" s="54"/>
      <c r="F26" s="55" t="str">
        <f aca="false">IF(A26="","",TRIM(IF(NOT(ISNUMBER(C26)),"⚠ Falta a data. ","")&amp;IF(ISNUMBER(C26),IF(AND(MONTH(C26)=12,OR(DAY(C26)=24,DAY(C26)=25)),"","⚠ Data fora do Natal (24 ou 25/12). "),"")&amp;IF(AND(ISNUMBER(C26),COUNTIFS($A$2:$A$301,A26,$C$2:$C$301,C26)&gt;1),"⚠ Nome repetido na mesma data. ","")&amp;IF(AND(ISNUMBER(C26),COUNTIFS(FÉRIAS!$A$2:$A$301,A26,FÉRIAS!$C$2:$C$301,"&lt;="&amp;C26,FÉRIAS!$D$2:$D$301,"&gt;="&amp;C26)&gt;0),IF(D26="TRABALHA","⚠ Está de férias e marcado TRABALHA. ","⚠ Já está de férias nesta data. "),"")&amp;IF(AND(ISNUMBER(C26),COUNTIFS(FOLGAS!$A$2:$A$301,A26,FOLGAS!$C$2:$C$301,C26)&gt;0),IF(D26="FOLGA","⚠ Folga também lançada na aba FOLGAS. ",IF(D26="TRABALHA","⚠ Marcado TRABALHA, mas tem folga na aba FOLGAS. ","")),"")&amp;IF(AND(ISNUMBER(C26),D26="FOLGA",B26&lt;&gt;"",COUNTIFS($B$2:$B$301,B26,$C$2:$C$301,C26,$D$2:$D$301,"TRABALHA")=0),"⚠ Ninguém do setor trabalhando nesta data. ","")))</f>
        <v/>
      </c>
    </row>
    <row r="27" customFormat="false" ht="15" hidden="false" customHeight="true" outlineLevel="0" collapsed="false">
      <c r="A27" s="54"/>
      <c r="B27" s="54"/>
      <c r="C27" s="53"/>
      <c r="D27" s="54"/>
      <c r="E27" s="54"/>
      <c r="F27" s="55" t="str">
        <f aca="false">IF(A27="","",TRIM(IF(NOT(ISNUMBER(C27)),"⚠ Falta a data. ","")&amp;IF(ISNUMBER(C27),IF(AND(MONTH(C27)=12,OR(DAY(C27)=24,DAY(C27)=25)),"","⚠ Data fora do Natal (24 ou 25/12). "),"")&amp;IF(AND(ISNUMBER(C27),COUNTIFS($A$2:$A$301,A27,$C$2:$C$301,C27)&gt;1),"⚠ Nome repetido na mesma data. ","")&amp;IF(AND(ISNUMBER(C27),COUNTIFS(FÉRIAS!$A$2:$A$301,A27,FÉRIAS!$C$2:$C$301,"&lt;="&amp;C27,FÉRIAS!$D$2:$D$301,"&gt;="&amp;C27)&gt;0),IF(D27="TRABALHA","⚠ Está de férias e marcado TRABALHA. ","⚠ Já está de férias nesta data. "),"")&amp;IF(AND(ISNUMBER(C27),COUNTIFS(FOLGAS!$A$2:$A$301,A27,FOLGAS!$C$2:$C$301,C27)&gt;0),IF(D27="FOLGA","⚠ Folga também lançada na aba FOLGAS. ",IF(D27="TRABALHA","⚠ Marcado TRABALHA, mas tem folga na aba FOLGAS. ","")),"")&amp;IF(AND(ISNUMBER(C27),D27="FOLGA",B27&lt;&gt;"",COUNTIFS($B$2:$B$301,B27,$C$2:$C$301,C27,$D$2:$D$301,"TRABALHA")=0),"⚠ Ninguém do setor trabalhando nesta data. ","")))</f>
        <v/>
      </c>
    </row>
    <row r="28" customFormat="false" ht="15" hidden="false" customHeight="true" outlineLevel="0" collapsed="false">
      <c r="A28" s="54"/>
      <c r="B28" s="54"/>
      <c r="C28" s="53"/>
      <c r="D28" s="54"/>
      <c r="E28" s="54"/>
      <c r="F28" s="55" t="str">
        <f aca="false">IF(A28="","",TRIM(IF(NOT(ISNUMBER(C28)),"⚠ Falta a data. ","")&amp;IF(ISNUMBER(C28),IF(AND(MONTH(C28)=12,OR(DAY(C28)=24,DAY(C28)=25)),"","⚠ Data fora do Natal (24 ou 25/12). "),"")&amp;IF(AND(ISNUMBER(C28),COUNTIFS($A$2:$A$301,A28,$C$2:$C$301,C28)&gt;1),"⚠ Nome repetido na mesma data. ","")&amp;IF(AND(ISNUMBER(C28),COUNTIFS(FÉRIAS!$A$2:$A$301,A28,FÉRIAS!$C$2:$C$301,"&lt;="&amp;C28,FÉRIAS!$D$2:$D$301,"&gt;="&amp;C28)&gt;0),IF(D28="TRABALHA","⚠ Está de férias e marcado TRABALHA. ","⚠ Já está de férias nesta data. "),"")&amp;IF(AND(ISNUMBER(C28),COUNTIFS(FOLGAS!$A$2:$A$301,A28,FOLGAS!$C$2:$C$301,C28)&gt;0),IF(D28="FOLGA","⚠ Folga também lançada na aba FOLGAS. ",IF(D28="TRABALHA","⚠ Marcado TRABALHA, mas tem folga na aba FOLGAS. ","")),"")&amp;IF(AND(ISNUMBER(C28),D28="FOLGA",B28&lt;&gt;"",COUNTIFS($B$2:$B$301,B28,$C$2:$C$301,C28,$D$2:$D$301,"TRABALHA")=0),"⚠ Ninguém do setor trabalhando nesta data. ","")))</f>
        <v/>
      </c>
    </row>
    <row r="29" customFormat="false" ht="15" hidden="false" customHeight="true" outlineLevel="0" collapsed="false">
      <c r="A29" s="54"/>
      <c r="B29" s="54"/>
      <c r="C29" s="53"/>
      <c r="D29" s="54"/>
      <c r="E29" s="54"/>
      <c r="F29" s="55" t="str">
        <f aca="false">IF(A29="","",TRIM(IF(NOT(ISNUMBER(C29)),"⚠ Falta a data. ","")&amp;IF(ISNUMBER(C29),IF(AND(MONTH(C29)=12,OR(DAY(C29)=24,DAY(C29)=25)),"","⚠ Data fora do Natal (24 ou 25/12). "),"")&amp;IF(AND(ISNUMBER(C29),COUNTIFS($A$2:$A$301,A29,$C$2:$C$301,C29)&gt;1),"⚠ Nome repetido na mesma data. ","")&amp;IF(AND(ISNUMBER(C29),COUNTIFS(FÉRIAS!$A$2:$A$301,A29,FÉRIAS!$C$2:$C$301,"&lt;="&amp;C29,FÉRIAS!$D$2:$D$301,"&gt;="&amp;C29)&gt;0),IF(D29="TRABALHA","⚠ Está de férias e marcado TRABALHA. ","⚠ Já está de férias nesta data. "),"")&amp;IF(AND(ISNUMBER(C29),COUNTIFS(FOLGAS!$A$2:$A$301,A29,FOLGAS!$C$2:$C$301,C29)&gt;0),IF(D29="FOLGA","⚠ Folga também lançada na aba FOLGAS. ",IF(D29="TRABALHA","⚠ Marcado TRABALHA, mas tem folga na aba FOLGAS. ","")),"")&amp;IF(AND(ISNUMBER(C29),D29="FOLGA",B29&lt;&gt;"",COUNTIFS($B$2:$B$301,B29,$C$2:$C$301,C29,$D$2:$D$301,"TRABALHA")=0),"⚠ Ninguém do setor trabalhando nesta data. ","")))</f>
        <v/>
      </c>
    </row>
    <row r="30" customFormat="false" ht="15" hidden="false" customHeight="true" outlineLevel="0" collapsed="false">
      <c r="A30" s="54"/>
      <c r="B30" s="54"/>
      <c r="C30" s="53"/>
      <c r="D30" s="54"/>
      <c r="E30" s="54"/>
      <c r="F30" s="55" t="str">
        <f aca="false">IF(A30="","",TRIM(IF(NOT(ISNUMBER(C30)),"⚠ Falta a data. ","")&amp;IF(ISNUMBER(C30),IF(AND(MONTH(C30)=12,OR(DAY(C30)=24,DAY(C30)=25)),"","⚠ Data fora do Natal (24 ou 25/12). "),"")&amp;IF(AND(ISNUMBER(C30),COUNTIFS($A$2:$A$301,A30,$C$2:$C$301,C30)&gt;1),"⚠ Nome repetido na mesma data. ","")&amp;IF(AND(ISNUMBER(C30),COUNTIFS(FÉRIAS!$A$2:$A$301,A30,FÉRIAS!$C$2:$C$301,"&lt;="&amp;C30,FÉRIAS!$D$2:$D$301,"&gt;="&amp;C30)&gt;0),IF(D30="TRABALHA","⚠ Está de férias e marcado TRABALHA. ","⚠ Já está de férias nesta data. "),"")&amp;IF(AND(ISNUMBER(C30),COUNTIFS(FOLGAS!$A$2:$A$301,A30,FOLGAS!$C$2:$C$301,C30)&gt;0),IF(D30="FOLGA","⚠ Folga também lançada na aba FOLGAS. ",IF(D30="TRABALHA","⚠ Marcado TRABALHA, mas tem folga na aba FOLGAS. ","")),"")&amp;IF(AND(ISNUMBER(C30),D30="FOLGA",B30&lt;&gt;"",COUNTIFS($B$2:$B$301,B30,$C$2:$C$301,C30,$D$2:$D$301,"TRABALHA")=0),"⚠ Ninguém do setor trabalhando nesta data. ","")))</f>
        <v/>
      </c>
    </row>
    <row r="31" customFormat="false" ht="15" hidden="false" customHeight="true" outlineLevel="0" collapsed="false">
      <c r="A31" s="54"/>
      <c r="B31" s="54"/>
      <c r="C31" s="53"/>
      <c r="D31" s="54"/>
      <c r="E31" s="54"/>
      <c r="F31" s="55" t="str">
        <f aca="false">IF(A31="","",TRIM(IF(NOT(ISNUMBER(C31)),"⚠ Falta a data. ","")&amp;IF(ISNUMBER(C31),IF(AND(MONTH(C31)=12,OR(DAY(C31)=24,DAY(C31)=25)),"","⚠ Data fora do Natal (24 ou 25/12). "),"")&amp;IF(AND(ISNUMBER(C31),COUNTIFS($A$2:$A$301,A31,$C$2:$C$301,C31)&gt;1),"⚠ Nome repetido na mesma data. ","")&amp;IF(AND(ISNUMBER(C31),COUNTIFS(FÉRIAS!$A$2:$A$301,A31,FÉRIAS!$C$2:$C$301,"&lt;="&amp;C31,FÉRIAS!$D$2:$D$301,"&gt;="&amp;C31)&gt;0),IF(D31="TRABALHA","⚠ Está de férias e marcado TRABALHA. ","⚠ Já está de férias nesta data. "),"")&amp;IF(AND(ISNUMBER(C31),COUNTIFS(FOLGAS!$A$2:$A$301,A31,FOLGAS!$C$2:$C$301,C31)&gt;0),IF(D31="FOLGA","⚠ Folga também lançada na aba FOLGAS. ",IF(D31="TRABALHA","⚠ Marcado TRABALHA, mas tem folga na aba FOLGAS. ","")),"")&amp;IF(AND(ISNUMBER(C31),D31="FOLGA",B31&lt;&gt;"",COUNTIFS($B$2:$B$301,B31,$C$2:$C$301,C31,$D$2:$D$301,"TRABALHA")=0),"⚠ Ninguém do setor trabalhando nesta data. ","")))</f>
        <v/>
      </c>
    </row>
    <row r="32" customFormat="false" ht="15" hidden="false" customHeight="true" outlineLevel="0" collapsed="false">
      <c r="A32" s="54"/>
      <c r="B32" s="54"/>
      <c r="C32" s="53"/>
      <c r="D32" s="54"/>
      <c r="E32" s="54"/>
      <c r="F32" s="55" t="str">
        <f aca="false">IF(A32="","",TRIM(IF(NOT(ISNUMBER(C32)),"⚠ Falta a data. ","")&amp;IF(ISNUMBER(C32),IF(AND(MONTH(C32)=12,OR(DAY(C32)=24,DAY(C32)=25)),"","⚠ Data fora do Natal (24 ou 25/12). "),"")&amp;IF(AND(ISNUMBER(C32),COUNTIFS($A$2:$A$301,A32,$C$2:$C$301,C32)&gt;1),"⚠ Nome repetido na mesma data. ","")&amp;IF(AND(ISNUMBER(C32),COUNTIFS(FÉRIAS!$A$2:$A$301,A32,FÉRIAS!$C$2:$C$301,"&lt;="&amp;C32,FÉRIAS!$D$2:$D$301,"&gt;="&amp;C32)&gt;0),IF(D32="TRABALHA","⚠ Está de férias e marcado TRABALHA. ","⚠ Já está de férias nesta data. "),"")&amp;IF(AND(ISNUMBER(C32),COUNTIFS(FOLGAS!$A$2:$A$301,A32,FOLGAS!$C$2:$C$301,C32)&gt;0),IF(D32="FOLGA","⚠ Folga também lançada na aba FOLGAS. ",IF(D32="TRABALHA","⚠ Marcado TRABALHA, mas tem folga na aba FOLGAS. ","")),"")&amp;IF(AND(ISNUMBER(C32),D32="FOLGA",B32&lt;&gt;"",COUNTIFS($B$2:$B$301,B32,$C$2:$C$301,C32,$D$2:$D$301,"TRABALHA")=0),"⚠ Ninguém do setor trabalhando nesta data. ","")))</f>
        <v/>
      </c>
    </row>
    <row r="33" customFormat="false" ht="15" hidden="false" customHeight="true" outlineLevel="0" collapsed="false">
      <c r="A33" s="54"/>
      <c r="B33" s="54"/>
      <c r="C33" s="53"/>
      <c r="D33" s="54"/>
      <c r="E33" s="54"/>
      <c r="F33" s="55" t="str">
        <f aca="false">IF(A33="","",TRIM(IF(NOT(ISNUMBER(C33)),"⚠ Falta a data. ","")&amp;IF(ISNUMBER(C33),IF(AND(MONTH(C33)=12,OR(DAY(C33)=24,DAY(C33)=25)),"","⚠ Data fora do Natal (24 ou 25/12). "),"")&amp;IF(AND(ISNUMBER(C33),COUNTIFS($A$2:$A$301,A33,$C$2:$C$301,C33)&gt;1),"⚠ Nome repetido na mesma data. ","")&amp;IF(AND(ISNUMBER(C33),COUNTIFS(FÉRIAS!$A$2:$A$301,A33,FÉRIAS!$C$2:$C$301,"&lt;="&amp;C33,FÉRIAS!$D$2:$D$301,"&gt;="&amp;C33)&gt;0),IF(D33="TRABALHA","⚠ Está de férias e marcado TRABALHA. ","⚠ Já está de férias nesta data. "),"")&amp;IF(AND(ISNUMBER(C33),COUNTIFS(FOLGAS!$A$2:$A$301,A33,FOLGAS!$C$2:$C$301,C33)&gt;0),IF(D33="FOLGA","⚠ Folga também lançada na aba FOLGAS. ",IF(D33="TRABALHA","⚠ Marcado TRABALHA, mas tem folga na aba FOLGAS. ","")),"")&amp;IF(AND(ISNUMBER(C33),D33="FOLGA",B33&lt;&gt;"",COUNTIFS($B$2:$B$301,B33,$C$2:$C$301,C33,$D$2:$D$301,"TRABALHA")=0),"⚠ Ninguém do setor trabalhando nesta data. ","")))</f>
        <v/>
      </c>
    </row>
    <row r="34" customFormat="false" ht="15" hidden="false" customHeight="true" outlineLevel="0" collapsed="false">
      <c r="A34" s="54"/>
      <c r="B34" s="54"/>
      <c r="C34" s="53"/>
      <c r="D34" s="54"/>
      <c r="E34" s="54"/>
      <c r="F34" s="55" t="str">
        <f aca="false">IF(A34="","",TRIM(IF(NOT(ISNUMBER(C34)),"⚠ Falta a data. ","")&amp;IF(ISNUMBER(C34),IF(AND(MONTH(C34)=12,OR(DAY(C34)=24,DAY(C34)=25)),"","⚠ Data fora do Natal (24 ou 25/12). "),"")&amp;IF(AND(ISNUMBER(C34),COUNTIFS($A$2:$A$301,A34,$C$2:$C$301,C34)&gt;1),"⚠ Nome repetido na mesma data. ","")&amp;IF(AND(ISNUMBER(C34),COUNTIFS(FÉRIAS!$A$2:$A$301,A34,FÉRIAS!$C$2:$C$301,"&lt;="&amp;C34,FÉRIAS!$D$2:$D$301,"&gt;="&amp;C34)&gt;0),IF(D34="TRABALHA","⚠ Está de férias e marcado TRABALHA. ","⚠ Já está de férias nesta data. "),"")&amp;IF(AND(ISNUMBER(C34),COUNTIFS(FOLGAS!$A$2:$A$301,A34,FOLGAS!$C$2:$C$301,C34)&gt;0),IF(D34="FOLGA","⚠ Folga também lançada na aba FOLGAS. ",IF(D34="TRABALHA","⚠ Marcado TRABALHA, mas tem folga na aba FOLGAS. ","")),"")&amp;IF(AND(ISNUMBER(C34),D34="FOLGA",B34&lt;&gt;"",COUNTIFS($B$2:$B$301,B34,$C$2:$C$301,C34,$D$2:$D$301,"TRABALHA")=0),"⚠ Ninguém do setor trabalhando nesta data. ","")))</f>
        <v/>
      </c>
    </row>
    <row r="35" customFormat="false" ht="15" hidden="false" customHeight="true" outlineLevel="0" collapsed="false">
      <c r="A35" s="54"/>
      <c r="B35" s="54"/>
      <c r="C35" s="53"/>
      <c r="D35" s="54"/>
      <c r="E35" s="54"/>
      <c r="F35" s="55" t="str">
        <f aca="false">IF(A35="","",TRIM(IF(NOT(ISNUMBER(C35)),"⚠ Falta a data. ","")&amp;IF(ISNUMBER(C35),IF(AND(MONTH(C35)=12,OR(DAY(C35)=24,DAY(C35)=25)),"","⚠ Data fora do Natal (24 ou 25/12). "),"")&amp;IF(AND(ISNUMBER(C35),COUNTIFS($A$2:$A$301,A35,$C$2:$C$301,C35)&gt;1),"⚠ Nome repetido na mesma data. ","")&amp;IF(AND(ISNUMBER(C35),COUNTIFS(FÉRIAS!$A$2:$A$301,A35,FÉRIAS!$C$2:$C$301,"&lt;="&amp;C35,FÉRIAS!$D$2:$D$301,"&gt;="&amp;C35)&gt;0),IF(D35="TRABALHA","⚠ Está de férias e marcado TRABALHA. ","⚠ Já está de férias nesta data. "),"")&amp;IF(AND(ISNUMBER(C35),COUNTIFS(FOLGAS!$A$2:$A$301,A35,FOLGAS!$C$2:$C$301,C35)&gt;0),IF(D35="FOLGA","⚠ Folga também lançada na aba FOLGAS. ",IF(D35="TRABALHA","⚠ Marcado TRABALHA, mas tem folga na aba FOLGAS. ","")),"")&amp;IF(AND(ISNUMBER(C35),D35="FOLGA",B35&lt;&gt;"",COUNTIFS($B$2:$B$301,B35,$C$2:$C$301,C35,$D$2:$D$301,"TRABALHA")=0),"⚠ Ninguém do setor trabalhando nesta data. ","")))</f>
        <v/>
      </c>
    </row>
    <row r="36" customFormat="false" ht="15" hidden="false" customHeight="true" outlineLevel="0" collapsed="false">
      <c r="A36" s="54"/>
      <c r="B36" s="54"/>
      <c r="C36" s="53"/>
      <c r="D36" s="54"/>
      <c r="E36" s="54"/>
      <c r="F36" s="55" t="str">
        <f aca="false">IF(A36="","",TRIM(IF(NOT(ISNUMBER(C36)),"⚠ Falta a data. ","")&amp;IF(ISNUMBER(C36),IF(AND(MONTH(C36)=12,OR(DAY(C36)=24,DAY(C36)=25)),"","⚠ Data fora do Natal (24 ou 25/12). "),"")&amp;IF(AND(ISNUMBER(C36),COUNTIFS($A$2:$A$301,A36,$C$2:$C$301,C36)&gt;1),"⚠ Nome repetido na mesma data. ","")&amp;IF(AND(ISNUMBER(C36),COUNTIFS(FÉRIAS!$A$2:$A$301,A36,FÉRIAS!$C$2:$C$301,"&lt;="&amp;C36,FÉRIAS!$D$2:$D$301,"&gt;="&amp;C36)&gt;0),IF(D36="TRABALHA","⚠ Está de férias e marcado TRABALHA. ","⚠ Já está de férias nesta data. "),"")&amp;IF(AND(ISNUMBER(C36),COUNTIFS(FOLGAS!$A$2:$A$301,A36,FOLGAS!$C$2:$C$301,C36)&gt;0),IF(D36="FOLGA","⚠ Folga também lançada na aba FOLGAS. ",IF(D36="TRABALHA","⚠ Marcado TRABALHA, mas tem folga na aba FOLGAS. ","")),"")&amp;IF(AND(ISNUMBER(C36),D36="FOLGA",B36&lt;&gt;"",COUNTIFS($B$2:$B$301,B36,$C$2:$C$301,C36,$D$2:$D$301,"TRABALHA")=0),"⚠ Ninguém do setor trabalhando nesta data. ","")))</f>
        <v/>
      </c>
    </row>
    <row r="37" customFormat="false" ht="15" hidden="false" customHeight="true" outlineLevel="0" collapsed="false">
      <c r="A37" s="54"/>
      <c r="B37" s="54"/>
      <c r="C37" s="53"/>
      <c r="D37" s="54"/>
      <c r="E37" s="54"/>
      <c r="F37" s="55" t="str">
        <f aca="false">IF(A37="","",TRIM(IF(NOT(ISNUMBER(C37)),"⚠ Falta a data. ","")&amp;IF(ISNUMBER(C37),IF(AND(MONTH(C37)=12,OR(DAY(C37)=24,DAY(C37)=25)),"","⚠ Data fora do Natal (24 ou 25/12). "),"")&amp;IF(AND(ISNUMBER(C37),COUNTIFS($A$2:$A$301,A37,$C$2:$C$301,C37)&gt;1),"⚠ Nome repetido na mesma data. ","")&amp;IF(AND(ISNUMBER(C37),COUNTIFS(FÉRIAS!$A$2:$A$301,A37,FÉRIAS!$C$2:$C$301,"&lt;="&amp;C37,FÉRIAS!$D$2:$D$301,"&gt;="&amp;C37)&gt;0),IF(D37="TRABALHA","⚠ Está de férias e marcado TRABALHA. ","⚠ Já está de férias nesta data. "),"")&amp;IF(AND(ISNUMBER(C37),COUNTIFS(FOLGAS!$A$2:$A$301,A37,FOLGAS!$C$2:$C$301,C37)&gt;0),IF(D37="FOLGA","⚠ Folga também lançada na aba FOLGAS. ",IF(D37="TRABALHA","⚠ Marcado TRABALHA, mas tem folga na aba FOLGAS. ","")),"")&amp;IF(AND(ISNUMBER(C37),D37="FOLGA",B37&lt;&gt;"",COUNTIFS($B$2:$B$301,B37,$C$2:$C$301,C37,$D$2:$D$301,"TRABALHA")=0),"⚠ Ninguém do setor trabalhando nesta data. ","")))</f>
        <v/>
      </c>
    </row>
    <row r="38" customFormat="false" ht="15" hidden="false" customHeight="true" outlineLevel="0" collapsed="false">
      <c r="A38" s="54"/>
      <c r="B38" s="54"/>
      <c r="C38" s="53"/>
      <c r="D38" s="54"/>
      <c r="E38" s="54"/>
      <c r="F38" s="55" t="str">
        <f aca="false">IF(A38="","",TRIM(IF(NOT(ISNUMBER(C38)),"⚠ Falta a data. ","")&amp;IF(ISNUMBER(C38),IF(AND(MONTH(C38)=12,OR(DAY(C38)=24,DAY(C38)=25)),"","⚠ Data fora do Natal (24 ou 25/12). "),"")&amp;IF(AND(ISNUMBER(C38),COUNTIFS($A$2:$A$301,A38,$C$2:$C$301,C38)&gt;1),"⚠ Nome repetido na mesma data. ","")&amp;IF(AND(ISNUMBER(C38),COUNTIFS(FÉRIAS!$A$2:$A$301,A38,FÉRIAS!$C$2:$C$301,"&lt;="&amp;C38,FÉRIAS!$D$2:$D$301,"&gt;="&amp;C38)&gt;0),IF(D38="TRABALHA","⚠ Está de férias e marcado TRABALHA. ","⚠ Já está de férias nesta data. "),"")&amp;IF(AND(ISNUMBER(C38),COUNTIFS(FOLGAS!$A$2:$A$301,A38,FOLGAS!$C$2:$C$301,C38)&gt;0),IF(D38="FOLGA","⚠ Folga também lançada na aba FOLGAS. ",IF(D38="TRABALHA","⚠ Marcado TRABALHA, mas tem folga na aba FOLGAS. ","")),"")&amp;IF(AND(ISNUMBER(C38),D38="FOLGA",B38&lt;&gt;"",COUNTIFS($B$2:$B$301,B38,$C$2:$C$301,C38,$D$2:$D$301,"TRABALHA")=0),"⚠ Ninguém do setor trabalhando nesta data. ","")))</f>
        <v/>
      </c>
    </row>
    <row r="39" customFormat="false" ht="15" hidden="false" customHeight="true" outlineLevel="0" collapsed="false">
      <c r="A39" s="54"/>
      <c r="B39" s="54"/>
      <c r="C39" s="53"/>
      <c r="D39" s="54"/>
      <c r="E39" s="54"/>
      <c r="F39" s="55" t="str">
        <f aca="false">IF(A39="","",TRIM(IF(NOT(ISNUMBER(C39)),"⚠ Falta a data. ","")&amp;IF(ISNUMBER(C39),IF(AND(MONTH(C39)=12,OR(DAY(C39)=24,DAY(C39)=25)),"","⚠ Data fora do Natal (24 ou 25/12). "),"")&amp;IF(AND(ISNUMBER(C39),COUNTIFS($A$2:$A$301,A39,$C$2:$C$301,C39)&gt;1),"⚠ Nome repetido na mesma data. ","")&amp;IF(AND(ISNUMBER(C39),COUNTIFS(FÉRIAS!$A$2:$A$301,A39,FÉRIAS!$C$2:$C$301,"&lt;="&amp;C39,FÉRIAS!$D$2:$D$301,"&gt;="&amp;C39)&gt;0),IF(D39="TRABALHA","⚠ Está de férias e marcado TRABALHA. ","⚠ Já está de férias nesta data. "),"")&amp;IF(AND(ISNUMBER(C39),COUNTIFS(FOLGAS!$A$2:$A$301,A39,FOLGAS!$C$2:$C$301,C39)&gt;0),IF(D39="FOLGA","⚠ Folga também lançada na aba FOLGAS. ",IF(D39="TRABALHA","⚠ Marcado TRABALHA, mas tem folga na aba FOLGAS. ","")),"")&amp;IF(AND(ISNUMBER(C39),D39="FOLGA",B39&lt;&gt;"",COUNTIFS($B$2:$B$301,B39,$C$2:$C$301,C39,$D$2:$D$301,"TRABALHA")=0),"⚠ Ninguém do setor trabalhando nesta data. ","")))</f>
        <v/>
      </c>
    </row>
    <row r="40" customFormat="false" ht="15" hidden="false" customHeight="true" outlineLevel="0" collapsed="false">
      <c r="A40" s="54"/>
      <c r="B40" s="54"/>
      <c r="C40" s="53"/>
      <c r="D40" s="54"/>
      <c r="E40" s="54"/>
      <c r="F40" s="55" t="str">
        <f aca="false">IF(A40="","",TRIM(IF(NOT(ISNUMBER(C40)),"⚠ Falta a data. ","")&amp;IF(ISNUMBER(C40),IF(AND(MONTH(C40)=12,OR(DAY(C40)=24,DAY(C40)=25)),"","⚠ Data fora do Natal (24 ou 25/12). "),"")&amp;IF(AND(ISNUMBER(C40),COUNTIFS($A$2:$A$301,A40,$C$2:$C$301,C40)&gt;1),"⚠ Nome repetido na mesma data. ","")&amp;IF(AND(ISNUMBER(C40),COUNTIFS(FÉRIAS!$A$2:$A$301,A40,FÉRIAS!$C$2:$C$301,"&lt;="&amp;C40,FÉRIAS!$D$2:$D$301,"&gt;="&amp;C40)&gt;0),IF(D40="TRABALHA","⚠ Está de férias e marcado TRABALHA. ","⚠ Já está de férias nesta data. "),"")&amp;IF(AND(ISNUMBER(C40),COUNTIFS(FOLGAS!$A$2:$A$301,A40,FOLGAS!$C$2:$C$301,C40)&gt;0),IF(D40="FOLGA","⚠ Folga também lançada na aba FOLGAS. ",IF(D40="TRABALHA","⚠ Marcado TRABALHA, mas tem folga na aba FOLGAS. ","")),"")&amp;IF(AND(ISNUMBER(C40),D40="FOLGA",B40&lt;&gt;"",COUNTIFS($B$2:$B$301,B40,$C$2:$C$301,C40,$D$2:$D$301,"TRABALHA")=0),"⚠ Ninguém do setor trabalhando nesta data. ","")))</f>
        <v/>
      </c>
    </row>
    <row r="41" customFormat="false" ht="15" hidden="false" customHeight="true" outlineLevel="0" collapsed="false">
      <c r="A41" s="54"/>
      <c r="B41" s="54"/>
      <c r="C41" s="53"/>
      <c r="D41" s="54"/>
      <c r="E41" s="54"/>
      <c r="F41" s="55" t="str">
        <f aca="false">IF(A41="","",TRIM(IF(NOT(ISNUMBER(C41)),"⚠ Falta a data. ","")&amp;IF(ISNUMBER(C41),IF(AND(MONTH(C41)=12,OR(DAY(C41)=24,DAY(C41)=25)),"","⚠ Data fora do Natal (24 ou 25/12). "),"")&amp;IF(AND(ISNUMBER(C41),COUNTIFS($A$2:$A$301,A41,$C$2:$C$301,C41)&gt;1),"⚠ Nome repetido na mesma data. ","")&amp;IF(AND(ISNUMBER(C41),COUNTIFS(FÉRIAS!$A$2:$A$301,A41,FÉRIAS!$C$2:$C$301,"&lt;="&amp;C41,FÉRIAS!$D$2:$D$301,"&gt;="&amp;C41)&gt;0),IF(D41="TRABALHA","⚠ Está de férias e marcado TRABALHA. ","⚠ Já está de férias nesta data. "),"")&amp;IF(AND(ISNUMBER(C41),COUNTIFS(FOLGAS!$A$2:$A$301,A41,FOLGAS!$C$2:$C$301,C41)&gt;0),IF(D41="FOLGA","⚠ Folga também lançada na aba FOLGAS. ",IF(D41="TRABALHA","⚠ Marcado TRABALHA, mas tem folga na aba FOLGAS. ","")),"")&amp;IF(AND(ISNUMBER(C41),D41="FOLGA",B41&lt;&gt;"",COUNTIFS($B$2:$B$301,B41,$C$2:$C$301,C41,$D$2:$D$301,"TRABALHA")=0),"⚠ Ninguém do setor trabalhando nesta data. ","")))</f>
        <v/>
      </c>
    </row>
    <row r="42" customFormat="false" ht="15" hidden="false" customHeight="true" outlineLevel="0" collapsed="false">
      <c r="A42" s="54"/>
      <c r="B42" s="54"/>
      <c r="C42" s="53"/>
      <c r="D42" s="54"/>
      <c r="E42" s="54"/>
      <c r="F42" s="55" t="str">
        <f aca="false">IF(A42="","",TRIM(IF(NOT(ISNUMBER(C42)),"⚠ Falta a data. ","")&amp;IF(ISNUMBER(C42),IF(AND(MONTH(C42)=12,OR(DAY(C42)=24,DAY(C42)=25)),"","⚠ Data fora do Natal (24 ou 25/12). "),"")&amp;IF(AND(ISNUMBER(C42),COUNTIFS($A$2:$A$301,A42,$C$2:$C$301,C42)&gt;1),"⚠ Nome repetido na mesma data. ","")&amp;IF(AND(ISNUMBER(C42),COUNTIFS(FÉRIAS!$A$2:$A$301,A42,FÉRIAS!$C$2:$C$301,"&lt;="&amp;C42,FÉRIAS!$D$2:$D$301,"&gt;="&amp;C42)&gt;0),IF(D42="TRABALHA","⚠ Está de férias e marcado TRABALHA. ","⚠ Já está de férias nesta data. "),"")&amp;IF(AND(ISNUMBER(C42),COUNTIFS(FOLGAS!$A$2:$A$301,A42,FOLGAS!$C$2:$C$301,C42)&gt;0),IF(D42="FOLGA","⚠ Folga também lançada na aba FOLGAS. ",IF(D42="TRABALHA","⚠ Marcado TRABALHA, mas tem folga na aba FOLGAS. ","")),"")&amp;IF(AND(ISNUMBER(C42),D42="FOLGA",B42&lt;&gt;"",COUNTIFS($B$2:$B$301,B42,$C$2:$C$301,C42,$D$2:$D$301,"TRABALHA")=0),"⚠ Ninguém do setor trabalhando nesta data. ","")))</f>
        <v/>
      </c>
    </row>
    <row r="43" customFormat="false" ht="15" hidden="false" customHeight="true" outlineLevel="0" collapsed="false">
      <c r="A43" s="54"/>
      <c r="B43" s="54"/>
      <c r="C43" s="53"/>
      <c r="D43" s="54"/>
      <c r="E43" s="54"/>
      <c r="F43" s="55" t="str">
        <f aca="false">IF(A43="","",TRIM(IF(NOT(ISNUMBER(C43)),"⚠ Falta a data. ","")&amp;IF(ISNUMBER(C43),IF(AND(MONTH(C43)=12,OR(DAY(C43)=24,DAY(C43)=25)),"","⚠ Data fora do Natal (24 ou 25/12). "),"")&amp;IF(AND(ISNUMBER(C43),COUNTIFS($A$2:$A$301,A43,$C$2:$C$301,C43)&gt;1),"⚠ Nome repetido na mesma data. ","")&amp;IF(AND(ISNUMBER(C43),COUNTIFS(FÉRIAS!$A$2:$A$301,A43,FÉRIAS!$C$2:$C$301,"&lt;="&amp;C43,FÉRIAS!$D$2:$D$301,"&gt;="&amp;C43)&gt;0),IF(D43="TRABALHA","⚠ Está de férias e marcado TRABALHA. ","⚠ Já está de férias nesta data. "),"")&amp;IF(AND(ISNUMBER(C43),COUNTIFS(FOLGAS!$A$2:$A$301,A43,FOLGAS!$C$2:$C$301,C43)&gt;0),IF(D43="FOLGA","⚠ Folga também lançada na aba FOLGAS. ",IF(D43="TRABALHA","⚠ Marcado TRABALHA, mas tem folga na aba FOLGAS. ","")),"")&amp;IF(AND(ISNUMBER(C43),D43="FOLGA",B43&lt;&gt;"",COUNTIFS($B$2:$B$301,B43,$C$2:$C$301,C43,$D$2:$D$301,"TRABALHA")=0),"⚠ Ninguém do setor trabalhando nesta data. ","")))</f>
        <v/>
      </c>
    </row>
    <row r="44" customFormat="false" ht="15" hidden="false" customHeight="true" outlineLevel="0" collapsed="false">
      <c r="A44" s="54"/>
      <c r="B44" s="54"/>
      <c r="C44" s="53"/>
      <c r="D44" s="54"/>
      <c r="E44" s="54"/>
      <c r="F44" s="55" t="str">
        <f aca="false">IF(A44="","",TRIM(IF(NOT(ISNUMBER(C44)),"⚠ Falta a data. ","")&amp;IF(ISNUMBER(C44),IF(AND(MONTH(C44)=12,OR(DAY(C44)=24,DAY(C44)=25)),"","⚠ Data fora do Natal (24 ou 25/12). "),"")&amp;IF(AND(ISNUMBER(C44),COUNTIFS($A$2:$A$301,A44,$C$2:$C$301,C44)&gt;1),"⚠ Nome repetido na mesma data. ","")&amp;IF(AND(ISNUMBER(C44),COUNTIFS(FÉRIAS!$A$2:$A$301,A44,FÉRIAS!$C$2:$C$301,"&lt;="&amp;C44,FÉRIAS!$D$2:$D$301,"&gt;="&amp;C44)&gt;0),IF(D44="TRABALHA","⚠ Está de férias e marcado TRABALHA. ","⚠ Já está de férias nesta data. "),"")&amp;IF(AND(ISNUMBER(C44),COUNTIFS(FOLGAS!$A$2:$A$301,A44,FOLGAS!$C$2:$C$301,C44)&gt;0),IF(D44="FOLGA","⚠ Folga também lançada na aba FOLGAS. ",IF(D44="TRABALHA","⚠ Marcado TRABALHA, mas tem folga na aba FOLGAS. ","")),"")&amp;IF(AND(ISNUMBER(C44),D44="FOLGA",B44&lt;&gt;"",COUNTIFS($B$2:$B$301,B44,$C$2:$C$301,C44,$D$2:$D$301,"TRABALHA")=0),"⚠ Ninguém do setor trabalhando nesta data. ","")))</f>
        <v/>
      </c>
    </row>
    <row r="45" customFormat="false" ht="15" hidden="false" customHeight="true" outlineLevel="0" collapsed="false">
      <c r="A45" s="54"/>
      <c r="B45" s="54"/>
      <c r="C45" s="53"/>
      <c r="D45" s="54"/>
      <c r="E45" s="54"/>
      <c r="F45" s="55" t="str">
        <f aca="false">IF(A45="","",TRIM(IF(NOT(ISNUMBER(C45)),"⚠ Falta a data. ","")&amp;IF(ISNUMBER(C45),IF(AND(MONTH(C45)=12,OR(DAY(C45)=24,DAY(C45)=25)),"","⚠ Data fora do Natal (24 ou 25/12). "),"")&amp;IF(AND(ISNUMBER(C45),COUNTIFS($A$2:$A$301,A45,$C$2:$C$301,C45)&gt;1),"⚠ Nome repetido na mesma data. ","")&amp;IF(AND(ISNUMBER(C45),COUNTIFS(FÉRIAS!$A$2:$A$301,A45,FÉRIAS!$C$2:$C$301,"&lt;="&amp;C45,FÉRIAS!$D$2:$D$301,"&gt;="&amp;C45)&gt;0),IF(D45="TRABALHA","⚠ Está de férias e marcado TRABALHA. ","⚠ Já está de férias nesta data. "),"")&amp;IF(AND(ISNUMBER(C45),COUNTIFS(FOLGAS!$A$2:$A$301,A45,FOLGAS!$C$2:$C$301,C45)&gt;0),IF(D45="FOLGA","⚠ Folga também lançada na aba FOLGAS. ",IF(D45="TRABALHA","⚠ Marcado TRABALHA, mas tem folga na aba FOLGAS. ","")),"")&amp;IF(AND(ISNUMBER(C45),D45="FOLGA",B45&lt;&gt;"",COUNTIFS($B$2:$B$301,B45,$C$2:$C$301,C45,$D$2:$D$301,"TRABALHA")=0),"⚠ Ninguém do setor trabalhando nesta data. ","")))</f>
        <v/>
      </c>
    </row>
    <row r="46" customFormat="false" ht="15" hidden="false" customHeight="true" outlineLevel="0" collapsed="false">
      <c r="A46" s="54"/>
      <c r="B46" s="54"/>
      <c r="C46" s="53"/>
      <c r="D46" s="54"/>
      <c r="E46" s="54"/>
      <c r="F46" s="55" t="str">
        <f aca="false">IF(A46="","",TRIM(IF(NOT(ISNUMBER(C46)),"⚠ Falta a data. ","")&amp;IF(ISNUMBER(C46),IF(AND(MONTH(C46)=12,OR(DAY(C46)=24,DAY(C46)=25)),"","⚠ Data fora do Natal (24 ou 25/12). "),"")&amp;IF(AND(ISNUMBER(C46),COUNTIFS($A$2:$A$301,A46,$C$2:$C$301,C46)&gt;1),"⚠ Nome repetido na mesma data. ","")&amp;IF(AND(ISNUMBER(C46),COUNTIFS(FÉRIAS!$A$2:$A$301,A46,FÉRIAS!$C$2:$C$301,"&lt;="&amp;C46,FÉRIAS!$D$2:$D$301,"&gt;="&amp;C46)&gt;0),IF(D46="TRABALHA","⚠ Está de férias e marcado TRABALHA. ","⚠ Já está de férias nesta data. "),"")&amp;IF(AND(ISNUMBER(C46),COUNTIFS(FOLGAS!$A$2:$A$301,A46,FOLGAS!$C$2:$C$301,C46)&gt;0),IF(D46="FOLGA","⚠ Folga também lançada na aba FOLGAS. ",IF(D46="TRABALHA","⚠ Marcado TRABALHA, mas tem folga na aba FOLGAS. ","")),"")&amp;IF(AND(ISNUMBER(C46),D46="FOLGA",B46&lt;&gt;"",COUNTIFS($B$2:$B$301,B46,$C$2:$C$301,C46,$D$2:$D$301,"TRABALHA")=0),"⚠ Ninguém do setor trabalhando nesta data. ","")))</f>
        <v/>
      </c>
    </row>
    <row r="47" customFormat="false" ht="15" hidden="false" customHeight="true" outlineLevel="0" collapsed="false">
      <c r="A47" s="54"/>
      <c r="B47" s="54"/>
      <c r="C47" s="53"/>
      <c r="D47" s="54"/>
      <c r="E47" s="54"/>
      <c r="F47" s="55" t="str">
        <f aca="false">IF(A47="","",TRIM(IF(NOT(ISNUMBER(C47)),"⚠ Falta a data. ","")&amp;IF(ISNUMBER(C47),IF(AND(MONTH(C47)=12,OR(DAY(C47)=24,DAY(C47)=25)),"","⚠ Data fora do Natal (24 ou 25/12). "),"")&amp;IF(AND(ISNUMBER(C47),COUNTIFS($A$2:$A$301,A47,$C$2:$C$301,C47)&gt;1),"⚠ Nome repetido na mesma data. ","")&amp;IF(AND(ISNUMBER(C47),COUNTIFS(FÉRIAS!$A$2:$A$301,A47,FÉRIAS!$C$2:$C$301,"&lt;="&amp;C47,FÉRIAS!$D$2:$D$301,"&gt;="&amp;C47)&gt;0),IF(D47="TRABALHA","⚠ Está de férias e marcado TRABALHA. ","⚠ Já está de férias nesta data. "),"")&amp;IF(AND(ISNUMBER(C47),COUNTIFS(FOLGAS!$A$2:$A$301,A47,FOLGAS!$C$2:$C$301,C47)&gt;0),IF(D47="FOLGA","⚠ Folga também lançada na aba FOLGAS. ",IF(D47="TRABALHA","⚠ Marcado TRABALHA, mas tem folga na aba FOLGAS. ","")),"")&amp;IF(AND(ISNUMBER(C47),D47="FOLGA",B47&lt;&gt;"",COUNTIFS($B$2:$B$301,B47,$C$2:$C$301,C47,$D$2:$D$301,"TRABALHA")=0),"⚠ Ninguém do setor trabalhando nesta data. ","")))</f>
        <v/>
      </c>
    </row>
    <row r="48" customFormat="false" ht="15" hidden="false" customHeight="true" outlineLevel="0" collapsed="false">
      <c r="A48" s="54"/>
      <c r="B48" s="54"/>
      <c r="C48" s="53"/>
      <c r="D48" s="54"/>
      <c r="E48" s="54"/>
      <c r="F48" s="55" t="str">
        <f aca="false">IF(A48="","",TRIM(IF(NOT(ISNUMBER(C48)),"⚠ Falta a data. ","")&amp;IF(ISNUMBER(C48),IF(AND(MONTH(C48)=12,OR(DAY(C48)=24,DAY(C48)=25)),"","⚠ Data fora do Natal (24 ou 25/12). "),"")&amp;IF(AND(ISNUMBER(C48),COUNTIFS($A$2:$A$301,A48,$C$2:$C$301,C48)&gt;1),"⚠ Nome repetido na mesma data. ","")&amp;IF(AND(ISNUMBER(C48),COUNTIFS(FÉRIAS!$A$2:$A$301,A48,FÉRIAS!$C$2:$C$301,"&lt;="&amp;C48,FÉRIAS!$D$2:$D$301,"&gt;="&amp;C48)&gt;0),IF(D48="TRABALHA","⚠ Está de férias e marcado TRABALHA. ","⚠ Já está de férias nesta data. "),"")&amp;IF(AND(ISNUMBER(C48),COUNTIFS(FOLGAS!$A$2:$A$301,A48,FOLGAS!$C$2:$C$301,C48)&gt;0),IF(D48="FOLGA","⚠ Folga também lançada na aba FOLGAS. ",IF(D48="TRABALHA","⚠ Marcado TRABALHA, mas tem folga na aba FOLGAS. ","")),"")&amp;IF(AND(ISNUMBER(C48),D48="FOLGA",B48&lt;&gt;"",COUNTIFS($B$2:$B$301,B48,$C$2:$C$301,C48,$D$2:$D$301,"TRABALHA")=0),"⚠ Ninguém do setor trabalhando nesta data. ","")))</f>
        <v/>
      </c>
    </row>
    <row r="49" customFormat="false" ht="15" hidden="false" customHeight="true" outlineLevel="0" collapsed="false">
      <c r="A49" s="54"/>
      <c r="B49" s="54"/>
      <c r="C49" s="53"/>
      <c r="D49" s="54"/>
      <c r="E49" s="54"/>
      <c r="F49" s="55" t="str">
        <f aca="false">IF(A49="","",TRIM(IF(NOT(ISNUMBER(C49)),"⚠ Falta a data. ","")&amp;IF(ISNUMBER(C49),IF(AND(MONTH(C49)=12,OR(DAY(C49)=24,DAY(C49)=25)),"","⚠ Data fora do Natal (24 ou 25/12). "),"")&amp;IF(AND(ISNUMBER(C49),COUNTIFS($A$2:$A$301,A49,$C$2:$C$301,C49)&gt;1),"⚠ Nome repetido na mesma data. ","")&amp;IF(AND(ISNUMBER(C49),COUNTIFS(FÉRIAS!$A$2:$A$301,A49,FÉRIAS!$C$2:$C$301,"&lt;="&amp;C49,FÉRIAS!$D$2:$D$301,"&gt;="&amp;C49)&gt;0),IF(D49="TRABALHA","⚠ Está de férias e marcado TRABALHA. ","⚠ Já está de férias nesta data. "),"")&amp;IF(AND(ISNUMBER(C49),COUNTIFS(FOLGAS!$A$2:$A$301,A49,FOLGAS!$C$2:$C$301,C49)&gt;0),IF(D49="FOLGA","⚠ Folga também lançada na aba FOLGAS. ",IF(D49="TRABALHA","⚠ Marcado TRABALHA, mas tem folga na aba FOLGAS. ","")),"")&amp;IF(AND(ISNUMBER(C49),D49="FOLGA",B49&lt;&gt;"",COUNTIFS($B$2:$B$301,B49,$C$2:$C$301,C49,$D$2:$D$301,"TRABALHA")=0),"⚠ Ninguém do setor trabalhando nesta data. ","")))</f>
        <v/>
      </c>
    </row>
    <row r="50" customFormat="false" ht="15" hidden="false" customHeight="true" outlineLevel="0" collapsed="false">
      <c r="A50" s="54"/>
      <c r="B50" s="54"/>
      <c r="C50" s="53"/>
      <c r="D50" s="54"/>
      <c r="E50" s="54"/>
      <c r="F50" s="55" t="str">
        <f aca="false">IF(A50="","",TRIM(IF(NOT(ISNUMBER(C50)),"⚠ Falta a data. ","")&amp;IF(ISNUMBER(C50),IF(AND(MONTH(C50)=12,OR(DAY(C50)=24,DAY(C50)=25)),"","⚠ Data fora do Natal (24 ou 25/12). "),"")&amp;IF(AND(ISNUMBER(C50),COUNTIFS($A$2:$A$301,A50,$C$2:$C$301,C50)&gt;1),"⚠ Nome repetido na mesma data. ","")&amp;IF(AND(ISNUMBER(C50),COUNTIFS(FÉRIAS!$A$2:$A$301,A50,FÉRIAS!$C$2:$C$301,"&lt;="&amp;C50,FÉRIAS!$D$2:$D$301,"&gt;="&amp;C50)&gt;0),IF(D50="TRABALHA","⚠ Está de férias e marcado TRABALHA. ","⚠ Já está de férias nesta data. "),"")&amp;IF(AND(ISNUMBER(C50),COUNTIFS(FOLGAS!$A$2:$A$301,A50,FOLGAS!$C$2:$C$301,C50)&gt;0),IF(D50="FOLGA","⚠ Folga também lançada na aba FOLGAS. ",IF(D50="TRABALHA","⚠ Marcado TRABALHA, mas tem folga na aba FOLGAS. ","")),"")&amp;IF(AND(ISNUMBER(C50),D50="FOLGA",B50&lt;&gt;"",COUNTIFS($B$2:$B$301,B50,$C$2:$C$301,C50,$D$2:$D$301,"TRABALHA")=0),"⚠ Ninguém do setor trabalhando nesta data. ","")))</f>
        <v/>
      </c>
    </row>
    <row r="51" customFormat="false" ht="15" hidden="false" customHeight="true" outlineLevel="0" collapsed="false">
      <c r="A51" s="54"/>
      <c r="B51" s="54"/>
      <c r="C51" s="53"/>
      <c r="D51" s="54"/>
      <c r="E51" s="54"/>
      <c r="F51" s="55" t="str">
        <f aca="false">IF(A51="","",TRIM(IF(NOT(ISNUMBER(C51)),"⚠ Falta a data. ","")&amp;IF(ISNUMBER(C51),IF(AND(MONTH(C51)=12,OR(DAY(C51)=24,DAY(C51)=25)),"","⚠ Data fora do Natal (24 ou 25/12). "),"")&amp;IF(AND(ISNUMBER(C51),COUNTIFS($A$2:$A$301,A51,$C$2:$C$301,C51)&gt;1),"⚠ Nome repetido na mesma data. ","")&amp;IF(AND(ISNUMBER(C51),COUNTIFS(FÉRIAS!$A$2:$A$301,A51,FÉRIAS!$C$2:$C$301,"&lt;="&amp;C51,FÉRIAS!$D$2:$D$301,"&gt;="&amp;C51)&gt;0),IF(D51="TRABALHA","⚠ Está de férias e marcado TRABALHA. ","⚠ Já está de férias nesta data. "),"")&amp;IF(AND(ISNUMBER(C51),COUNTIFS(FOLGAS!$A$2:$A$301,A51,FOLGAS!$C$2:$C$301,C51)&gt;0),IF(D51="FOLGA","⚠ Folga também lançada na aba FOLGAS. ",IF(D51="TRABALHA","⚠ Marcado TRABALHA, mas tem folga na aba FOLGAS. ","")),"")&amp;IF(AND(ISNUMBER(C51),D51="FOLGA",B51&lt;&gt;"",COUNTIFS($B$2:$B$301,B51,$C$2:$C$301,C51,$D$2:$D$301,"TRABALHA")=0),"⚠ Ninguém do setor trabalhando nesta data. ","")))</f>
        <v/>
      </c>
    </row>
    <row r="52" customFormat="false" ht="15" hidden="false" customHeight="true" outlineLevel="0" collapsed="false">
      <c r="A52" s="54"/>
      <c r="B52" s="54"/>
      <c r="C52" s="53"/>
      <c r="D52" s="54"/>
      <c r="E52" s="54"/>
      <c r="F52" s="55" t="str">
        <f aca="false">IF(A52="","",TRIM(IF(NOT(ISNUMBER(C52)),"⚠ Falta a data. ","")&amp;IF(ISNUMBER(C52),IF(AND(MONTH(C52)=12,OR(DAY(C52)=24,DAY(C52)=25)),"","⚠ Data fora do Natal (24 ou 25/12). "),"")&amp;IF(AND(ISNUMBER(C52),COUNTIFS($A$2:$A$301,A52,$C$2:$C$301,C52)&gt;1),"⚠ Nome repetido na mesma data. ","")&amp;IF(AND(ISNUMBER(C52),COUNTIFS(FÉRIAS!$A$2:$A$301,A52,FÉRIAS!$C$2:$C$301,"&lt;="&amp;C52,FÉRIAS!$D$2:$D$301,"&gt;="&amp;C52)&gt;0),IF(D52="TRABALHA","⚠ Está de férias e marcado TRABALHA. ","⚠ Já está de férias nesta data. "),"")&amp;IF(AND(ISNUMBER(C52),COUNTIFS(FOLGAS!$A$2:$A$301,A52,FOLGAS!$C$2:$C$301,C52)&gt;0),IF(D52="FOLGA","⚠ Folga também lançada na aba FOLGAS. ",IF(D52="TRABALHA","⚠ Marcado TRABALHA, mas tem folga na aba FOLGAS. ","")),"")&amp;IF(AND(ISNUMBER(C52),D52="FOLGA",B52&lt;&gt;"",COUNTIFS($B$2:$B$301,B52,$C$2:$C$301,C52,$D$2:$D$301,"TRABALHA")=0),"⚠ Ninguém do setor trabalhando nesta data. ","")))</f>
        <v/>
      </c>
    </row>
    <row r="53" customFormat="false" ht="15" hidden="false" customHeight="true" outlineLevel="0" collapsed="false">
      <c r="A53" s="54"/>
      <c r="B53" s="54"/>
      <c r="C53" s="53"/>
      <c r="D53" s="54"/>
      <c r="E53" s="54"/>
      <c r="F53" s="55" t="str">
        <f aca="false">IF(A53="","",TRIM(IF(NOT(ISNUMBER(C53)),"⚠ Falta a data. ","")&amp;IF(ISNUMBER(C53),IF(AND(MONTH(C53)=12,OR(DAY(C53)=24,DAY(C53)=25)),"","⚠ Data fora do Natal (24 ou 25/12). "),"")&amp;IF(AND(ISNUMBER(C53),COUNTIFS($A$2:$A$301,A53,$C$2:$C$301,C53)&gt;1),"⚠ Nome repetido na mesma data. ","")&amp;IF(AND(ISNUMBER(C53),COUNTIFS(FÉRIAS!$A$2:$A$301,A53,FÉRIAS!$C$2:$C$301,"&lt;="&amp;C53,FÉRIAS!$D$2:$D$301,"&gt;="&amp;C53)&gt;0),IF(D53="TRABALHA","⚠ Está de férias e marcado TRABALHA. ","⚠ Já está de férias nesta data. "),"")&amp;IF(AND(ISNUMBER(C53),COUNTIFS(FOLGAS!$A$2:$A$301,A53,FOLGAS!$C$2:$C$301,C53)&gt;0),IF(D53="FOLGA","⚠ Folga também lançada na aba FOLGAS. ",IF(D53="TRABALHA","⚠ Marcado TRABALHA, mas tem folga na aba FOLGAS. ","")),"")&amp;IF(AND(ISNUMBER(C53),D53="FOLGA",B53&lt;&gt;"",COUNTIFS($B$2:$B$301,B53,$C$2:$C$301,C53,$D$2:$D$301,"TRABALHA")=0),"⚠ Ninguém do setor trabalhando nesta data. ","")))</f>
        <v/>
      </c>
    </row>
    <row r="54" customFormat="false" ht="15" hidden="false" customHeight="true" outlineLevel="0" collapsed="false">
      <c r="A54" s="54"/>
      <c r="B54" s="54"/>
      <c r="C54" s="53"/>
      <c r="D54" s="54"/>
      <c r="E54" s="54"/>
      <c r="F54" s="55" t="str">
        <f aca="false">IF(A54="","",TRIM(IF(NOT(ISNUMBER(C54)),"⚠ Falta a data. ","")&amp;IF(ISNUMBER(C54),IF(AND(MONTH(C54)=12,OR(DAY(C54)=24,DAY(C54)=25)),"","⚠ Data fora do Natal (24 ou 25/12). "),"")&amp;IF(AND(ISNUMBER(C54),COUNTIFS($A$2:$A$301,A54,$C$2:$C$301,C54)&gt;1),"⚠ Nome repetido na mesma data. ","")&amp;IF(AND(ISNUMBER(C54),COUNTIFS(FÉRIAS!$A$2:$A$301,A54,FÉRIAS!$C$2:$C$301,"&lt;="&amp;C54,FÉRIAS!$D$2:$D$301,"&gt;="&amp;C54)&gt;0),IF(D54="TRABALHA","⚠ Está de férias e marcado TRABALHA. ","⚠ Já está de férias nesta data. "),"")&amp;IF(AND(ISNUMBER(C54),COUNTIFS(FOLGAS!$A$2:$A$301,A54,FOLGAS!$C$2:$C$301,C54)&gt;0),IF(D54="FOLGA","⚠ Folga também lançada na aba FOLGAS. ",IF(D54="TRABALHA","⚠ Marcado TRABALHA, mas tem folga na aba FOLGAS. ","")),"")&amp;IF(AND(ISNUMBER(C54),D54="FOLGA",B54&lt;&gt;"",COUNTIFS($B$2:$B$301,B54,$C$2:$C$301,C54,$D$2:$D$301,"TRABALHA")=0),"⚠ Ninguém do setor trabalhando nesta data. ","")))</f>
        <v/>
      </c>
    </row>
    <row r="55" customFormat="false" ht="15" hidden="false" customHeight="true" outlineLevel="0" collapsed="false">
      <c r="A55" s="54"/>
      <c r="B55" s="54"/>
      <c r="C55" s="53"/>
      <c r="D55" s="54"/>
      <c r="E55" s="54"/>
      <c r="F55" s="55" t="str">
        <f aca="false">IF(A55="","",TRIM(IF(NOT(ISNUMBER(C55)),"⚠ Falta a data. ","")&amp;IF(ISNUMBER(C55),IF(AND(MONTH(C55)=12,OR(DAY(C55)=24,DAY(C55)=25)),"","⚠ Data fora do Natal (24 ou 25/12). "),"")&amp;IF(AND(ISNUMBER(C55),COUNTIFS($A$2:$A$301,A55,$C$2:$C$301,C55)&gt;1),"⚠ Nome repetido na mesma data. ","")&amp;IF(AND(ISNUMBER(C55),COUNTIFS(FÉRIAS!$A$2:$A$301,A55,FÉRIAS!$C$2:$C$301,"&lt;="&amp;C55,FÉRIAS!$D$2:$D$301,"&gt;="&amp;C55)&gt;0),IF(D55="TRABALHA","⚠ Está de férias e marcado TRABALHA. ","⚠ Já está de férias nesta data. "),"")&amp;IF(AND(ISNUMBER(C55),COUNTIFS(FOLGAS!$A$2:$A$301,A55,FOLGAS!$C$2:$C$301,C55)&gt;0),IF(D55="FOLGA","⚠ Folga também lançada na aba FOLGAS. ",IF(D55="TRABALHA","⚠ Marcado TRABALHA, mas tem folga na aba FOLGAS. ","")),"")&amp;IF(AND(ISNUMBER(C55),D55="FOLGA",B55&lt;&gt;"",COUNTIFS($B$2:$B$301,B55,$C$2:$C$301,C55,$D$2:$D$301,"TRABALHA")=0),"⚠ Ninguém do setor trabalhando nesta data. ","")))</f>
        <v/>
      </c>
    </row>
    <row r="56" customFormat="false" ht="15" hidden="false" customHeight="true" outlineLevel="0" collapsed="false">
      <c r="A56" s="54"/>
      <c r="B56" s="54"/>
      <c r="C56" s="53"/>
      <c r="D56" s="54"/>
      <c r="E56" s="54"/>
      <c r="F56" s="55" t="str">
        <f aca="false">IF(A56="","",TRIM(IF(NOT(ISNUMBER(C56)),"⚠ Falta a data. ","")&amp;IF(ISNUMBER(C56),IF(AND(MONTH(C56)=12,OR(DAY(C56)=24,DAY(C56)=25)),"","⚠ Data fora do Natal (24 ou 25/12). "),"")&amp;IF(AND(ISNUMBER(C56),COUNTIFS($A$2:$A$301,A56,$C$2:$C$301,C56)&gt;1),"⚠ Nome repetido na mesma data. ","")&amp;IF(AND(ISNUMBER(C56),COUNTIFS(FÉRIAS!$A$2:$A$301,A56,FÉRIAS!$C$2:$C$301,"&lt;="&amp;C56,FÉRIAS!$D$2:$D$301,"&gt;="&amp;C56)&gt;0),IF(D56="TRABALHA","⚠ Está de férias e marcado TRABALHA. ","⚠ Já está de férias nesta data. "),"")&amp;IF(AND(ISNUMBER(C56),COUNTIFS(FOLGAS!$A$2:$A$301,A56,FOLGAS!$C$2:$C$301,C56)&gt;0),IF(D56="FOLGA","⚠ Folga também lançada na aba FOLGAS. ",IF(D56="TRABALHA","⚠ Marcado TRABALHA, mas tem folga na aba FOLGAS. ","")),"")&amp;IF(AND(ISNUMBER(C56),D56="FOLGA",B56&lt;&gt;"",COUNTIFS($B$2:$B$301,B56,$C$2:$C$301,C56,$D$2:$D$301,"TRABALHA")=0),"⚠ Ninguém do setor trabalhando nesta data. ","")))</f>
        <v/>
      </c>
    </row>
    <row r="57" customFormat="false" ht="15" hidden="false" customHeight="true" outlineLevel="0" collapsed="false">
      <c r="A57" s="54"/>
      <c r="B57" s="54"/>
      <c r="C57" s="53"/>
      <c r="D57" s="54"/>
      <c r="E57" s="54"/>
      <c r="F57" s="55" t="str">
        <f aca="false">IF(A57="","",TRIM(IF(NOT(ISNUMBER(C57)),"⚠ Falta a data. ","")&amp;IF(ISNUMBER(C57),IF(AND(MONTH(C57)=12,OR(DAY(C57)=24,DAY(C57)=25)),"","⚠ Data fora do Natal (24 ou 25/12). "),"")&amp;IF(AND(ISNUMBER(C57),COUNTIFS($A$2:$A$301,A57,$C$2:$C$301,C57)&gt;1),"⚠ Nome repetido na mesma data. ","")&amp;IF(AND(ISNUMBER(C57),COUNTIFS(FÉRIAS!$A$2:$A$301,A57,FÉRIAS!$C$2:$C$301,"&lt;="&amp;C57,FÉRIAS!$D$2:$D$301,"&gt;="&amp;C57)&gt;0),IF(D57="TRABALHA","⚠ Está de férias e marcado TRABALHA. ","⚠ Já está de férias nesta data. "),"")&amp;IF(AND(ISNUMBER(C57),COUNTIFS(FOLGAS!$A$2:$A$301,A57,FOLGAS!$C$2:$C$301,C57)&gt;0),IF(D57="FOLGA","⚠ Folga também lançada na aba FOLGAS. ",IF(D57="TRABALHA","⚠ Marcado TRABALHA, mas tem folga na aba FOLGAS. ","")),"")&amp;IF(AND(ISNUMBER(C57),D57="FOLGA",B57&lt;&gt;"",COUNTIFS($B$2:$B$301,B57,$C$2:$C$301,C57,$D$2:$D$301,"TRABALHA")=0),"⚠ Ninguém do setor trabalhando nesta data. ","")))</f>
        <v/>
      </c>
    </row>
    <row r="58" customFormat="false" ht="15" hidden="false" customHeight="true" outlineLevel="0" collapsed="false">
      <c r="A58" s="54"/>
      <c r="B58" s="54"/>
      <c r="C58" s="53"/>
      <c r="D58" s="54"/>
      <c r="E58" s="54"/>
      <c r="F58" s="55" t="str">
        <f aca="false">IF(A58="","",TRIM(IF(NOT(ISNUMBER(C58)),"⚠ Falta a data. ","")&amp;IF(ISNUMBER(C58),IF(AND(MONTH(C58)=12,OR(DAY(C58)=24,DAY(C58)=25)),"","⚠ Data fora do Natal (24 ou 25/12). "),"")&amp;IF(AND(ISNUMBER(C58),COUNTIFS($A$2:$A$301,A58,$C$2:$C$301,C58)&gt;1),"⚠ Nome repetido na mesma data. ","")&amp;IF(AND(ISNUMBER(C58),COUNTIFS(FÉRIAS!$A$2:$A$301,A58,FÉRIAS!$C$2:$C$301,"&lt;="&amp;C58,FÉRIAS!$D$2:$D$301,"&gt;="&amp;C58)&gt;0),IF(D58="TRABALHA","⚠ Está de férias e marcado TRABALHA. ","⚠ Já está de férias nesta data. "),"")&amp;IF(AND(ISNUMBER(C58),COUNTIFS(FOLGAS!$A$2:$A$301,A58,FOLGAS!$C$2:$C$301,C58)&gt;0),IF(D58="FOLGA","⚠ Folga também lançada na aba FOLGAS. ",IF(D58="TRABALHA","⚠ Marcado TRABALHA, mas tem folga na aba FOLGAS. ","")),"")&amp;IF(AND(ISNUMBER(C58),D58="FOLGA",B58&lt;&gt;"",COUNTIFS($B$2:$B$301,B58,$C$2:$C$301,C58,$D$2:$D$301,"TRABALHA")=0),"⚠ Ninguém do setor trabalhando nesta data. ","")))</f>
        <v/>
      </c>
    </row>
    <row r="59" customFormat="false" ht="15" hidden="false" customHeight="true" outlineLevel="0" collapsed="false">
      <c r="A59" s="54"/>
      <c r="B59" s="54"/>
      <c r="C59" s="53"/>
      <c r="D59" s="54"/>
      <c r="E59" s="54"/>
      <c r="F59" s="55" t="str">
        <f aca="false">IF(A59="","",TRIM(IF(NOT(ISNUMBER(C59)),"⚠ Falta a data. ","")&amp;IF(ISNUMBER(C59),IF(AND(MONTH(C59)=12,OR(DAY(C59)=24,DAY(C59)=25)),"","⚠ Data fora do Natal (24 ou 25/12). "),"")&amp;IF(AND(ISNUMBER(C59),COUNTIFS($A$2:$A$301,A59,$C$2:$C$301,C59)&gt;1),"⚠ Nome repetido na mesma data. ","")&amp;IF(AND(ISNUMBER(C59),COUNTIFS(FÉRIAS!$A$2:$A$301,A59,FÉRIAS!$C$2:$C$301,"&lt;="&amp;C59,FÉRIAS!$D$2:$D$301,"&gt;="&amp;C59)&gt;0),IF(D59="TRABALHA","⚠ Está de férias e marcado TRABALHA. ","⚠ Já está de férias nesta data. "),"")&amp;IF(AND(ISNUMBER(C59),COUNTIFS(FOLGAS!$A$2:$A$301,A59,FOLGAS!$C$2:$C$301,C59)&gt;0),IF(D59="FOLGA","⚠ Folga também lançada na aba FOLGAS. ",IF(D59="TRABALHA","⚠ Marcado TRABALHA, mas tem folga na aba FOLGAS. ","")),"")&amp;IF(AND(ISNUMBER(C59),D59="FOLGA",B59&lt;&gt;"",COUNTIFS($B$2:$B$301,B59,$C$2:$C$301,C59,$D$2:$D$301,"TRABALHA")=0),"⚠ Ninguém do setor trabalhando nesta data. ","")))</f>
        <v/>
      </c>
    </row>
    <row r="60" customFormat="false" ht="15" hidden="false" customHeight="true" outlineLevel="0" collapsed="false">
      <c r="A60" s="54"/>
      <c r="B60" s="54"/>
      <c r="C60" s="53"/>
      <c r="D60" s="54"/>
      <c r="E60" s="54"/>
      <c r="F60" s="55" t="str">
        <f aca="false">IF(A60="","",TRIM(IF(NOT(ISNUMBER(C60)),"⚠ Falta a data. ","")&amp;IF(ISNUMBER(C60),IF(AND(MONTH(C60)=12,OR(DAY(C60)=24,DAY(C60)=25)),"","⚠ Data fora do Natal (24 ou 25/12). "),"")&amp;IF(AND(ISNUMBER(C60),COUNTIFS($A$2:$A$301,A60,$C$2:$C$301,C60)&gt;1),"⚠ Nome repetido na mesma data. ","")&amp;IF(AND(ISNUMBER(C60),COUNTIFS(FÉRIAS!$A$2:$A$301,A60,FÉRIAS!$C$2:$C$301,"&lt;="&amp;C60,FÉRIAS!$D$2:$D$301,"&gt;="&amp;C60)&gt;0),IF(D60="TRABALHA","⚠ Está de férias e marcado TRABALHA. ","⚠ Já está de férias nesta data. "),"")&amp;IF(AND(ISNUMBER(C60),COUNTIFS(FOLGAS!$A$2:$A$301,A60,FOLGAS!$C$2:$C$301,C60)&gt;0),IF(D60="FOLGA","⚠ Folga também lançada na aba FOLGAS. ",IF(D60="TRABALHA","⚠ Marcado TRABALHA, mas tem folga na aba FOLGAS. ","")),"")&amp;IF(AND(ISNUMBER(C60),D60="FOLGA",B60&lt;&gt;"",COUNTIFS($B$2:$B$301,B60,$C$2:$C$301,C60,$D$2:$D$301,"TRABALHA")=0),"⚠ Ninguém do setor trabalhando nesta data. ","")))</f>
        <v/>
      </c>
    </row>
    <row r="61" customFormat="false" ht="15" hidden="false" customHeight="true" outlineLevel="0" collapsed="false">
      <c r="A61" s="54"/>
      <c r="B61" s="54"/>
      <c r="C61" s="53"/>
      <c r="D61" s="54"/>
      <c r="E61" s="54"/>
      <c r="F61" s="55" t="str">
        <f aca="false">IF(A61="","",TRIM(IF(NOT(ISNUMBER(C61)),"⚠ Falta a data. ","")&amp;IF(ISNUMBER(C61),IF(AND(MONTH(C61)=12,OR(DAY(C61)=24,DAY(C61)=25)),"","⚠ Data fora do Natal (24 ou 25/12). "),"")&amp;IF(AND(ISNUMBER(C61),COUNTIFS($A$2:$A$301,A61,$C$2:$C$301,C61)&gt;1),"⚠ Nome repetido na mesma data. ","")&amp;IF(AND(ISNUMBER(C61),COUNTIFS(FÉRIAS!$A$2:$A$301,A61,FÉRIAS!$C$2:$C$301,"&lt;="&amp;C61,FÉRIAS!$D$2:$D$301,"&gt;="&amp;C61)&gt;0),IF(D61="TRABALHA","⚠ Está de férias e marcado TRABALHA. ","⚠ Já está de férias nesta data. "),"")&amp;IF(AND(ISNUMBER(C61),COUNTIFS(FOLGAS!$A$2:$A$301,A61,FOLGAS!$C$2:$C$301,C61)&gt;0),IF(D61="FOLGA","⚠ Folga também lançada na aba FOLGAS. ",IF(D61="TRABALHA","⚠ Marcado TRABALHA, mas tem folga na aba FOLGAS. ","")),"")&amp;IF(AND(ISNUMBER(C61),D61="FOLGA",B61&lt;&gt;"",COUNTIFS($B$2:$B$301,B61,$C$2:$C$301,C61,$D$2:$D$301,"TRABALHA")=0),"⚠ Ninguém do setor trabalhando nesta data. ","")))</f>
        <v/>
      </c>
    </row>
    <row r="62" customFormat="false" ht="15" hidden="false" customHeight="true" outlineLevel="0" collapsed="false">
      <c r="A62" s="54"/>
      <c r="B62" s="54"/>
      <c r="C62" s="53"/>
      <c r="D62" s="54"/>
      <c r="E62" s="54"/>
      <c r="F62" s="55" t="str">
        <f aca="false">IF(A62="","",TRIM(IF(NOT(ISNUMBER(C62)),"⚠ Falta a data. ","")&amp;IF(ISNUMBER(C62),IF(AND(MONTH(C62)=12,OR(DAY(C62)=24,DAY(C62)=25)),"","⚠ Data fora do Natal (24 ou 25/12). "),"")&amp;IF(AND(ISNUMBER(C62),COUNTIFS($A$2:$A$301,A62,$C$2:$C$301,C62)&gt;1),"⚠ Nome repetido na mesma data. ","")&amp;IF(AND(ISNUMBER(C62),COUNTIFS(FÉRIAS!$A$2:$A$301,A62,FÉRIAS!$C$2:$C$301,"&lt;="&amp;C62,FÉRIAS!$D$2:$D$301,"&gt;="&amp;C62)&gt;0),IF(D62="TRABALHA","⚠ Está de férias e marcado TRABALHA. ","⚠ Já está de férias nesta data. "),"")&amp;IF(AND(ISNUMBER(C62),COUNTIFS(FOLGAS!$A$2:$A$301,A62,FOLGAS!$C$2:$C$301,C62)&gt;0),IF(D62="FOLGA","⚠ Folga também lançada na aba FOLGAS. ",IF(D62="TRABALHA","⚠ Marcado TRABALHA, mas tem folga na aba FOLGAS. ","")),"")&amp;IF(AND(ISNUMBER(C62),D62="FOLGA",B62&lt;&gt;"",COUNTIFS($B$2:$B$301,B62,$C$2:$C$301,C62,$D$2:$D$301,"TRABALHA")=0),"⚠ Ninguém do setor trabalhando nesta data. ","")))</f>
        <v/>
      </c>
    </row>
    <row r="63" customFormat="false" ht="15" hidden="false" customHeight="true" outlineLevel="0" collapsed="false">
      <c r="A63" s="54"/>
      <c r="B63" s="54"/>
      <c r="C63" s="53"/>
      <c r="D63" s="54"/>
      <c r="E63" s="54"/>
      <c r="F63" s="55" t="str">
        <f aca="false">IF(A63="","",TRIM(IF(NOT(ISNUMBER(C63)),"⚠ Falta a data. ","")&amp;IF(ISNUMBER(C63),IF(AND(MONTH(C63)=12,OR(DAY(C63)=24,DAY(C63)=25)),"","⚠ Data fora do Natal (24 ou 25/12). "),"")&amp;IF(AND(ISNUMBER(C63),COUNTIFS($A$2:$A$301,A63,$C$2:$C$301,C63)&gt;1),"⚠ Nome repetido na mesma data. ","")&amp;IF(AND(ISNUMBER(C63),COUNTIFS(FÉRIAS!$A$2:$A$301,A63,FÉRIAS!$C$2:$C$301,"&lt;="&amp;C63,FÉRIAS!$D$2:$D$301,"&gt;="&amp;C63)&gt;0),IF(D63="TRABALHA","⚠ Está de férias e marcado TRABALHA. ","⚠ Já está de férias nesta data. "),"")&amp;IF(AND(ISNUMBER(C63),COUNTIFS(FOLGAS!$A$2:$A$301,A63,FOLGAS!$C$2:$C$301,C63)&gt;0),IF(D63="FOLGA","⚠ Folga também lançada na aba FOLGAS. ",IF(D63="TRABALHA","⚠ Marcado TRABALHA, mas tem folga na aba FOLGAS. ","")),"")&amp;IF(AND(ISNUMBER(C63),D63="FOLGA",B63&lt;&gt;"",COUNTIFS($B$2:$B$301,B63,$C$2:$C$301,C63,$D$2:$D$301,"TRABALHA")=0),"⚠ Ninguém do setor trabalhando nesta data. ","")))</f>
        <v/>
      </c>
    </row>
    <row r="64" customFormat="false" ht="15" hidden="false" customHeight="true" outlineLevel="0" collapsed="false">
      <c r="A64" s="54"/>
      <c r="B64" s="54"/>
      <c r="C64" s="53"/>
      <c r="D64" s="54"/>
      <c r="E64" s="54"/>
      <c r="F64" s="55" t="str">
        <f aca="false">IF(A64="","",TRIM(IF(NOT(ISNUMBER(C64)),"⚠ Falta a data. ","")&amp;IF(ISNUMBER(C64),IF(AND(MONTH(C64)=12,OR(DAY(C64)=24,DAY(C64)=25)),"","⚠ Data fora do Natal (24 ou 25/12). "),"")&amp;IF(AND(ISNUMBER(C64),COUNTIFS($A$2:$A$301,A64,$C$2:$C$301,C64)&gt;1),"⚠ Nome repetido na mesma data. ","")&amp;IF(AND(ISNUMBER(C64),COUNTIFS(FÉRIAS!$A$2:$A$301,A64,FÉRIAS!$C$2:$C$301,"&lt;="&amp;C64,FÉRIAS!$D$2:$D$301,"&gt;="&amp;C64)&gt;0),IF(D64="TRABALHA","⚠ Está de férias e marcado TRABALHA. ","⚠ Já está de férias nesta data. "),"")&amp;IF(AND(ISNUMBER(C64),COUNTIFS(FOLGAS!$A$2:$A$301,A64,FOLGAS!$C$2:$C$301,C64)&gt;0),IF(D64="FOLGA","⚠ Folga também lançada na aba FOLGAS. ",IF(D64="TRABALHA","⚠ Marcado TRABALHA, mas tem folga na aba FOLGAS. ","")),"")&amp;IF(AND(ISNUMBER(C64),D64="FOLGA",B64&lt;&gt;"",COUNTIFS($B$2:$B$301,B64,$C$2:$C$301,C64,$D$2:$D$301,"TRABALHA")=0),"⚠ Ninguém do setor trabalhando nesta data. ","")))</f>
        <v/>
      </c>
    </row>
    <row r="65" customFormat="false" ht="15" hidden="false" customHeight="true" outlineLevel="0" collapsed="false">
      <c r="A65" s="54"/>
      <c r="B65" s="54"/>
      <c r="C65" s="53"/>
      <c r="D65" s="54"/>
      <c r="E65" s="54"/>
      <c r="F65" s="55" t="str">
        <f aca="false">IF(A65="","",TRIM(IF(NOT(ISNUMBER(C65)),"⚠ Falta a data. ","")&amp;IF(ISNUMBER(C65),IF(AND(MONTH(C65)=12,OR(DAY(C65)=24,DAY(C65)=25)),"","⚠ Data fora do Natal (24 ou 25/12). "),"")&amp;IF(AND(ISNUMBER(C65),COUNTIFS($A$2:$A$301,A65,$C$2:$C$301,C65)&gt;1),"⚠ Nome repetido na mesma data. ","")&amp;IF(AND(ISNUMBER(C65),COUNTIFS(FÉRIAS!$A$2:$A$301,A65,FÉRIAS!$C$2:$C$301,"&lt;="&amp;C65,FÉRIAS!$D$2:$D$301,"&gt;="&amp;C65)&gt;0),IF(D65="TRABALHA","⚠ Está de férias e marcado TRABALHA. ","⚠ Já está de férias nesta data. "),"")&amp;IF(AND(ISNUMBER(C65),COUNTIFS(FOLGAS!$A$2:$A$301,A65,FOLGAS!$C$2:$C$301,C65)&gt;0),IF(D65="FOLGA","⚠ Folga também lançada na aba FOLGAS. ",IF(D65="TRABALHA","⚠ Marcado TRABALHA, mas tem folga na aba FOLGAS. ","")),"")&amp;IF(AND(ISNUMBER(C65),D65="FOLGA",B65&lt;&gt;"",COUNTIFS($B$2:$B$301,B65,$C$2:$C$301,C65,$D$2:$D$301,"TRABALHA")=0),"⚠ Ninguém do setor trabalhando nesta data. ","")))</f>
        <v/>
      </c>
    </row>
    <row r="66" customFormat="false" ht="15" hidden="false" customHeight="true" outlineLevel="0" collapsed="false">
      <c r="A66" s="54"/>
      <c r="B66" s="54"/>
      <c r="C66" s="53"/>
      <c r="D66" s="54"/>
      <c r="E66" s="54"/>
      <c r="F66" s="55" t="str">
        <f aca="false">IF(A66="","",TRIM(IF(NOT(ISNUMBER(C66)),"⚠ Falta a data. ","")&amp;IF(ISNUMBER(C66),IF(AND(MONTH(C66)=12,OR(DAY(C66)=24,DAY(C66)=25)),"","⚠ Data fora do Natal (24 ou 25/12). "),"")&amp;IF(AND(ISNUMBER(C66),COUNTIFS($A$2:$A$301,A66,$C$2:$C$301,C66)&gt;1),"⚠ Nome repetido na mesma data. ","")&amp;IF(AND(ISNUMBER(C66),COUNTIFS(FÉRIAS!$A$2:$A$301,A66,FÉRIAS!$C$2:$C$301,"&lt;="&amp;C66,FÉRIAS!$D$2:$D$301,"&gt;="&amp;C66)&gt;0),IF(D66="TRABALHA","⚠ Está de férias e marcado TRABALHA. ","⚠ Já está de férias nesta data. "),"")&amp;IF(AND(ISNUMBER(C66),COUNTIFS(FOLGAS!$A$2:$A$301,A66,FOLGAS!$C$2:$C$301,C66)&gt;0),IF(D66="FOLGA","⚠ Folga também lançada na aba FOLGAS. ",IF(D66="TRABALHA","⚠ Marcado TRABALHA, mas tem folga na aba FOLGAS. ","")),"")&amp;IF(AND(ISNUMBER(C66),D66="FOLGA",B66&lt;&gt;"",COUNTIFS($B$2:$B$301,B66,$C$2:$C$301,C66,$D$2:$D$301,"TRABALHA")=0),"⚠ Ninguém do setor trabalhando nesta data. ","")))</f>
        <v/>
      </c>
    </row>
    <row r="67" customFormat="false" ht="15" hidden="false" customHeight="true" outlineLevel="0" collapsed="false">
      <c r="A67" s="54"/>
      <c r="B67" s="54"/>
      <c r="C67" s="53"/>
      <c r="D67" s="54"/>
      <c r="E67" s="54"/>
      <c r="F67" s="55" t="str">
        <f aca="false">IF(A67="","",TRIM(IF(NOT(ISNUMBER(C67)),"⚠ Falta a data. ","")&amp;IF(ISNUMBER(C67),IF(AND(MONTH(C67)=12,OR(DAY(C67)=24,DAY(C67)=25)),"","⚠ Data fora do Natal (24 ou 25/12). "),"")&amp;IF(AND(ISNUMBER(C67),COUNTIFS($A$2:$A$301,A67,$C$2:$C$301,C67)&gt;1),"⚠ Nome repetido na mesma data. ","")&amp;IF(AND(ISNUMBER(C67),COUNTIFS(FÉRIAS!$A$2:$A$301,A67,FÉRIAS!$C$2:$C$301,"&lt;="&amp;C67,FÉRIAS!$D$2:$D$301,"&gt;="&amp;C67)&gt;0),IF(D67="TRABALHA","⚠ Está de férias e marcado TRABALHA. ","⚠ Já está de férias nesta data. "),"")&amp;IF(AND(ISNUMBER(C67),COUNTIFS(FOLGAS!$A$2:$A$301,A67,FOLGAS!$C$2:$C$301,C67)&gt;0),IF(D67="FOLGA","⚠ Folga também lançada na aba FOLGAS. ",IF(D67="TRABALHA","⚠ Marcado TRABALHA, mas tem folga na aba FOLGAS. ","")),"")&amp;IF(AND(ISNUMBER(C67),D67="FOLGA",B67&lt;&gt;"",COUNTIFS($B$2:$B$301,B67,$C$2:$C$301,C67,$D$2:$D$301,"TRABALHA")=0),"⚠ Ninguém do setor trabalhando nesta data. ","")))</f>
        <v/>
      </c>
    </row>
    <row r="68" customFormat="false" ht="15" hidden="false" customHeight="true" outlineLevel="0" collapsed="false">
      <c r="A68" s="54"/>
      <c r="B68" s="54"/>
      <c r="C68" s="53"/>
      <c r="D68" s="54"/>
      <c r="E68" s="54"/>
      <c r="F68" s="55" t="str">
        <f aca="false">IF(A68="","",TRIM(IF(NOT(ISNUMBER(C68)),"⚠ Falta a data. ","")&amp;IF(ISNUMBER(C68),IF(AND(MONTH(C68)=12,OR(DAY(C68)=24,DAY(C68)=25)),"","⚠ Data fora do Natal (24 ou 25/12). "),"")&amp;IF(AND(ISNUMBER(C68),COUNTIFS($A$2:$A$301,A68,$C$2:$C$301,C68)&gt;1),"⚠ Nome repetido na mesma data. ","")&amp;IF(AND(ISNUMBER(C68),COUNTIFS(FÉRIAS!$A$2:$A$301,A68,FÉRIAS!$C$2:$C$301,"&lt;="&amp;C68,FÉRIAS!$D$2:$D$301,"&gt;="&amp;C68)&gt;0),IF(D68="TRABALHA","⚠ Está de férias e marcado TRABALHA. ","⚠ Já está de férias nesta data. "),"")&amp;IF(AND(ISNUMBER(C68),COUNTIFS(FOLGAS!$A$2:$A$301,A68,FOLGAS!$C$2:$C$301,C68)&gt;0),IF(D68="FOLGA","⚠ Folga também lançada na aba FOLGAS. ",IF(D68="TRABALHA","⚠ Marcado TRABALHA, mas tem folga na aba FOLGAS. ","")),"")&amp;IF(AND(ISNUMBER(C68),D68="FOLGA",B68&lt;&gt;"",COUNTIFS($B$2:$B$301,B68,$C$2:$C$301,C68,$D$2:$D$301,"TRABALHA")=0),"⚠ Ninguém do setor trabalhando nesta data. ","")))</f>
        <v/>
      </c>
    </row>
    <row r="69" customFormat="false" ht="15" hidden="false" customHeight="true" outlineLevel="0" collapsed="false">
      <c r="A69" s="54"/>
      <c r="B69" s="54"/>
      <c r="C69" s="53"/>
      <c r="D69" s="54"/>
      <c r="E69" s="54"/>
      <c r="F69" s="55" t="str">
        <f aca="false">IF(A69="","",TRIM(IF(NOT(ISNUMBER(C69)),"⚠ Falta a data. ","")&amp;IF(ISNUMBER(C69),IF(AND(MONTH(C69)=12,OR(DAY(C69)=24,DAY(C69)=25)),"","⚠ Data fora do Natal (24 ou 25/12). "),"")&amp;IF(AND(ISNUMBER(C69),COUNTIFS($A$2:$A$301,A69,$C$2:$C$301,C69)&gt;1),"⚠ Nome repetido na mesma data. ","")&amp;IF(AND(ISNUMBER(C69),COUNTIFS(FÉRIAS!$A$2:$A$301,A69,FÉRIAS!$C$2:$C$301,"&lt;="&amp;C69,FÉRIAS!$D$2:$D$301,"&gt;="&amp;C69)&gt;0),IF(D69="TRABALHA","⚠ Está de férias e marcado TRABALHA. ","⚠ Já está de férias nesta data. "),"")&amp;IF(AND(ISNUMBER(C69),COUNTIFS(FOLGAS!$A$2:$A$301,A69,FOLGAS!$C$2:$C$301,C69)&gt;0),IF(D69="FOLGA","⚠ Folga também lançada na aba FOLGAS. ",IF(D69="TRABALHA","⚠ Marcado TRABALHA, mas tem folga na aba FOLGAS. ","")),"")&amp;IF(AND(ISNUMBER(C69),D69="FOLGA",B69&lt;&gt;"",COUNTIFS($B$2:$B$301,B69,$C$2:$C$301,C69,$D$2:$D$301,"TRABALHA")=0),"⚠ Ninguém do setor trabalhando nesta data. ","")))</f>
        <v/>
      </c>
    </row>
    <row r="70" customFormat="false" ht="15" hidden="false" customHeight="true" outlineLevel="0" collapsed="false">
      <c r="A70" s="54"/>
      <c r="B70" s="54"/>
      <c r="C70" s="53"/>
      <c r="D70" s="54"/>
      <c r="E70" s="54"/>
      <c r="F70" s="55" t="str">
        <f aca="false">IF(A70="","",TRIM(IF(NOT(ISNUMBER(C70)),"⚠ Falta a data. ","")&amp;IF(ISNUMBER(C70),IF(AND(MONTH(C70)=12,OR(DAY(C70)=24,DAY(C70)=25)),"","⚠ Data fora do Natal (24 ou 25/12). "),"")&amp;IF(AND(ISNUMBER(C70),COUNTIFS($A$2:$A$301,A70,$C$2:$C$301,C70)&gt;1),"⚠ Nome repetido na mesma data. ","")&amp;IF(AND(ISNUMBER(C70),COUNTIFS(FÉRIAS!$A$2:$A$301,A70,FÉRIAS!$C$2:$C$301,"&lt;="&amp;C70,FÉRIAS!$D$2:$D$301,"&gt;="&amp;C70)&gt;0),IF(D70="TRABALHA","⚠ Está de férias e marcado TRABALHA. ","⚠ Já está de férias nesta data. "),"")&amp;IF(AND(ISNUMBER(C70),COUNTIFS(FOLGAS!$A$2:$A$301,A70,FOLGAS!$C$2:$C$301,C70)&gt;0),IF(D70="FOLGA","⚠ Folga também lançada na aba FOLGAS. ",IF(D70="TRABALHA","⚠ Marcado TRABALHA, mas tem folga na aba FOLGAS. ","")),"")&amp;IF(AND(ISNUMBER(C70),D70="FOLGA",B70&lt;&gt;"",COUNTIFS($B$2:$B$301,B70,$C$2:$C$301,C70,$D$2:$D$301,"TRABALHA")=0),"⚠ Ninguém do setor trabalhando nesta data. ","")))</f>
        <v/>
      </c>
    </row>
    <row r="71" customFormat="false" ht="15" hidden="false" customHeight="true" outlineLevel="0" collapsed="false">
      <c r="A71" s="54"/>
      <c r="B71" s="54"/>
      <c r="C71" s="53"/>
      <c r="D71" s="54"/>
      <c r="E71" s="54"/>
      <c r="F71" s="55" t="str">
        <f aca="false">IF(A71="","",TRIM(IF(NOT(ISNUMBER(C71)),"⚠ Falta a data. ","")&amp;IF(ISNUMBER(C71),IF(AND(MONTH(C71)=12,OR(DAY(C71)=24,DAY(C71)=25)),"","⚠ Data fora do Natal (24 ou 25/12). "),"")&amp;IF(AND(ISNUMBER(C71),COUNTIFS($A$2:$A$301,A71,$C$2:$C$301,C71)&gt;1),"⚠ Nome repetido na mesma data. ","")&amp;IF(AND(ISNUMBER(C71),COUNTIFS(FÉRIAS!$A$2:$A$301,A71,FÉRIAS!$C$2:$C$301,"&lt;="&amp;C71,FÉRIAS!$D$2:$D$301,"&gt;="&amp;C71)&gt;0),IF(D71="TRABALHA","⚠ Está de férias e marcado TRABALHA. ","⚠ Já está de férias nesta data. "),"")&amp;IF(AND(ISNUMBER(C71),COUNTIFS(FOLGAS!$A$2:$A$301,A71,FOLGAS!$C$2:$C$301,C71)&gt;0),IF(D71="FOLGA","⚠ Folga também lançada na aba FOLGAS. ",IF(D71="TRABALHA","⚠ Marcado TRABALHA, mas tem folga na aba FOLGAS. ","")),"")&amp;IF(AND(ISNUMBER(C71),D71="FOLGA",B71&lt;&gt;"",COUNTIFS($B$2:$B$301,B71,$C$2:$C$301,C71,$D$2:$D$301,"TRABALHA")=0),"⚠ Ninguém do setor trabalhando nesta data. ","")))</f>
        <v/>
      </c>
    </row>
    <row r="72" customFormat="false" ht="15" hidden="false" customHeight="true" outlineLevel="0" collapsed="false">
      <c r="A72" s="54"/>
      <c r="B72" s="54"/>
      <c r="C72" s="53"/>
      <c r="D72" s="54"/>
      <c r="E72" s="54"/>
      <c r="F72" s="55" t="str">
        <f aca="false">IF(A72="","",TRIM(IF(NOT(ISNUMBER(C72)),"⚠ Falta a data. ","")&amp;IF(ISNUMBER(C72),IF(AND(MONTH(C72)=12,OR(DAY(C72)=24,DAY(C72)=25)),"","⚠ Data fora do Natal (24 ou 25/12). "),"")&amp;IF(AND(ISNUMBER(C72),COUNTIFS($A$2:$A$301,A72,$C$2:$C$301,C72)&gt;1),"⚠ Nome repetido na mesma data. ","")&amp;IF(AND(ISNUMBER(C72),COUNTIFS(FÉRIAS!$A$2:$A$301,A72,FÉRIAS!$C$2:$C$301,"&lt;="&amp;C72,FÉRIAS!$D$2:$D$301,"&gt;="&amp;C72)&gt;0),IF(D72="TRABALHA","⚠ Está de férias e marcado TRABALHA. ","⚠ Já está de férias nesta data. "),"")&amp;IF(AND(ISNUMBER(C72),COUNTIFS(FOLGAS!$A$2:$A$301,A72,FOLGAS!$C$2:$C$301,C72)&gt;0),IF(D72="FOLGA","⚠ Folga também lançada na aba FOLGAS. ",IF(D72="TRABALHA","⚠ Marcado TRABALHA, mas tem folga na aba FOLGAS. ","")),"")&amp;IF(AND(ISNUMBER(C72),D72="FOLGA",B72&lt;&gt;"",COUNTIFS($B$2:$B$301,B72,$C$2:$C$301,C72,$D$2:$D$301,"TRABALHA")=0),"⚠ Ninguém do setor trabalhando nesta data. ","")))</f>
        <v/>
      </c>
    </row>
    <row r="73" customFormat="false" ht="15" hidden="false" customHeight="true" outlineLevel="0" collapsed="false">
      <c r="A73" s="54"/>
      <c r="B73" s="54"/>
      <c r="C73" s="53"/>
      <c r="D73" s="54"/>
      <c r="E73" s="54"/>
      <c r="F73" s="55" t="str">
        <f aca="false">IF(A73="","",TRIM(IF(NOT(ISNUMBER(C73)),"⚠ Falta a data. ","")&amp;IF(ISNUMBER(C73),IF(AND(MONTH(C73)=12,OR(DAY(C73)=24,DAY(C73)=25)),"","⚠ Data fora do Natal (24 ou 25/12). "),"")&amp;IF(AND(ISNUMBER(C73),COUNTIFS($A$2:$A$301,A73,$C$2:$C$301,C73)&gt;1),"⚠ Nome repetido na mesma data. ","")&amp;IF(AND(ISNUMBER(C73),COUNTIFS(FÉRIAS!$A$2:$A$301,A73,FÉRIAS!$C$2:$C$301,"&lt;="&amp;C73,FÉRIAS!$D$2:$D$301,"&gt;="&amp;C73)&gt;0),IF(D73="TRABALHA","⚠ Está de férias e marcado TRABALHA. ","⚠ Já está de férias nesta data. "),"")&amp;IF(AND(ISNUMBER(C73),COUNTIFS(FOLGAS!$A$2:$A$301,A73,FOLGAS!$C$2:$C$301,C73)&gt;0),IF(D73="FOLGA","⚠ Folga também lançada na aba FOLGAS. ",IF(D73="TRABALHA","⚠ Marcado TRABALHA, mas tem folga na aba FOLGAS. ","")),"")&amp;IF(AND(ISNUMBER(C73),D73="FOLGA",B73&lt;&gt;"",COUNTIFS($B$2:$B$301,B73,$C$2:$C$301,C73,$D$2:$D$301,"TRABALHA")=0),"⚠ Ninguém do setor trabalhando nesta data. ","")))</f>
        <v/>
      </c>
    </row>
    <row r="74" customFormat="false" ht="15" hidden="false" customHeight="true" outlineLevel="0" collapsed="false">
      <c r="A74" s="54"/>
      <c r="B74" s="54"/>
      <c r="C74" s="53"/>
      <c r="D74" s="54"/>
      <c r="E74" s="54"/>
      <c r="F74" s="55" t="str">
        <f aca="false">IF(A74="","",TRIM(IF(NOT(ISNUMBER(C74)),"⚠ Falta a data. ","")&amp;IF(ISNUMBER(C74),IF(AND(MONTH(C74)=12,OR(DAY(C74)=24,DAY(C74)=25)),"","⚠ Data fora do Natal (24 ou 25/12). "),"")&amp;IF(AND(ISNUMBER(C74),COUNTIFS($A$2:$A$301,A74,$C$2:$C$301,C74)&gt;1),"⚠ Nome repetido na mesma data. ","")&amp;IF(AND(ISNUMBER(C74),COUNTIFS(FÉRIAS!$A$2:$A$301,A74,FÉRIAS!$C$2:$C$301,"&lt;="&amp;C74,FÉRIAS!$D$2:$D$301,"&gt;="&amp;C74)&gt;0),IF(D74="TRABALHA","⚠ Está de férias e marcado TRABALHA. ","⚠ Já está de férias nesta data. "),"")&amp;IF(AND(ISNUMBER(C74),COUNTIFS(FOLGAS!$A$2:$A$301,A74,FOLGAS!$C$2:$C$301,C74)&gt;0),IF(D74="FOLGA","⚠ Folga também lançada na aba FOLGAS. ",IF(D74="TRABALHA","⚠ Marcado TRABALHA, mas tem folga na aba FOLGAS. ","")),"")&amp;IF(AND(ISNUMBER(C74),D74="FOLGA",B74&lt;&gt;"",COUNTIFS($B$2:$B$301,B74,$C$2:$C$301,C74,$D$2:$D$301,"TRABALHA")=0),"⚠ Ninguém do setor trabalhando nesta data. ","")))</f>
        <v/>
      </c>
    </row>
    <row r="75" customFormat="false" ht="15" hidden="false" customHeight="true" outlineLevel="0" collapsed="false">
      <c r="A75" s="54"/>
      <c r="B75" s="54"/>
      <c r="C75" s="53"/>
      <c r="D75" s="54"/>
      <c r="E75" s="54"/>
      <c r="F75" s="55" t="str">
        <f aca="false">IF(A75="","",TRIM(IF(NOT(ISNUMBER(C75)),"⚠ Falta a data. ","")&amp;IF(ISNUMBER(C75),IF(AND(MONTH(C75)=12,OR(DAY(C75)=24,DAY(C75)=25)),"","⚠ Data fora do Natal (24 ou 25/12). "),"")&amp;IF(AND(ISNUMBER(C75),COUNTIFS($A$2:$A$301,A75,$C$2:$C$301,C75)&gt;1),"⚠ Nome repetido na mesma data. ","")&amp;IF(AND(ISNUMBER(C75),COUNTIFS(FÉRIAS!$A$2:$A$301,A75,FÉRIAS!$C$2:$C$301,"&lt;="&amp;C75,FÉRIAS!$D$2:$D$301,"&gt;="&amp;C75)&gt;0),IF(D75="TRABALHA","⚠ Está de férias e marcado TRABALHA. ","⚠ Já está de férias nesta data. "),"")&amp;IF(AND(ISNUMBER(C75),COUNTIFS(FOLGAS!$A$2:$A$301,A75,FOLGAS!$C$2:$C$301,C75)&gt;0),IF(D75="FOLGA","⚠ Folga também lançada na aba FOLGAS. ",IF(D75="TRABALHA","⚠ Marcado TRABALHA, mas tem folga na aba FOLGAS. ","")),"")&amp;IF(AND(ISNUMBER(C75),D75="FOLGA",B75&lt;&gt;"",COUNTIFS($B$2:$B$301,B75,$C$2:$C$301,C75,$D$2:$D$301,"TRABALHA")=0),"⚠ Ninguém do setor trabalhando nesta data. ","")))</f>
        <v/>
      </c>
    </row>
    <row r="76" customFormat="false" ht="15" hidden="false" customHeight="true" outlineLevel="0" collapsed="false">
      <c r="A76" s="54"/>
      <c r="B76" s="54"/>
      <c r="C76" s="53"/>
      <c r="D76" s="54"/>
      <c r="E76" s="54"/>
      <c r="F76" s="55" t="str">
        <f aca="false">IF(A76="","",TRIM(IF(NOT(ISNUMBER(C76)),"⚠ Falta a data. ","")&amp;IF(ISNUMBER(C76),IF(AND(MONTH(C76)=12,OR(DAY(C76)=24,DAY(C76)=25)),"","⚠ Data fora do Natal (24 ou 25/12). "),"")&amp;IF(AND(ISNUMBER(C76),COUNTIFS($A$2:$A$301,A76,$C$2:$C$301,C76)&gt;1),"⚠ Nome repetido na mesma data. ","")&amp;IF(AND(ISNUMBER(C76),COUNTIFS(FÉRIAS!$A$2:$A$301,A76,FÉRIAS!$C$2:$C$301,"&lt;="&amp;C76,FÉRIAS!$D$2:$D$301,"&gt;="&amp;C76)&gt;0),IF(D76="TRABALHA","⚠ Está de férias e marcado TRABALHA. ","⚠ Já está de férias nesta data. "),"")&amp;IF(AND(ISNUMBER(C76),COUNTIFS(FOLGAS!$A$2:$A$301,A76,FOLGAS!$C$2:$C$301,C76)&gt;0),IF(D76="FOLGA","⚠ Folga também lançada na aba FOLGAS. ",IF(D76="TRABALHA","⚠ Marcado TRABALHA, mas tem folga na aba FOLGAS. ","")),"")&amp;IF(AND(ISNUMBER(C76),D76="FOLGA",B76&lt;&gt;"",COUNTIFS($B$2:$B$301,B76,$C$2:$C$301,C76,$D$2:$D$301,"TRABALHA")=0),"⚠ Ninguém do setor trabalhando nesta data. ","")))</f>
        <v/>
      </c>
    </row>
    <row r="77" customFormat="false" ht="15" hidden="false" customHeight="true" outlineLevel="0" collapsed="false">
      <c r="A77" s="54"/>
      <c r="B77" s="54"/>
      <c r="C77" s="53"/>
      <c r="D77" s="54"/>
      <c r="E77" s="54"/>
      <c r="F77" s="55" t="str">
        <f aca="false">IF(A77="","",TRIM(IF(NOT(ISNUMBER(C77)),"⚠ Falta a data. ","")&amp;IF(ISNUMBER(C77),IF(AND(MONTH(C77)=12,OR(DAY(C77)=24,DAY(C77)=25)),"","⚠ Data fora do Natal (24 ou 25/12). "),"")&amp;IF(AND(ISNUMBER(C77),COUNTIFS($A$2:$A$301,A77,$C$2:$C$301,C77)&gt;1),"⚠ Nome repetido na mesma data. ","")&amp;IF(AND(ISNUMBER(C77),COUNTIFS(FÉRIAS!$A$2:$A$301,A77,FÉRIAS!$C$2:$C$301,"&lt;="&amp;C77,FÉRIAS!$D$2:$D$301,"&gt;="&amp;C77)&gt;0),IF(D77="TRABALHA","⚠ Está de férias e marcado TRABALHA. ","⚠ Já está de férias nesta data. "),"")&amp;IF(AND(ISNUMBER(C77),COUNTIFS(FOLGAS!$A$2:$A$301,A77,FOLGAS!$C$2:$C$301,C77)&gt;0),IF(D77="FOLGA","⚠ Folga também lançada na aba FOLGAS. ",IF(D77="TRABALHA","⚠ Marcado TRABALHA, mas tem folga na aba FOLGAS. ","")),"")&amp;IF(AND(ISNUMBER(C77),D77="FOLGA",B77&lt;&gt;"",COUNTIFS($B$2:$B$301,B77,$C$2:$C$301,C77,$D$2:$D$301,"TRABALHA")=0),"⚠ Ninguém do setor trabalhando nesta data. ","")))</f>
        <v/>
      </c>
    </row>
    <row r="78" customFormat="false" ht="15" hidden="false" customHeight="true" outlineLevel="0" collapsed="false">
      <c r="A78" s="54"/>
      <c r="B78" s="54"/>
      <c r="C78" s="53"/>
      <c r="D78" s="54"/>
      <c r="E78" s="54"/>
      <c r="F78" s="55" t="str">
        <f aca="false">IF(A78="","",TRIM(IF(NOT(ISNUMBER(C78)),"⚠ Falta a data. ","")&amp;IF(ISNUMBER(C78),IF(AND(MONTH(C78)=12,OR(DAY(C78)=24,DAY(C78)=25)),"","⚠ Data fora do Natal (24 ou 25/12). "),"")&amp;IF(AND(ISNUMBER(C78),COUNTIFS($A$2:$A$301,A78,$C$2:$C$301,C78)&gt;1),"⚠ Nome repetido na mesma data. ","")&amp;IF(AND(ISNUMBER(C78),COUNTIFS(FÉRIAS!$A$2:$A$301,A78,FÉRIAS!$C$2:$C$301,"&lt;="&amp;C78,FÉRIAS!$D$2:$D$301,"&gt;="&amp;C78)&gt;0),IF(D78="TRABALHA","⚠ Está de férias e marcado TRABALHA. ","⚠ Já está de férias nesta data. "),"")&amp;IF(AND(ISNUMBER(C78),COUNTIFS(FOLGAS!$A$2:$A$301,A78,FOLGAS!$C$2:$C$301,C78)&gt;0),IF(D78="FOLGA","⚠ Folga também lançada na aba FOLGAS. ",IF(D78="TRABALHA","⚠ Marcado TRABALHA, mas tem folga na aba FOLGAS. ","")),"")&amp;IF(AND(ISNUMBER(C78),D78="FOLGA",B78&lt;&gt;"",COUNTIFS($B$2:$B$301,B78,$C$2:$C$301,C78,$D$2:$D$301,"TRABALHA")=0),"⚠ Ninguém do setor trabalhando nesta data. ","")))</f>
        <v/>
      </c>
    </row>
    <row r="79" customFormat="false" ht="15" hidden="false" customHeight="true" outlineLevel="0" collapsed="false">
      <c r="A79" s="54"/>
      <c r="B79" s="54"/>
      <c r="C79" s="53"/>
      <c r="D79" s="54"/>
      <c r="E79" s="54"/>
      <c r="F79" s="55" t="str">
        <f aca="false">IF(A79="","",TRIM(IF(NOT(ISNUMBER(C79)),"⚠ Falta a data. ","")&amp;IF(ISNUMBER(C79),IF(AND(MONTH(C79)=12,OR(DAY(C79)=24,DAY(C79)=25)),"","⚠ Data fora do Natal (24 ou 25/12). "),"")&amp;IF(AND(ISNUMBER(C79),COUNTIFS($A$2:$A$301,A79,$C$2:$C$301,C79)&gt;1),"⚠ Nome repetido na mesma data. ","")&amp;IF(AND(ISNUMBER(C79),COUNTIFS(FÉRIAS!$A$2:$A$301,A79,FÉRIAS!$C$2:$C$301,"&lt;="&amp;C79,FÉRIAS!$D$2:$D$301,"&gt;="&amp;C79)&gt;0),IF(D79="TRABALHA","⚠ Está de férias e marcado TRABALHA. ","⚠ Já está de férias nesta data. "),"")&amp;IF(AND(ISNUMBER(C79),COUNTIFS(FOLGAS!$A$2:$A$301,A79,FOLGAS!$C$2:$C$301,C79)&gt;0),IF(D79="FOLGA","⚠ Folga também lançada na aba FOLGAS. ",IF(D79="TRABALHA","⚠ Marcado TRABALHA, mas tem folga na aba FOLGAS. ","")),"")&amp;IF(AND(ISNUMBER(C79),D79="FOLGA",B79&lt;&gt;"",COUNTIFS($B$2:$B$301,B79,$C$2:$C$301,C79,$D$2:$D$301,"TRABALHA")=0),"⚠ Ninguém do setor trabalhando nesta data. ","")))</f>
        <v/>
      </c>
    </row>
    <row r="80" customFormat="false" ht="15" hidden="false" customHeight="true" outlineLevel="0" collapsed="false">
      <c r="A80" s="54"/>
      <c r="B80" s="54"/>
      <c r="C80" s="53"/>
      <c r="D80" s="54"/>
      <c r="E80" s="54"/>
      <c r="F80" s="55" t="str">
        <f aca="false">IF(A80="","",TRIM(IF(NOT(ISNUMBER(C80)),"⚠ Falta a data. ","")&amp;IF(ISNUMBER(C80),IF(AND(MONTH(C80)=12,OR(DAY(C80)=24,DAY(C80)=25)),"","⚠ Data fora do Natal (24 ou 25/12). "),"")&amp;IF(AND(ISNUMBER(C80),COUNTIFS($A$2:$A$301,A80,$C$2:$C$301,C80)&gt;1),"⚠ Nome repetido na mesma data. ","")&amp;IF(AND(ISNUMBER(C80),COUNTIFS(FÉRIAS!$A$2:$A$301,A80,FÉRIAS!$C$2:$C$301,"&lt;="&amp;C80,FÉRIAS!$D$2:$D$301,"&gt;="&amp;C80)&gt;0),IF(D80="TRABALHA","⚠ Está de férias e marcado TRABALHA. ","⚠ Já está de férias nesta data. "),"")&amp;IF(AND(ISNUMBER(C80),COUNTIFS(FOLGAS!$A$2:$A$301,A80,FOLGAS!$C$2:$C$301,C80)&gt;0),IF(D80="FOLGA","⚠ Folga também lançada na aba FOLGAS. ",IF(D80="TRABALHA","⚠ Marcado TRABALHA, mas tem folga na aba FOLGAS. ","")),"")&amp;IF(AND(ISNUMBER(C80),D80="FOLGA",B80&lt;&gt;"",COUNTIFS($B$2:$B$301,B80,$C$2:$C$301,C80,$D$2:$D$301,"TRABALHA")=0),"⚠ Ninguém do setor trabalhando nesta data. ","")))</f>
        <v/>
      </c>
    </row>
    <row r="81" customFormat="false" ht="15" hidden="false" customHeight="true" outlineLevel="0" collapsed="false">
      <c r="A81" s="54"/>
      <c r="B81" s="54"/>
      <c r="C81" s="53"/>
      <c r="D81" s="54"/>
      <c r="E81" s="54"/>
      <c r="F81" s="55" t="str">
        <f aca="false">IF(A81="","",TRIM(IF(NOT(ISNUMBER(C81)),"⚠ Falta a data. ","")&amp;IF(ISNUMBER(C81),IF(AND(MONTH(C81)=12,OR(DAY(C81)=24,DAY(C81)=25)),"","⚠ Data fora do Natal (24 ou 25/12). "),"")&amp;IF(AND(ISNUMBER(C81),COUNTIFS($A$2:$A$301,A81,$C$2:$C$301,C81)&gt;1),"⚠ Nome repetido na mesma data. ","")&amp;IF(AND(ISNUMBER(C81),COUNTIFS(FÉRIAS!$A$2:$A$301,A81,FÉRIAS!$C$2:$C$301,"&lt;="&amp;C81,FÉRIAS!$D$2:$D$301,"&gt;="&amp;C81)&gt;0),IF(D81="TRABALHA","⚠ Está de férias e marcado TRABALHA. ","⚠ Já está de férias nesta data. "),"")&amp;IF(AND(ISNUMBER(C81),COUNTIFS(FOLGAS!$A$2:$A$301,A81,FOLGAS!$C$2:$C$301,C81)&gt;0),IF(D81="FOLGA","⚠ Folga também lançada na aba FOLGAS. ",IF(D81="TRABALHA","⚠ Marcado TRABALHA, mas tem folga na aba FOLGAS. ","")),"")&amp;IF(AND(ISNUMBER(C81),D81="FOLGA",B81&lt;&gt;"",COUNTIFS($B$2:$B$301,B81,$C$2:$C$301,C81,$D$2:$D$301,"TRABALHA")=0),"⚠ Ninguém do setor trabalhando nesta data. ","")))</f>
        <v/>
      </c>
    </row>
    <row r="82" customFormat="false" ht="15" hidden="false" customHeight="true" outlineLevel="0" collapsed="false">
      <c r="A82" s="54"/>
      <c r="B82" s="54"/>
      <c r="C82" s="53"/>
      <c r="D82" s="54"/>
      <c r="E82" s="54"/>
      <c r="F82" s="55" t="str">
        <f aca="false">IF(A82="","",TRIM(IF(NOT(ISNUMBER(C82)),"⚠ Falta a data. ","")&amp;IF(ISNUMBER(C82),IF(AND(MONTH(C82)=12,OR(DAY(C82)=24,DAY(C82)=25)),"","⚠ Data fora do Natal (24 ou 25/12). "),"")&amp;IF(AND(ISNUMBER(C82),COUNTIFS($A$2:$A$301,A82,$C$2:$C$301,C82)&gt;1),"⚠ Nome repetido na mesma data. ","")&amp;IF(AND(ISNUMBER(C82),COUNTIFS(FÉRIAS!$A$2:$A$301,A82,FÉRIAS!$C$2:$C$301,"&lt;="&amp;C82,FÉRIAS!$D$2:$D$301,"&gt;="&amp;C82)&gt;0),IF(D82="TRABALHA","⚠ Está de férias e marcado TRABALHA. ","⚠ Já está de férias nesta data. "),"")&amp;IF(AND(ISNUMBER(C82),COUNTIFS(FOLGAS!$A$2:$A$301,A82,FOLGAS!$C$2:$C$301,C82)&gt;0),IF(D82="FOLGA","⚠ Folga também lançada na aba FOLGAS. ",IF(D82="TRABALHA","⚠ Marcado TRABALHA, mas tem folga na aba FOLGAS. ","")),"")&amp;IF(AND(ISNUMBER(C82),D82="FOLGA",B82&lt;&gt;"",COUNTIFS($B$2:$B$301,B82,$C$2:$C$301,C82,$D$2:$D$301,"TRABALHA")=0),"⚠ Ninguém do setor trabalhando nesta data. ","")))</f>
        <v/>
      </c>
    </row>
    <row r="83" customFormat="false" ht="15" hidden="false" customHeight="true" outlineLevel="0" collapsed="false">
      <c r="A83" s="54"/>
      <c r="B83" s="54"/>
      <c r="C83" s="53"/>
      <c r="D83" s="54"/>
      <c r="E83" s="54"/>
      <c r="F83" s="55" t="str">
        <f aca="false">IF(A83="","",TRIM(IF(NOT(ISNUMBER(C83)),"⚠ Falta a data. ","")&amp;IF(ISNUMBER(C83),IF(AND(MONTH(C83)=12,OR(DAY(C83)=24,DAY(C83)=25)),"","⚠ Data fora do Natal (24 ou 25/12). "),"")&amp;IF(AND(ISNUMBER(C83),COUNTIFS($A$2:$A$301,A83,$C$2:$C$301,C83)&gt;1),"⚠ Nome repetido na mesma data. ","")&amp;IF(AND(ISNUMBER(C83),COUNTIFS(FÉRIAS!$A$2:$A$301,A83,FÉRIAS!$C$2:$C$301,"&lt;="&amp;C83,FÉRIAS!$D$2:$D$301,"&gt;="&amp;C83)&gt;0),IF(D83="TRABALHA","⚠ Está de férias e marcado TRABALHA. ","⚠ Já está de férias nesta data. "),"")&amp;IF(AND(ISNUMBER(C83),COUNTIFS(FOLGAS!$A$2:$A$301,A83,FOLGAS!$C$2:$C$301,C83)&gt;0),IF(D83="FOLGA","⚠ Folga também lançada na aba FOLGAS. ",IF(D83="TRABALHA","⚠ Marcado TRABALHA, mas tem folga na aba FOLGAS. ","")),"")&amp;IF(AND(ISNUMBER(C83),D83="FOLGA",B83&lt;&gt;"",COUNTIFS($B$2:$B$301,B83,$C$2:$C$301,C83,$D$2:$D$301,"TRABALHA")=0),"⚠ Ninguém do setor trabalhando nesta data. ","")))</f>
        <v/>
      </c>
    </row>
    <row r="84" customFormat="false" ht="15" hidden="false" customHeight="true" outlineLevel="0" collapsed="false">
      <c r="A84" s="54"/>
      <c r="B84" s="54"/>
      <c r="C84" s="53"/>
      <c r="D84" s="54"/>
      <c r="E84" s="54"/>
      <c r="F84" s="55" t="str">
        <f aca="false">IF(A84="","",TRIM(IF(NOT(ISNUMBER(C84)),"⚠ Falta a data. ","")&amp;IF(ISNUMBER(C84),IF(AND(MONTH(C84)=12,OR(DAY(C84)=24,DAY(C84)=25)),"","⚠ Data fora do Natal (24 ou 25/12). "),"")&amp;IF(AND(ISNUMBER(C84),COUNTIFS($A$2:$A$301,A84,$C$2:$C$301,C84)&gt;1),"⚠ Nome repetido na mesma data. ","")&amp;IF(AND(ISNUMBER(C84),COUNTIFS(FÉRIAS!$A$2:$A$301,A84,FÉRIAS!$C$2:$C$301,"&lt;="&amp;C84,FÉRIAS!$D$2:$D$301,"&gt;="&amp;C84)&gt;0),IF(D84="TRABALHA","⚠ Está de férias e marcado TRABALHA. ","⚠ Já está de férias nesta data. "),"")&amp;IF(AND(ISNUMBER(C84),COUNTIFS(FOLGAS!$A$2:$A$301,A84,FOLGAS!$C$2:$C$301,C84)&gt;0),IF(D84="FOLGA","⚠ Folga também lançada na aba FOLGAS. ",IF(D84="TRABALHA","⚠ Marcado TRABALHA, mas tem folga na aba FOLGAS. ","")),"")&amp;IF(AND(ISNUMBER(C84),D84="FOLGA",B84&lt;&gt;"",COUNTIFS($B$2:$B$301,B84,$C$2:$C$301,C84,$D$2:$D$301,"TRABALHA")=0),"⚠ Ninguém do setor trabalhando nesta data. ","")))</f>
        <v/>
      </c>
    </row>
    <row r="85" customFormat="false" ht="15" hidden="false" customHeight="true" outlineLevel="0" collapsed="false">
      <c r="A85" s="54"/>
      <c r="B85" s="54"/>
      <c r="C85" s="53"/>
      <c r="D85" s="54"/>
      <c r="E85" s="54"/>
      <c r="F85" s="55" t="str">
        <f aca="false">IF(A85="","",TRIM(IF(NOT(ISNUMBER(C85)),"⚠ Falta a data. ","")&amp;IF(ISNUMBER(C85),IF(AND(MONTH(C85)=12,OR(DAY(C85)=24,DAY(C85)=25)),"","⚠ Data fora do Natal (24 ou 25/12). "),"")&amp;IF(AND(ISNUMBER(C85),COUNTIFS($A$2:$A$301,A85,$C$2:$C$301,C85)&gt;1),"⚠ Nome repetido na mesma data. ","")&amp;IF(AND(ISNUMBER(C85),COUNTIFS(FÉRIAS!$A$2:$A$301,A85,FÉRIAS!$C$2:$C$301,"&lt;="&amp;C85,FÉRIAS!$D$2:$D$301,"&gt;="&amp;C85)&gt;0),IF(D85="TRABALHA","⚠ Está de férias e marcado TRABALHA. ","⚠ Já está de férias nesta data. "),"")&amp;IF(AND(ISNUMBER(C85),COUNTIFS(FOLGAS!$A$2:$A$301,A85,FOLGAS!$C$2:$C$301,C85)&gt;0),IF(D85="FOLGA","⚠ Folga também lançada na aba FOLGAS. ",IF(D85="TRABALHA","⚠ Marcado TRABALHA, mas tem folga na aba FOLGAS. ","")),"")&amp;IF(AND(ISNUMBER(C85),D85="FOLGA",B85&lt;&gt;"",COUNTIFS($B$2:$B$301,B85,$C$2:$C$301,C85,$D$2:$D$301,"TRABALHA")=0),"⚠ Ninguém do setor trabalhando nesta data. ","")))</f>
        <v/>
      </c>
    </row>
    <row r="86" customFormat="false" ht="15" hidden="false" customHeight="true" outlineLevel="0" collapsed="false">
      <c r="A86" s="54"/>
      <c r="B86" s="54"/>
      <c r="C86" s="53"/>
      <c r="D86" s="54"/>
      <c r="E86" s="54"/>
      <c r="F86" s="55" t="str">
        <f aca="false">IF(A86="","",TRIM(IF(NOT(ISNUMBER(C86)),"⚠ Falta a data. ","")&amp;IF(ISNUMBER(C86),IF(AND(MONTH(C86)=12,OR(DAY(C86)=24,DAY(C86)=25)),"","⚠ Data fora do Natal (24 ou 25/12). "),"")&amp;IF(AND(ISNUMBER(C86),COUNTIFS($A$2:$A$301,A86,$C$2:$C$301,C86)&gt;1),"⚠ Nome repetido na mesma data. ","")&amp;IF(AND(ISNUMBER(C86),COUNTIFS(FÉRIAS!$A$2:$A$301,A86,FÉRIAS!$C$2:$C$301,"&lt;="&amp;C86,FÉRIAS!$D$2:$D$301,"&gt;="&amp;C86)&gt;0),IF(D86="TRABALHA","⚠ Está de férias e marcado TRABALHA. ","⚠ Já está de férias nesta data. "),"")&amp;IF(AND(ISNUMBER(C86),COUNTIFS(FOLGAS!$A$2:$A$301,A86,FOLGAS!$C$2:$C$301,C86)&gt;0),IF(D86="FOLGA","⚠ Folga também lançada na aba FOLGAS. ",IF(D86="TRABALHA","⚠ Marcado TRABALHA, mas tem folga na aba FOLGAS. ","")),"")&amp;IF(AND(ISNUMBER(C86),D86="FOLGA",B86&lt;&gt;"",COUNTIFS($B$2:$B$301,B86,$C$2:$C$301,C86,$D$2:$D$301,"TRABALHA")=0),"⚠ Ninguém do setor trabalhando nesta data. ","")))</f>
        <v/>
      </c>
    </row>
    <row r="87" customFormat="false" ht="15" hidden="false" customHeight="true" outlineLevel="0" collapsed="false">
      <c r="A87" s="54"/>
      <c r="B87" s="54"/>
      <c r="C87" s="53"/>
      <c r="D87" s="54"/>
      <c r="E87" s="54"/>
      <c r="F87" s="55" t="str">
        <f aca="false">IF(A87="","",TRIM(IF(NOT(ISNUMBER(C87)),"⚠ Falta a data. ","")&amp;IF(ISNUMBER(C87),IF(AND(MONTH(C87)=12,OR(DAY(C87)=24,DAY(C87)=25)),"","⚠ Data fora do Natal (24 ou 25/12). "),"")&amp;IF(AND(ISNUMBER(C87),COUNTIFS($A$2:$A$301,A87,$C$2:$C$301,C87)&gt;1),"⚠ Nome repetido na mesma data. ","")&amp;IF(AND(ISNUMBER(C87),COUNTIFS(FÉRIAS!$A$2:$A$301,A87,FÉRIAS!$C$2:$C$301,"&lt;="&amp;C87,FÉRIAS!$D$2:$D$301,"&gt;="&amp;C87)&gt;0),IF(D87="TRABALHA","⚠ Está de férias e marcado TRABALHA. ","⚠ Já está de férias nesta data. "),"")&amp;IF(AND(ISNUMBER(C87),COUNTIFS(FOLGAS!$A$2:$A$301,A87,FOLGAS!$C$2:$C$301,C87)&gt;0),IF(D87="FOLGA","⚠ Folga também lançada na aba FOLGAS. ",IF(D87="TRABALHA","⚠ Marcado TRABALHA, mas tem folga na aba FOLGAS. ","")),"")&amp;IF(AND(ISNUMBER(C87),D87="FOLGA",B87&lt;&gt;"",COUNTIFS($B$2:$B$301,B87,$C$2:$C$301,C87,$D$2:$D$301,"TRABALHA")=0),"⚠ Ninguém do setor trabalhando nesta data. ","")))</f>
        <v/>
      </c>
    </row>
    <row r="88" customFormat="false" ht="15" hidden="false" customHeight="true" outlineLevel="0" collapsed="false">
      <c r="A88" s="54"/>
      <c r="B88" s="54"/>
      <c r="C88" s="53"/>
      <c r="D88" s="54"/>
      <c r="E88" s="54"/>
      <c r="F88" s="55" t="str">
        <f aca="false">IF(A88="","",TRIM(IF(NOT(ISNUMBER(C88)),"⚠ Falta a data. ","")&amp;IF(ISNUMBER(C88),IF(AND(MONTH(C88)=12,OR(DAY(C88)=24,DAY(C88)=25)),"","⚠ Data fora do Natal (24 ou 25/12). "),"")&amp;IF(AND(ISNUMBER(C88),COUNTIFS($A$2:$A$301,A88,$C$2:$C$301,C88)&gt;1),"⚠ Nome repetido na mesma data. ","")&amp;IF(AND(ISNUMBER(C88),COUNTIFS(FÉRIAS!$A$2:$A$301,A88,FÉRIAS!$C$2:$C$301,"&lt;="&amp;C88,FÉRIAS!$D$2:$D$301,"&gt;="&amp;C88)&gt;0),IF(D88="TRABALHA","⚠ Está de férias e marcado TRABALHA. ","⚠ Já está de férias nesta data. "),"")&amp;IF(AND(ISNUMBER(C88),COUNTIFS(FOLGAS!$A$2:$A$301,A88,FOLGAS!$C$2:$C$301,C88)&gt;0),IF(D88="FOLGA","⚠ Folga também lançada na aba FOLGAS. ",IF(D88="TRABALHA","⚠ Marcado TRABALHA, mas tem folga na aba FOLGAS. ","")),"")&amp;IF(AND(ISNUMBER(C88),D88="FOLGA",B88&lt;&gt;"",COUNTIFS($B$2:$B$301,B88,$C$2:$C$301,C88,$D$2:$D$301,"TRABALHA")=0),"⚠ Ninguém do setor trabalhando nesta data. ","")))</f>
        <v/>
      </c>
    </row>
    <row r="89" customFormat="false" ht="15" hidden="false" customHeight="true" outlineLevel="0" collapsed="false">
      <c r="A89" s="54"/>
      <c r="B89" s="54"/>
      <c r="C89" s="53"/>
      <c r="D89" s="54"/>
      <c r="E89" s="54"/>
      <c r="F89" s="55" t="str">
        <f aca="false">IF(A89="","",TRIM(IF(NOT(ISNUMBER(C89)),"⚠ Falta a data. ","")&amp;IF(ISNUMBER(C89),IF(AND(MONTH(C89)=12,OR(DAY(C89)=24,DAY(C89)=25)),"","⚠ Data fora do Natal (24 ou 25/12). "),"")&amp;IF(AND(ISNUMBER(C89),COUNTIFS($A$2:$A$301,A89,$C$2:$C$301,C89)&gt;1),"⚠ Nome repetido na mesma data. ","")&amp;IF(AND(ISNUMBER(C89),COUNTIFS(FÉRIAS!$A$2:$A$301,A89,FÉRIAS!$C$2:$C$301,"&lt;="&amp;C89,FÉRIAS!$D$2:$D$301,"&gt;="&amp;C89)&gt;0),IF(D89="TRABALHA","⚠ Está de férias e marcado TRABALHA. ","⚠ Já está de férias nesta data. "),"")&amp;IF(AND(ISNUMBER(C89),COUNTIFS(FOLGAS!$A$2:$A$301,A89,FOLGAS!$C$2:$C$301,C89)&gt;0),IF(D89="FOLGA","⚠ Folga também lançada na aba FOLGAS. ",IF(D89="TRABALHA","⚠ Marcado TRABALHA, mas tem folga na aba FOLGAS. ","")),"")&amp;IF(AND(ISNUMBER(C89),D89="FOLGA",B89&lt;&gt;"",COUNTIFS($B$2:$B$301,B89,$C$2:$C$301,C89,$D$2:$D$301,"TRABALHA")=0),"⚠ Ninguém do setor trabalhando nesta data. ","")))</f>
        <v/>
      </c>
    </row>
    <row r="90" customFormat="false" ht="15" hidden="false" customHeight="true" outlineLevel="0" collapsed="false">
      <c r="A90" s="54"/>
      <c r="B90" s="54"/>
      <c r="C90" s="53"/>
      <c r="D90" s="54"/>
      <c r="E90" s="54"/>
      <c r="F90" s="55" t="str">
        <f aca="false">IF(A90="","",TRIM(IF(NOT(ISNUMBER(C90)),"⚠ Falta a data. ","")&amp;IF(ISNUMBER(C90),IF(AND(MONTH(C90)=12,OR(DAY(C90)=24,DAY(C90)=25)),"","⚠ Data fora do Natal (24 ou 25/12). "),"")&amp;IF(AND(ISNUMBER(C90),COUNTIFS($A$2:$A$301,A90,$C$2:$C$301,C90)&gt;1),"⚠ Nome repetido na mesma data. ","")&amp;IF(AND(ISNUMBER(C90),COUNTIFS(FÉRIAS!$A$2:$A$301,A90,FÉRIAS!$C$2:$C$301,"&lt;="&amp;C90,FÉRIAS!$D$2:$D$301,"&gt;="&amp;C90)&gt;0),IF(D90="TRABALHA","⚠ Está de férias e marcado TRABALHA. ","⚠ Já está de férias nesta data. "),"")&amp;IF(AND(ISNUMBER(C90),COUNTIFS(FOLGAS!$A$2:$A$301,A90,FOLGAS!$C$2:$C$301,C90)&gt;0),IF(D90="FOLGA","⚠ Folga também lançada na aba FOLGAS. ",IF(D90="TRABALHA","⚠ Marcado TRABALHA, mas tem folga na aba FOLGAS. ","")),"")&amp;IF(AND(ISNUMBER(C90),D90="FOLGA",B90&lt;&gt;"",COUNTIFS($B$2:$B$301,B90,$C$2:$C$301,C90,$D$2:$D$301,"TRABALHA")=0),"⚠ Ninguém do setor trabalhando nesta data. ","")))</f>
        <v/>
      </c>
    </row>
    <row r="91" customFormat="false" ht="15" hidden="false" customHeight="true" outlineLevel="0" collapsed="false">
      <c r="A91" s="54"/>
      <c r="B91" s="54"/>
      <c r="C91" s="53"/>
      <c r="D91" s="54"/>
      <c r="E91" s="54"/>
      <c r="F91" s="55" t="str">
        <f aca="false">IF(A91="","",TRIM(IF(NOT(ISNUMBER(C91)),"⚠ Falta a data. ","")&amp;IF(ISNUMBER(C91),IF(AND(MONTH(C91)=12,OR(DAY(C91)=24,DAY(C91)=25)),"","⚠ Data fora do Natal (24 ou 25/12). "),"")&amp;IF(AND(ISNUMBER(C91),COUNTIFS($A$2:$A$301,A91,$C$2:$C$301,C91)&gt;1),"⚠ Nome repetido na mesma data. ","")&amp;IF(AND(ISNUMBER(C91),COUNTIFS(FÉRIAS!$A$2:$A$301,A91,FÉRIAS!$C$2:$C$301,"&lt;="&amp;C91,FÉRIAS!$D$2:$D$301,"&gt;="&amp;C91)&gt;0),IF(D91="TRABALHA","⚠ Está de férias e marcado TRABALHA. ","⚠ Já está de férias nesta data. "),"")&amp;IF(AND(ISNUMBER(C91),COUNTIFS(FOLGAS!$A$2:$A$301,A91,FOLGAS!$C$2:$C$301,C91)&gt;0),IF(D91="FOLGA","⚠ Folga também lançada na aba FOLGAS. ",IF(D91="TRABALHA","⚠ Marcado TRABALHA, mas tem folga na aba FOLGAS. ","")),"")&amp;IF(AND(ISNUMBER(C91),D91="FOLGA",B91&lt;&gt;"",COUNTIFS($B$2:$B$301,B91,$C$2:$C$301,C91,$D$2:$D$301,"TRABALHA")=0),"⚠ Ninguém do setor trabalhando nesta data. ","")))</f>
        <v/>
      </c>
    </row>
    <row r="92" customFormat="false" ht="15" hidden="false" customHeight="true" outlineLevel="0" collapsed="false">
      <c r="A92" s="54"/>
      <c r="B92" s="54"/>
      <c r="C92" s="53"/>
      <c r="D92" s="54"/>
      <c r="E92" s="54"/>
      <c r="F92" s="55" t="str">
        <f aca="false">IF(A92="","",TRIM(IF(NOT(ISNUMBER(C92)),"⚠ Falta a data. ","")&amp;IF(ISNUMBER(C92),IF(AND(MONTH(C92)=12,OR(DAY(C92)=24,DAY(C92)=25)),"","⚠ Data fora do Natal (24 ou 25/12). "),"")&amp;IF(AND(ISNUMBER(C92),COUNTIFS($A$2:$A$301,A92,$C$2:$C$301,C92)&gt;1),"⚠ Nome repetido na mesma data. ","")&amp;IF(AND(ISNUMBER(C92),COUNTIFS(FÉRIAS!$A$2:$A$301,A92,FÉRIAS!$C$2:$C$301,"&lt;="&amp;C92,FÉRIAS!$D$2:$D$301,"&gt;="&amp;C92)&gt;0),IF(D92="TRABALHA","⚠ Está de férias e marcado TRABALHA. ","⚠ Já está de férias nesta data. "),"")&amp;IF(AND(ISNUMBER(C92),COUNTIFS(FOLGAS!$A$2:$A$301,A92,FOLGAS!$C$2:$C$301,C92)&gt;0),IF(D92="FOLGA","⚠ Folga também lançada na aba FOLGAS. ",IF(D92="TRABALHA","⚠ Marcado TRABALHA, mas tem folga na aba FOLGAS. ","")),"")&amp;IF(AND(ISNUMBER(C92),D92="FOLGA",B92&lt;&gt;"",COUNTIFS($B$2:$B$301,B92,$C$2:$C$301,C92,$D$2:$D$301,"TRABALHA")=0),"⚠ Ninguém do setor trabalhando nesta data. ","")))</f>
        <v/>
      </c>
    </row>
    <row r="93" customFormat="false" ht="15" hidden="false" customHeight="true" outlineLevel="0" collapsed="false">
      <c r="A93" s="54"/>
      <c r="B93" s="54"/>
      <c r="C93" s="53"/>
      <c r="D93" s="54"/>
      <c r="E93" s="54"/>
      <c r="F93" s="55" t="str">
        <f aca="false">IF(A93="","",TRIM(IF(NOT(ISNUMBER(C93)),"⚠ Falta a data. ","")&amp;IF(ISNUMBER(C93),IF(AND(MONTH(C93)=12,OR(DAY(C93)=24,DAY(C93)=25)),"","⚠ Data fora do Natal (24 ou 25/12). "),"")&amp;IF(AND(ISNUMBER(C93),COUNTIFS($A$2:$A$301,A93,$C$2:$C$301,C93)&gt;1),"⚠ Nome repetido na mesma data. ","")&amp;IF(AND(ISNUMBER(C93),COUNTIFS(FÉRIAS!$A$2:$A$301,A93,FÉRIAS!$C$2:$C$301,"&lt;="&amp;C93,FÉRIAS!$D$2:$D$301,"&gt;="&amp;C93)&gt;0),IF(D93="TRABALHA","⚠ Está de férias e marcado TRABALHA. ","⚠ Já está de férias nesta data. "),"")&amp;IF(AND(ISNUMBER(C93),COUNTIFS(FOLGAS!$A$2:$A$301,A93,FOLGAS!$C$2:$C$301,C93)&gt;0),IF(D93="FOLGA","⚠ Folga também lançada na aba FOLGAS. ",IF(D93="TRABALHA","⚠ Marcado TRABALHA, mas tem folga na aba FOLGAS. ","")),"")&amp;IF(AND(ISNUMBER(C93),D93="FOLGA",B93&lt;&gt;"",COUNTIFS($B$2:$B$301,B93,$C$2:$C$301,C93,$D$2:$D$301,"TRABALHA")=0),"⚠ Ninguém do setor trabalhando nesta data. ","")))</f>
        <v/>
      </c>
    </row>
    <row r="94" customFormat="false" ht="15" hidden="false" customHeight="true" outlineLevel="0" collapsed="false">
      <c r="A94" s="54"/>
      <c r="B94" s="54"/>
      <c r="C94" s="53"/>
      <c r="D94" s="54"/>
      <c r="E94" s="54"/>
      <c r="F94" s="55" t="str">
        <f aca="false">IF(A94="","",TRIM(IF(NOT(ISNUMBER(C94)),"⚠ Falta a data. ","")&amp;IF(ISNUMBER(C94),IF(AND(MONTH(C94)=12,OR(DAY(C94)=24,DAY(C94)=25)),"","⚠ Data fora do Natal (24 ou 25/12). "),"")&amp;IF(AND(ISNUMBER(C94),COUNTIFS($A$2:$A$301,A94,$C$2:$C$301,C94)&gt;1),"⚠ Nome repetido na mesma data. ","")&amp;IF(AND(ISNUMBER(C94),COUNTIFS(FÉRIAS!$A$2:$A$301,A94,FÉRIAS!$C$2:$C$301,"&lt;="&amp;C94,FÉRIAS!$D$2:$D$301,"&gt;="&amp;C94)&gt;0),IF(D94="TRABALHA","⚠ Está de férias e marcado TRABALHA. ","⚠ Já está de férias nesta data. "),"")&amp;IF(AND(ISNUMBER(C94),COUNTIFS(FOLGAS!$A$2:$A$301,A94,FOLGAS!$C$2:$C$301,C94)&gt;0),IF(D94="FOLGA","⚠ Folga também lançada na aba FOLGAS. ",IF(D94="TRABALHA","⚠ Marcado TRABALHA, mas tem folga na aba FOLGAS. ","")),"")&amp;IF(AND(ISNUMBER(C94),D94="FOLGA",B94&lt;&gt;"",COUNTIFS($B$2:$B$301,B94,$C$2:$C$301,C94,$D$2:$D$301,"TRABALHA")=0),"⚠ Ninguém do setor trabalhando nesta data. ","")))</f>
        <v/>
      </c>
    </row>
    <row r="95" customFormat="false" ht="15" hidden="false" customHeight="true" outlineLevel="0" collapsed="false">
      <c r="A95" s="54"/>
      <c r="B95" s="54"/>
      <c r="C95" s="53"/>
      <c r="D95" s="54"/>
      <c r="E95" s="54"/>
      <c r="F95" s="55" t="str">
        <f aca="false">IF(A95="","",TRIM(IF(NOT(ISNUMBER(C95)),"⚠ Falta a data. ","")&amp;IF(ISNUMBER(C95),IF(AND(MONTH(C95)=12,OR(DAY(C95)=24,DAY(C95)=25)),"","⚠ Data fora do Natal (24 ou 25/12). "),"")&amp;IF(AND(ISNUMBER(C95),COUNTIFS($A$2:$A$301,A95,$C$2:$C$301,C95)&gt;1),"⚠ Nome repetido na mesma data. ","")&amp;IF(AND(ISNUMBER(C95),COUNTIFS(FÉRIAS!$A$2:$A$301,A95,FÉRIAS!$C$2:$C$301,"&lt;="&amp;C95,FÉRIAS!$D$2:$D$301,"&gt;="&amp;C95)&gt;0),IF(D95="TRABALHA","⚠ Está de férias e marcado TRABALHA. ","⚠ Já está de férias nesta data. "),"")&amp;IF(AND(ISNUMBER(C95),COUNTIFS(FOLGAS!$A$2:$A$301,A95,FOLGAS!$C$2:$C$301,C95)&gt;0),IF(D95="FOLGA","⚠ Folga também lançada na aba FOLGAS. ",IF(D95="TRABALHA","⚠ Marcado TRABALHA, mas tem folga na aba FOLGAS. ","")),"")&amp;IF(AND(ISNUMBER(C95),D95="FOLGA",B95&lt;&gt;"",COUNTIFS($B$2:$B$301,B95,$C$2:$C$301,C95,$D$2:$D$301,"TRABALHA")=0),"⚠ Ninguém do setor trabalhando nesta data. ","")))</f>
        <v/>
      </c>
    </row>
    <row r="96" customFormat="false" ht="15" hidden="false" customHeight="true" outlineLevel="0" collapsed="false">
      <c r="A96" s="54"/>
      <c r="B96" s="54"/>
      <c r="C96" s="53"/>
      <c r="D96" s="54"/>
      <c r="E96" s="54"/>
      <c r="F96" s="55" t="str">
        <f aca="false">IF(A96="","",TRIM(IF(NOT(ISNUMBER(C96)),"⚠ Falta a data. ","")&amp;IF(ISNUMBER(C96),IF(AND(MONTH(C96)=12,OR(DAY(C96)=24,DAY(C96)=25)),"","⚠ Data fora do Natal (24 ou 25/12). "),"")&amp;IF(AND(ISNUMBER(C96),COUNTIFS($A$2:$A$301,A96,$C$2:$C$301,C96)&gt;1),"⚠ Nome repetido na mesma data. ","")&amp;IF(AND(ISNUMBER(C96),COUNTIFS(FÉRIAS!$A$2:$A$301,A96,FÉRIAS!$C$2:$C$301,"&lt;="&amp;C96,FÉRIAS!$D$2:$D$301,"&gt;="&amp;C96)&gt;0),IF(D96="TRABALHA","⚠ Está de férias e marcado TRABALHA. ","⚠ Já está de férias nesta data. "),"")&amp;IF(AND(ISNUMBER(C96),COUNTIFS(FOLGAS!$A$2:$A$301,A96,FOLGAS!$C$2:$C$301,C96)&gt;0),IF(D96="FOLGA","⚠ Folga também lançada na aba FOLGAS. ",IF(D96="TRABALHA","⚠ Marcado TRABALHA, mas tem folga na aba FOLGAS. ","")),"")&amp;IF(AND(ISNUMBER(C96),D96="FOLGA",B96&lt;&gt;"",COUNTIFS($B$2:$B$301,B96,$C$2:$C$301,C96,$D$2:$D$301,"TRABALHA")=0),"⚠ Ninguém do setor trabalhando nesta data. ","")))</f>
        <v/>
      </c>
    </row>
    <row r="97" customFormat="false" ht="15" hidden="false" customHeight="true" outlineLevel="0" collapsed="false">
      <c r="A97" s="54"/>
      <c r="B97" s="54"/>
      <c r="C97" s="53"/>
      <c r="D97" s="54"/>
      <c r="E97" s="54"/>
      <c r="F97" s="55" t="str">
        <f aca="false">IF(A97="","",TRIM(IF(NOT(ISNUMBER(C97)),"⚠ Falta a data. ","")&amp;IF(ISNUMBER(C97),IF(AND(MONTH(C97)=12,OR(DAY(C97)=24,DAY(C97)=25)),"","⚠ Data fora do Natal (24 ou 25/12). "),"")&amp;IF(AND(ISNUMBER(C97),COUNTIFS($A$2:$A$301,A97,$C$2:$C$301,C97)&gt;1),"⚠ Nome repetido na mesma data. ","")&amp;IF(AND(ISNUMBER(C97),COUNTIFS(FÉRIAS!$A$2:$A$301,A97,FÉRIAS!$C$2:$C$301,"&lt;="&amp;C97,FÉRIAS!$D$2:$D$301,"&gt;="&amp;C97)&gt;0),IF(D97="TRABALHA","⚠ Está de férias e marcado TRABALHA. ","⚠ Já está de férias nesta data. "),"")&amp;IF(AND(ISNUMBER(C97),COUNTIFS(FOLGAS!$A$2:$A$301,A97,FOLGAS!$C$2:$C$301,C97)&gt;0),IF(D97="FOLGA","⚠ Folga também lançada na aba FOLGAS. ",IF(D97="TRABALHA","⚠ Marcado TRABALHA, mas tem folga na aba FOLGAS. ","")),"")&amp;IF(AND(ISNUMBER(C97),D97="FOLGA",B97&lt;&gt;"",COUNTIFS($B$2:$B$301,B97,$C$2:$C$301,C97,$D$2:$D$301,"TRABALHA")=0),"⚠ Ninguém do setor trabalhando nesta data. ","")))</f>
        <v/>
      </c>
    </row>
    <row r="98" customFormat="false" ht="15" hidden="false" customHeight="true" outlineLevel="0" collapsed="false">
      <c r="A98" s="54"/>
      <c r="B98" s="54"/>
      <c r="C98" s="53"/>
      <c r="D98" s="54"/>
      <c r="E98" s="54"/>
      <c r="F98" s="55" t="str">
        <f aca="false">IF(A98="","",TRIM(IF(NOT(ISNUMBER(C98)),"⚠ Falta a data. ","")&amp;IF(ISNUMBER(C98),IF(AND(MONTH(C98)=12,OR(DAY(C98)=24,DAY(C98)=25)),"","⚠ Data fora do Natal (24 ou 25/12). "),"")&amp;IF(AND(ISNUMBER(C98),COUNTIFS($A$2:$A$301,A98,$C$2:$C$301,C98)&gt;1),"⚠ Nome repetido na mesma data. ","")&amp;IF(AND(ISNUMBER(C98),COUNTIFS(FÉRIAS!$A$2:$A$301,A98,FÉRIAS!$C$2:$C$301,"&lt;="&amp;C98,FÉRIAS!$D$2:$D$301,"&gt;="&amp;C98)&gt;0),IF(D98="TRABALHA","⚠ Está de férias e marcado TRABALHA. ","⚠ Já está de férias nesta data. "),"")&amp;IF(AND(ISNUMBER(C98),COUNTIFS(FOLGAS!$A$2:$A$301,A98,FOLGAS!$C$2:$C$301,C98)&gt;0),IF(D98="FOLGA","⚠ Folga também lançada na aba FOLGAS. ",IF(D98="TRABALHA","⚠ Marcado TRABALHA, mas tem folga na aba FOLGAS. ","")),"")&amp;IF(AND(ISNUMBER(C98),D98="FOLGA",B98&lt;&gt;"",COUNTIFS($B$2:$B$301,B98,$C$2:$C$301,C98,$D$2:$D$301,"TRABALHA")=0),"⚠ Ninguém do setor trabalhando nesta data. ","")))</f>
        <v/>
      </c>
    </row>
    <row r="99" customFormat="false" ht="15" hidden="false" customHeight="true" outlineLevel="0" collapsed="false">
      <c r="A99" s="54"/>
      <c r="B99" s="54"/>
      <c r="C99" s="53"/>
      <c r="D99" s="54"/>
      <c r="E99" s="54"/>
      <c r="F99" s="55" t="str">
        <f aca="false">IF(A99="","",TRIM(IF(NOT(ISNUMBER(C99)),"⚠ Falta a data. ","")&amp;IF(ISNUMBER(C99),IF(AND(MONTH(C99)=12,OR(DAY(C99)=24,DAY(C99)=25)),"","⚠ Data fora do Natal (24 ou 25/12). "),"")&amp;IF(AND(ISNUMBER(C99),COUNTIFS($A$2:$A$301,A99,$C$2:$C$301,C99)&gt;1),"⚠ Nome repetido na mesma data. ","")&amp;IF(AND(ISNUMBER(C99),COUNTIFS(FÉRIAS!$A$2:$A$301,A99,FÉRIAS!$C$2:$C$301,"&lt;="&amp;C99,FÉRIAS!$D$2:$D$301,"&gt;="&amp;C99)&gt;0),IF(D99="TRABALHA","⚠ Está de férias e marcado TRABALHA. ","⚠ Já está de férias nesta data. "),"")&amp;IF(AND(ISNUMBER(C99),COUNTIFS(FOLGAS!$A$2:$A$301,A99,FOLGAS!$C$2:$C$301,C99)&gt;0),IF(D99="FOLGA","⚠ Folga também lançada na aba FOLGAS. ",IF(D99="TRABALHA","⚠ Marcado TRABALHA, mas tem folga na aba FOLGAS. ","")),"")&amp;IF(AND(ISNUMBER(C99),D99="FOLGA",B99&lt;&gt;"",COUNTIFS($B$2:$B$301,B99,$C$2:$C$301,C99,$D$2:$D$301,"TRABALHA")=0),"⚠ Ninguém do setor trabalhando nesta data. ","")))</f>
        <v/>
      </c>
    </row>
    <row r="100" customFormat="false" ht="15" hidden="false" customHeight="true" outlineLevel="0" collapsed="false">
      <c r="A100" s="54"/>
      <c r="B100" s="54"/>
      <c r="C100" s="53"/>
      <c r="D100" s="54"/>
      <c r="E100" s="54"/>
      <c r="F100" s="55" t="str">
        <f aca="false">IF(A100="","",TRIM(IF(NOT(ISNUMBER(C100)),"⚠ Falta a data. ","")&amp;IF(ISNUMBER(C100),IF(AND(MONTH(C100)=12,OR(DAY(C100)=24,DAY(C100)=25)),"","⚠ Data fora do Natal (24 ou 25/12). "),"")&amp;IF(AND(ISNUMBER(C100),COUNTIFS($A$2:$A$301,A100,$C$2:$C$301,C100)&gt;1),"⚠ Nome repetido na mesma data. ","")&amp;IF(AND(ISNUMBER(C100),COUNTIFS(FÉRIAS!$A$2:$A$301,A100,FÉRIAS!$C$2:$C$301,"&lt;="&amp;C100,FÉRIAS!$D$2:$D$301,"&gt;="&amp;C100)&gt;0),IF(D100="TRABALHA","⚠ Está de férias e marcado TRABALHA. ","⚠ Já está de férias nesta data. "),"")&amp;IF(AND(ISNUMBER(C100),COUNTIFS(FOLGAS!$A$2:$A$301,A100,FOLGAS!$C$2:$C$301,C100)&gt;0),IF(D100="FOLGA","⚠ Folga também lançada na aba FOLGAS. ",IF(D100="TRABALHA","⚠ Marcado TRABALHA, mas tem folga na aba FOLGAS. ","")),"")&amp;IF(AND(ISNUMBER(C100),D100="FOLGA",B100&lt;&gt;"",COUNTIFS($B$2:$B$301,B100,$C$2:$C$301,C100,$D$2:$D$301,"TRABALHA")=0),"⚠ Ninguém do setor trabalhando nesta data. ","")))</f>
        <v/>
      </c>
    </row>
    <row r="101" customFormat="false" ht="15" hidden="false" customHeight="true" outlineLevel="0" collapsed="false">
      <c r="A101" s="54"/>
      <c r="B101" s="54"/>
      <c r="C101" s="53"/>
      <c r="D101" s="54"/>
      <c r="E101" s="54"/>
      <c r="F101" s="55" t="str">
        <f aca="false">IF(A101="","",TRIM(IF(NOT(ISNUMBER(C101)),"⚠ Falta a data. ","")&amp;IF(ISNUMBER(C101),IF(AND(MONTH(C101)=12,OR(DAY(C101)=24,DAY(C101)=25)),"","⚠ Data fora do Natal (24 ou 25/12). "),"")&amp;IF(AND(ISNUMBER(C101),COUNTIFS($A$2:$A$301,A101,$C$2:$C$301,C101)&gt;1),"⚠ Nome repetido na mesma data. ","")&amp;IF(AND(ISNUMBER(C101),COUNTIFS(FÉRIAS!$A$2:$A$301,A101,FÉRIAS!$C$2:$C$301,"&lt;="&amp;C101,FÉRIAS!$D$2:$D$301,"&gt;="&amp;C101)&gt;0),IF(D101="TRABALHA","⚠ Está de férias e marcado TRABALHA. ","⚠ Já está de férias nesta data. "),"")&amp;IF(AND(ISNUMBER(C101),COUNTIFS(FOLGAS!$A$2:$A$301,A101,FOLGAS!$C$2:$C$301,C101)&gt;0),IF(D101="FOLGA","⚠ Folga também lançada na aba FOLGAS. ",IF(D101="TRABALHA","⚠ Marcado TRABALHA, mas tem folga na aba FOLGAS. ","")),"")&amp;IF(AND(ISNUMBER(C101),D101="FOLGA",B101&lt;&gt;"",COUNTIFS($B$2:$B$301,B101,$C$2:$C$301,C101,$D$2:$D$301,"TRABALHA")=0),"⚠ Ninguém do setor trabalhando nesta data. ","")))</f>
        <v/>
      </c>
    </row>
    <row r="102" customFormat="false" ht="15" hidden="false" customHeight="true" outlineLevel="0" collapsed="false">
      <c r="A102" s="54"/>
      <c r="B102" s="54"/>
      <c r="C102" s="53"/>
      <c r="D102" s="54"/>
      <c r="E102" s="54"/>
      <c r="F102" s="55" t="str">
        <f aca="false">IF(A102="","",TRIM(IF(NOT(ISNUMBER(C102)),"⚠ Falta a data. ","")&amp;IF(ISNUMBER(C102),IF(AND(MONTH(C102)=12,OR(DAY(C102)=24,DAY(C102)=25)),"","⚠ Data fora do Natal (24 ou 25/12). "),"")&amp;IF(AND(ISNUMBER(C102),COUNTIFS($A$2:$A$301,A102,$C$2:$C$301,C102)&gt;1),"⚠ Nome repetido na mesma data. ","")&amp;IF(AND(ISNUMBER(C102),COUNTIFS(FÉRIAS!$A$2:$A$301,A102,FÉRIAS!$C$2:$C$301,"&lt;="&amp;C102,FÉRIAS!$D$2:$D$301,"&gt;="&amp;C102)&gt;0),IF(D102="TRABALHA","⚠ Está de férias e marcado TRABALHA. ","⚠ Já está de férias nesta data. "),"")&amp;IF(AND(ISNUMBER(C102),COUNTIFS(FOLGAS!$A$2:$A$301,A102,FOLGAS!$C$2:$C$301,C102)&gt;0),IF(D102="FOLGA","⚠ Folga também lançada na aba FOLGAS. ",IF(D102="TRABALHA","⚠ Marcado TRABALHA, mas tem folga na aba FOLGAS. ","")),"")&amp;IF(AND(ISNUMBER(C102),D102="FOLGA",B102&lt;&gt;"",COUNTIFS($B$2:$B$301,B102,$C$2:$C$301,C102,$D$2:$D$301,"TRABALHA")=0),"⚠ Ninguém do setor trabalhando nesta data. ","")))</f>
        <v/>
      </c>
    </row>
    <row r="103" customFormat="false" ht="15" hidden="false" customHeight="true" outlineLevel="0" collapsed="false">
      <c r="A103" s="54"/>
      <c r="B103" s="54"/>
      <c r="C103" s="53"/>
      <c r="D103" s="54"/>
      <c r="E103" s="54"/>
      <c r="F103" s="55" t="str">
        <f aca="false">IF(A103="","",TRIM(IF(NOT(ISNUMBER(C103)),"⚠ Falta a data. ","")&amp;IF(ISNUMBER(C103),IF(AND(MONTH(C103)=12,OR(DAY(C103)=24,DAY(C103)=25)),"","⚠ Data fora do Natal (24 ou 25/12). "),"")&amp;IF(AND(ISNUMBER(C103),COUNTIFS($A$2:$A$301,A103,$C$2:$C$301,C103)&gt;1),"⚠ Nome repetido na mesma data. ","")&amp;IF(AND(ISNUMBER(C103),COUNTIFS(FÉRIAS!$A$2:$A$301,A103,FÉRIAS!$C$2:$C$301,"&lt;="&amp;C103,FÉRIAS!$D$2:$D$301,"&gt;="&amp;C103)&gt;0),IF(D103="TRABALHA","⚠ Está de férias e marcado TRABALHA. ","⚠ Já está de férias nesta data. "),"")&amp;IF(AND(ISNUMBER(C103),COUNTIFS(FOLGAS!$A$2:$A$301,A103,FOLGAS!$C$2:$C$301,C103)&gt;0),IF(D103="FOLGA","⚠ Folga também lançada na aba FOLGAS. ",IF(D103="TRABALHA","⚠ Marcado TRABALHA, mas tem folga na aba FOLGAS. ","")),"")&amp;IF(AND(ISNUMBER(C103),D103="FOLGA",B103&lt;&gt;"",COUNTIFS($B$2:$B$301,B103,$C$2:$C$301,C103,$D$2:$D$301,"TRABALHA")=0),"⚠ Ninguém do setor trabalhando nesta data. ","")))</f>
        <v/>
      </c>
    </row>
    <row r="104" customFormat="false" ht="15" hidden="false" customHeight="true" outlineLevel="0" collapsed="false">
      <c r="A104" s="54"/>
      <c r="B104" s="54"/>
      <c r="C104" s="53"/>
      <c r="D104" s="54"/>
      <c r="E104" s="54"/>
      <c r="F104" s="55" t="str">
        <f aca="false">IF(A104="","",TRIM(IF(NOT(ISNUMBER(C104)),"⚠ Falta a data. ","")&amp;IF(ISNUMBER(C104),IF(AND(MONTH(C104)=12,OR(DAY(C104)=24,DAY(C104)=25)),"","⚠ Data fora do Natal (24 ou 25/12). "),"")&amp;IF(AND(ISNUMBER(C104),COUNTIFS($A$2:$A$301,A104,$C$2:$C$301,C104)&gt;1),"⚠ Nome repetido na mesma data. ","")&amp;IF(AND(ISNUMBER(C104),COUNTIFS(FÉRIAS!$A$2:$A$301,A104,FÉRIAS!$C$2:$C$301,"&lt;="&amp;C104,FÉRIAS!$D$2:$D$301,"&gt;="&amp;C104)&gt;0),IF(D104="TRABALHA","⚠ Está de férias e marcado TRABALHA. ","⚠ Já está de férias nesta data. "),"")&amp;IF(AND(ISNUMBER(C104),COUNTIFS(FOLGAS!$A$2:$A$301,A104,FOLGAS!$C$2:$C$301,C104)&gt;0),IF(D104="FOLGA","⚠ Folga também lançada na aba FOLGAS. ",IF(D104="TRABALHA","⚠ Marcado TRABALHA, mas tem folga na aba FOLGAS. ","")),"")&amp;IF(AND(ISNUMBER(C104),D104="FOLGA",B104&lt;&gt;"",COUNTIFS($B$2:$B$301,B104,$C$2:$C$301,C104,$D$2:$D$301,"TRABALHA")=0),"⚠ Ninguém do setor trabalhando nesta data. ","")))</f>
        <v/>
      </c>
    </row>
    <row r="105" customFormat="false" ht="15" hidden="false" customHeight="true" outlineLevel="0" collapsed="false">
      <c r="A105" s="54"/>
      <c r="B105" s="54"/>
      <c r="C105" s="53"/>
      <c r="D105" s="54"/>
      <c r="E105" s="54"/>
      <c r="F105" s="55" t="str">
        <f aca="false">IF(A105="","",TRIM(IF(NOT(ISNUMBER(C105)),"⚠ Falta a data. ","")&amp;IF(ISNUMBER(C105),IF(AND(MONTH(C105)=12,OR(DAY(C105)=24,DAY(C105)=25)),"","⚠ Data fora do Natal (24 ou 25/12). "),"")&amp;IF(AND(ISNUMBER(C105),COUNTIFS($A$2:$A$301,A105,$C$2:$C$301,C105)&gt;1),"⚠ Nome repetido na mesma data. ","")&amp;IF(AND(ISNUMBER(C105),COUNTIFS(FÉRIAS!$A$2:$A$301,A105,FÉRIAS!$C$2:$C$301,"&lt;="&amp;C105,FÉRIAS!$D$2:$D$301,"&gt;="&amp;C105)&gt;0),IF(D105="TRABALHA","⚠ Está de férias e marcado TRABALHA. ","⚠ Já está de férias nesta data. "),"")&amp;IF(AND(ISNUMBER(C105),COUNTIFS(FOLGAS!$A$2:$A$301,A105,FOLGAS!$C$2:$C$301,C105)&gt;0),IF(D105="FOLGA","⚠ Folga também lançada na aba FOLGAS. ",IF(D105="TRABALHA","⚠ Marcado TRABALHA, mas tem folga na aba FOLGAS. ","")),"")&amp;IF(AND(ISNUMBER(C105),D105="FOLGA",B105&lt;&gt;"",COUNTIFS($B$2:$B$301,B105,$C$2:$C$301,C105,$D$2:$D$301,"TRABALHA")=0),"⚠ Ninguém do setor trabalhando nesta data. ","")))</f>
        <v/>
      </c>
    </row>
    <row r="106" customFormat="false" ht="15" hidden="false" customHeight="true" outlineLevel="0" collapsed="false">
      <c r="A106" s="54"/>
      <c r="B106" s="54"/>
      <c r="C106" s="53"/>
      <c r="D106" s="54"/>
      <c r="E106" s="54"/>
      <c r="F106" s="55" t="str">
        <f aca="false">IF(A106="","",TRIM(IF(NOT(ISNUMBER(C106)),"⚠ Falta a data. ","")&amp;IF(ISNUMBER(C106),IF(AND(MONTH(C106)=12,OR(DAY(C106)=24,DAY(C106)=25)),"","⚠ Data fora do Natal (24 ou 25/12). "),"")&amp;IF(AND(ISNUMBER(C106),COUNTIFS($A$2:$A$301,A106,$C$2:$C$301,C106)&gt;1),"⚠ Nome repetido na mesma data. ","")&amp;IF(AND(ISNUMBER(C106),COUNTIFS(FÉRIAS!$A$2:$A$301,A106,FÉRIAS!$C$2:$C$301,"&lt;="&amp;C106,FÉRIAS!$D$2:$D$301,"&gt;="&amp;C106)&gt;0),IF(D106="TRABALHA","⚠ Está de férias e marcado TRABALHA. ","⚠ Já está de férias nesta data. "),"")&amp;IF(AND(ISNUMBER(C106),COUNTIFS(FOLGAS!$A$2:$A$301,A106,FOLGAS!$C$2:$C$301,C106)&gt;0),IF(D106="FOLGA","⚠ Folga também lançada na aba FOLGAS. ",IF(D106="TRABALHA","⚠ Marcado TRABALHA, mas tem folga na aba FOLGAS. ","")),"")&amp;IF(AND(ISNUMBER(C106),D106="FOLGA",B106&lt;&gt;"",COUNTIFS($B$2:$B$301,B106,$C$2:$C$301,C106,$D$2:$D$301,"TRABALHA")=0),"⚠ Ninguém do setor trabalhando nesta data. ","")))</f>
        <v/>
      </c>
    </row>
    <row r="107" customFormat="false" ht="15" hidden="false" customHeight="true" outlineLevel="0" collapsed="false">
      <c r="A107" s="54"/>
      <c r="B107" s="54"/>
      <c r="C107" s="53"/>
      <c r="D107" s="54"/>
      <c r="E107" s="54"/>
      <c r="F107" s="55" t="str">
        <f aca="false">IF(A107="","",TRIM(IF(NOT(ISNUMBER(C107)),"⚠ Falta a data. ","")&amp;IF(ISNUMBER(C107),IF(AND(MONTH(C107)=12,OR(DAY(C107)=24,DAY(C107)=25)),"","⚠ Data fora do Natal (24 ou 25/12). "),"")&amp;IF(AND(ISNUMBER(C107),COUNTIFS($A$2:$A$301,A107,$C$2:$C$301,C107)&gt;1),"⚠ Nome repetido na mesma data. ","")&amp;IF(AND(ISNUMBER(C107),COUNTIFS(FÉRIAS!$A$2:$A$301,A107,FÉRIAS!$C$2:$C$301,"&lt;="&amp;C107,FÉRIAS!$D$2:$D$301,"&gt;="&amp;C107)&gt;0),IF(D107="TRABALHA","⚠ Está de férias e marcado TRABALHA. ","⚠ Já está de férias nesta data. "),"")&amp;IF(AND(ISNUMBER(C107),COUNTIFS(FOLGAS!$A$2:$A$301,A107,FOLGAS!$C$2:$C$301,C107)&gt;0),IF(D107="FOLGA","⚠ Folga também lançada na aba FOLGAS. ",IF(D107="TRABALHA","⚠ Marcado TRABALHA, mas tem folga na aba FOLGAS. ","")),"")&amp;IF(AND(ISNUMBER(C107),D107="FOLGA",B107&lt;&gt;"",COUNTIFS($B$2:$B$301,B107,$C$2:$C$301,C107,$D$2:$D$301,"TRABALHA")=0),"⚠ Ninguém do setor trabalhando nesta data. ","")))</f>
        <v/>
      </c>
    </row>
    <row r="108" customFormat="false" ht="15" hidden="false" customHeight="true" outlineLevel="0" collapsed="false">
      <c r="A108" s="54"/>
      <c r="B108" s="54"/>
      <c r="C108" s="53"/>
      <c r="D108" s="54"/>
      <c r="E108" s="54"/>
      <c r="F108" s="55" t="str">
        <f aca="false">IF(A108="","",TRIM(IF(NOT(ISNUMBER(C108)),"⚠ Falta a data. ","")&amp;IF(ISNUMBER(C108),IF(AND(MONTH(C108)=12,OR(DAY(C108)=24,DAY(C108)=25)),"","⚠ Data fora do Natal (24 ou 25/12). "),"")&amp;IF(AND(ISNUMBER(C108),COUNTIFS($A$2:$A$301,A108,$C$2:$C$301,C108)&gt;1),"⚠ Nome repetido na mesma data. ","")&amp;IF(AND(ISNUMBER(C108),COUNTIFS(FÉRIAS!$A$2:$A$301,A108,FÉRIAS!$C$2:$C$301,"&lt;="&amp;C108,FÉRIAS!$D$2:$D$301,"&gt;="&amp;C108)&gt;0),IF(D108="TRABALHA","⚠ Está de férias e marcado TRABALHA. ","⚠ Já está de férias nesta data. "),"")&amp;IF(AND(ISNUMBER(C108),COUNTIFS(FOLGAS!$A$2:$A$301,A108,FOLGAS!$C$2:$C$301,C108)&gt;0),IF(D108="FOLGA","⚠ Folga também lançada na aba FOLGAS. ",IF(D108="TRABALHA","⚠ Marcado TRABALHA, mas tem folga na aba FOLGAS. ","")),"")&amp;IF(AND(ISNUMBER(C108),D108="FOLGA",B108&lt;&gt;"",COUNTIFS($B$2:$B$301,B108,$C$2:$C$301,C108,$D$2:$D$301,"TRABALHA")=0),"⚠ Ninguém do setor trabalhando nesta data. ","")))</f>
        <v/>
      </c>
    </row>
    <row r="109" customFormat="false" ht="15" hidden="false" customHeight="true" outlineLevel="0" collapsed="false">
      <c r="A109" s="54"/>
      <c r="B109" s="54"/>
      <c r="C109" s="53"/>
      <c r="D109" s="54"/>
      <c r="E109" s="54"/>
      <c r="F109" s="55" t="str">
        <f aca="false">IF(A109="","",TRIM(IF(NOT(ISNUMBER(C109)),"⚠ Falta a data. ","")&amp;IF(ISNUMBER(C109),IF(AND(MONTH(C109)=12,OR(DAY(C109)=24,DAY(C109)=25)),"","⚠ Data fora do Natal (24 ou 25/12). "),"")&amp;IF(AND(ISNUMBER(C109),COUNTIFS($A$2:$A$301,A109,$C$2:$C$301,C109)&gt;1),"⚠ Nome repetido na mesma data. ","")&amp;IF(AND(ISNUMBER(C109),COUNTIFS(FÉRIAS!$A$2:$A$301,A109,FÉRIAS!$C$2:$C$301,"&lt;="&amp;C109,FÉRIAS!$D$2:$D$301,"&gt;="&amp;C109)&gt;0),IF(D109="TRABALHA","⚠ Está de férias e marcado TRABALHA. ","⚠ Já está de férias nesta data. "),"")&amp;IF(AND(ISNUMBER(C109),COUNTIFS(FOLGAS!$A$2:$A$301,A109,FOLGAS!$C$2:$C$301,C109)&gt;0),IF(D109="FOLGA","⚠ Folga também lançada na aba FOLGAS. ",IF(D109="TRABALHA","⚠ Marcado TRABALHA, mas tem folga na aba FOLGAS. ","")),"")&amp;IF(AND(ISNUMBER(C109),D109="FOLGA",B109&lt;&gt;"",COUNTIFS($B$2:$B$301,B109,$C$2:$C$301,C109,$D$2:$D$301,"TRABALHA")=0),"⚠ Ninguém do setor trabalhando nesta data. ","")))</f>
        <v/>
      </c>
    </row>
    <row r="110" customFormat="false" ht="15" hidden="false" customHeight="true" outlineLevel="0" collapsed="false">
      <c r="A110" s="54"/>
      <c r="B110" s="54"/>
      <c r="C110" s="53"/>
      <c r="D110" s="54"/>
      <c r="E110" s="54"/>
      <c r="F110" s="55" t="str">
        <f aca="false">IF(A110="","",TRIM(IF(NOT(ISNUMBER(C110)),"⚠ Falta a data. ","")&amp;IF(ISNUMBER(C110),IF(AND(MONTH(C110)=12,OR(DAY(C110)=24,DAY(C110)=25)),"","⚠ Data fora do Natal (24 ou 25/12). "),"")&amp;IF(AND(ISNUMBER(C110),COUNTIFS($A$2:$A$301,A110,$C$2:$C$301,C110)&gt;1),"⚠ Nome repetido na mesma data. ","")&amp;IF(AND(ISNUMBER(C110),COUNTIFS(FÉRIAS!$A$2:$A$301,A110,FÉRIAS!$C$2:$C$301,"&lt;="&amp;C110,FÉRIAS!$D$2:$D$301,"&gt;="&amp;C110)&gt;0),IF(D110="TRABALHA","⚠ Está de férias e marcado TRABALHA. ","⚠ Já está de férias nesta data. "),"")&amp;IF(AND(ISNUMBER(C110),COUNTIFS(FOLGAS!$A$2:$A$301,A110,FOLGAS!$C$2:$C$301,C110)&gt;0),IF(D110="FOLGA","⚠ Folga também lançada na aba FOLGAS. ",IF(D110="TRABALHA","⚠ Marcado TRABALHA, mas tem folga na aba FOLGAS. ","")),"")&amp;IF(AND(ISNUMBER(C110),D110="FOLGA",B110&lt;&gt;"",COUNTIFS($B$2:$B$301,B110,$C$2:$C$301,C110,$D$2:$D$301,"TRABALHA")=0),"⚠ Ninguém do setor trabalhando nesta data. ","")))</f>
        <v/>
      </c>
    </row>
    <row r="111" customFormat="false" ht="15" hidden="false" customHeight="true" outlineLevel="0" collapsed="false">
      <c r="A111" s="54"/>
      <c r="B111" s="54"/>
      <c r="C111" s="53"/>
      <c r="D111" s="54"/>
      <c r="E111" s="54"/>
      <c r="F111" s="55" t="str">
        <f aca="false">IF(A111="","",TRIM(IF(NOT(ISNUMBER(C111)),"⚠ Falta a data. ","")&amp;IF(ISNUMBER(C111),IF(AND(MONTH(C111)=12,OR(DAY(C111)=24,DAY(C111)=25)),"","⚠ Data fora do Natal (24 ou 25/12). "),"")&amp;IF(AND(ISNUMBER(C111),COUNTIFS($A$2:$A$301,A111,$C$2:$C$301,C111)&gt;1),"⚠ Nome repetido na mesma data. ","")&amp;IF(AND(ISNUMBER(C111),COUNTIFS(FÉRIAS!$A$2:$A$301,A111,FÉRIAS!$C$2:$C$301,"&lt;="&amp;C111,FÉRIAS!$D$2:$D$301,"&gt;="&amp;C111)&gt;0),IF(D111="TRABALHA","⚠ Está de férias e marcado TRABALHA. ","⚠ Já está de férias nesta data. "),"")&amp;IF(AND(ISNUMBER(C111),COUNTIFS(FOLGAS!$A$2:$A$301,A111,FOLGAS!$C$2:$C$301,C111)&gt;0),IF(D111="FOLGA","⚠ Folga também lançada na aba FOLGAS. ",IF(D111="TRABALHA","⚠ Marcado TRABALHA, mas tem folga na aba FOLGAS. ","")),"")&amp;IF(AND(ISNUMBER(C111),D111="FOLGA",B111&lt;&gt;"",COUNTIFS($B$2:$B$301,B111,$C$2:$C$301,C111,$D$2:$D$301,"TRABALHA")=0),"⚠ Ninguém do setor trabalhando nesta data. ","")))</f>
        <v/>
      </c>
    </row>
    <row r="112" customFormat="false" ht="15" hidden="false" customHeight="true" outlineLevel="0" collapsed="false">
      <c r="A112" s="54"/>
      <c r="B112" s="54"/>
      <c r="C112" s="53"/>
      <c r="D112" s="54"/>
      <c r="E112" s="54"/>
      <c r="F112" s="55" t="str">
        <f aca="false">IF(A112="","",TRIM(IF(NOT(ISNUMBER(C112)),"⚠ Falta a data. ","")&amp;IF(ISNUMBER(C112),IF(AND(MONTH(C112)=12,OR(DAY(C112)=24,DAY(C112)=25)),"","⚠ Data fora do Natal (24 ou 25/12). "),"")&amp;IF(AND(ISNUMBER(C112),COUNTIFS($A$2:$A$301,A112,$C$2:$C$301,C112)&gt;1),"⚠ Nome repetido na mesma data. ","")&amp;IF(AND(ISNUMBER(C112),COUNTIFS(FÉRIAS!$A$2:$A$301,A112,FÉRIAS!$C$2:$C$301,"&lt;="&amp;C112,FÉRIAS!$D$2:$D$301,"&gt;="&amp;C112)&gt;0),IF(D112="TRABALHA","⚠ Está de férias e marcado TRABALHA. ","⚠ Já está de férias nesta data. "),"")&amp;IF(AND(ISNUMBER(C112),COUNTIFS(FOLGAS!$A$2:$A$301,A112,FOLGAS!$C$2:$C$301,C112)&gt;0),IF(D112="FOLGA","⚠ Folga também lançada na aba FOLGAS. ",IF(D112="TRABALHA","⚠ Marcado TRABALHA, mas tem folga na aba FOLGAS. ","")),"")&amp;IF(AND(ISNUMBER(C112),D112="FOLGA",B112&lt;&gt;"",COUNTIFS($B$2:$B$301,B112,$C$2:$C$301,C112,$D$2:$D$301,"TRABALHA")=0),"⚠ Ninguém do setor trabalhando nesta data. ","")))</f>
        <v/>
      </c>
    </row>
    <row r="113" customFormat="false" ht="15" hidden="false" customHeight="true" outlineLevel="0" collapsed="false">
      <c r="A113" s="54"/>
      <c r="B113" s="54"/>
      <c r="C113" s="53"/>
      <c r="D113" s="54"/>
      <c r="E113" s="54"/>
      <c r="F113" s="55" t="str">
        <f aca="false">IF(A113="","",TRIM(IF(NOT(ISNUMBER(C113)),"⚠ Falta a data. ","")&amp;IF(ISNUMBER(C113),IF(AND(MONTH(C113)=12,OR(DAY(C113)=24,DAY(C113)=25)),"","⚠ Data fora do Natal (24 ou 25/12). "),"")&amp;IF(AND(ISNUMBER(C113),COUNTIFS($A$2:$A$301,A113,$C$2:$C$301,C113)&gt;1),"⚠ Nome repetido na mesma data. ","")&amp;IF(AND(ISNUMBER(C113),COUNTIFS(FÉRIAS!$A$2:$A$301,A113,FÉRIAS!$C$2:$C$301,"&lt;="&amp;C113,FÉRIAS!$D$2:$D$301,"&gt;="&amp;C113)&gt;0),IF(D113="TRABALHA","⚠ Está de férias e marcado TRABALHA. ","⚠ Já está de férias nesta data. "),"")&amp;IF(AND(ISNUMBER(C113),COUNTIFS(FOLGAS!$A$2:$A$301,A113,FOLGAS!$C$2:$C$301,C113)&gt;0),IF(D113="FOLGA","⚠ Folga também lançada na aba FOLGAS. ",IF(D113="TRABALHA","⚠ Marcado TRABALHA, mas tem folga na aba FOLGAS. ","")),"")&amp;IF(AND(ISNUMBER(C113),D113="FOLGA",B113&lt;&gt;"",COUNTIFS($B$2:$B$301,B113,$C$2:$C$301,C113,$D$2:$D$301,"TRABALHA")=0),"⚠ Ninguém do setor trabalhando nesta data. ","")))</f>
        <v/>
      </c>
    </row>
    <row r="114" customFormat="false" ht="15" hidden="false" customHeight="true" outlineLevel="0" collapsed="false">
      <c r="A114" s="54"/>
      <c r="B114" s="54"/>
      <c r="C114" s="53"/>
      <c r="D114" s="54"/>
      <c r="E114" s="54"/>
      <c r="F114" s="55" t="str">
        <f aca="false">IF(A114="","",TRIM(IF(NOT(ISNUMBER(C114)),"⚠ Falta a data. ","")&amp;IF(ISNUMBER(C114),IF(AND(MONTH(C114)=12,OR(DAY(C114)=24,DAY(C114)=25)),"","⚠ Data fora do Natal (24 ou 25/12). "),"")&amp;IF(AND(ISNUMBER(C114),COUNTIFS($A$2:$A$301,A114,$C$2:$C$301,C114)&gt;1),"⚠ Nome repetido na mesma data. ","")&amp;IF(AND(ISNUMBER(C114),COUNTIFS(FÉRIAS!$A$2:$A$301,A114,FÉRIAS!$C$2:$C$301,"&lt;="&amp;C114,FÉRIAS!$D$2:$D$301,"&gt;="&amp;C114)&gt;0),IF(D114="TRABALHA","⚠ Está de férias e marcado TRABALHA. ","⚠ Já está de férias nesta data. "),"")&amp;IF(AND(ISNUMBER(C114),COUNTIFS(FOLGAS!$A$2:$A$301,A114,FOLGAS!$C$2:$C$301,C114)&gt;0),IF(D114="FOLGA","⚠ Folga também lançada na aba FOLGAS. ",IF(D114="TRABALHA","⚠ Marcado TRABALHA, mas tem folga na aba FOLGAS. ","")),"")&amp;IF(AND(ISNUMBER(C114),D114="FOLGA",B114&lt;&gt;"",COUNTIFS($B$2:$B$301,B114,$C$2:$C$301,C114,$D$2:$D$301,"TRABALHA")=0),"⚠ Ninguém do setor trabalhando nesta data. ","")))</f>
        <v/>
      </c>
    </row>
    <row r="115" customFormat="false" ht="15" hidden="false" customHeight="true" outlineLevel="0" collapsed="false">
      <c r="A115" s="54"/>
      <c r="B115" s="54"/>
      <c r="C115" s="53"/>
      <c r="D115" s="54"/>
      <c r="E115" s="54"/>
      <c r="F115" s="55" t="str">
        <f aca="false">IF(A115="","",TRIM(IF(NOT(ISNUMBER(C115)),"⚠ Falta a data. ","")&amp;IF(ISNUMBER(C115),IF(AND(MONTH(C115)=12,OR(DAY(C115)=24,DAY(C115)=25)),"","⚠ Data fora do Natal (24 ou 25/12). "),"")&amp;IF(AND(ISNUMBER(C115),COUNTIFS($A$2:$A$301,A115,$C$2:$C$301,C115)&gt;1),"⚠ Nome repetido na mesma data. ","")&amp;IF(AND(ISNUMBER(C115),COUNTIFS(FÉRIAS!$A$2:$A$301,A115,FÉRIAS!$C$2:$C$301,"&lt;="&amp;C115,FÉRIAS!$D$2:$D$301,"&gt;="&amp;C115)&gt;0),IF(D115="TRABALHA","⚠ Está de férias e marcado TRABALHA. ","⚠ Já está de férias nesta data. "),"")&amp;IF(AND(ISNUMBER(C115),COUNTIFS(FOLGAS!$A$2:$A$301,A115,FOLGAS!$C$2:$C$301,C115)&gt;0),IF(D115="FOLGA","⚠ Folga também lançada na aba FOLGAS. ",IF(D115="TRABALHA","⚠ Marcado TRABALHA, mas tem folga na aba FOLGAS. ","")),"")&amp;IF(AND(ISNUMBER(C115),D115="FOLGA",B115&lt;&gt;"",COUNTIFS($B$2:$B$301,B115,$C$2:$C$301,C115,$D$2:$D$301,"TRABALHA")=0),"⚠ Ninguém do setor trabalhando nesta data. ","")))</f>
        <v/>
      </c>
    </row>
    <row r="116" customFormat="false" ht="15" hidden="false" customHeight="true" outlineLevel="0" collapsed="false">
      <c r="A116" s="54"/>
      <c r="B116" s="54"/>
      <c r="C116" s="53"/>
      <c r="D116" s="54"/>
      <c r="E116" s="54"/>
      <c r="F116" s="55" t="str">
        <f aca="false">IF(A116="","",TRIM(IF(NOT(ISNUMBER(C116)),"⚠ Falta a data. ","")&amp;IF(ISNUMBER(C116),IF(AND(MONTH(C116)=12,OR(DAY(C116)=24,DAY(C116)=25)),"","⚠ Data fora do Natal (24 ou 25/12). "),"")&amp;IF(AND(ISNUMBER(C116),COUNTIFS($A$2:$A$301,A116,$C$2:$C$301,C116)&gt;1),"⚠ Nome repetido na mesma data. ","")&amp;IF(AND(ISNUMBER(C116),COUNTIFS(FÉRIAS!$A$2:$A$301,A116,FÉRIAS!$C$2:$C$301,"&lt;="&amp;C116,FÉRIAS!$D$2:$D$301,"&gt;="&amp;C116)&gt;0),IF(D116="TRABALHA","⚠ Está de férias e marcado TRABALHA. ","⚠ Já está de férias nesta data. "),"")&amp;IF(AND(ISNUMBER(C116),COUNTIFS(FOLGAS!$A$2:$A$301,A116,FOLGAS!$C$2:$C$301,C116)&gt;0),IF(D116="FOLGA","⚠ Folga também lançada na aba FOLGAS. ",IF(D116="TRABALHA","⚠ Marcado TRABALHA, mas tem folga na aba FOLGAS. ","")),"")&amp;IF(AND(ISNUMBER(C116),D116="FOLGA",B116&lt;&gt;"",COUNTIFS($B$2:$B$301,B116,$C$2:$C$301,C116,$D$2:$D$301,"TRABALHA")=0),"⚠ Ninguém do setor trabalhando nesta data. ","")))</f>
        <v/>
      </c>
    </row>
    <row r="117" customFormat="false" ht="15" hidden="false" customHeight="true" outlineLevel="0" collapsed="false">
      <c r="A117" s="54"/>
      <c r="B117" s="54"/>
      <c r="C117" s="53"/>
      <c r="D117" s="54"/>
      <c r="E117" s="54"/>
      <c r="F117" s="55" t="str">
        <f aca="false">IF(A117="","",TRIM(IF(NOT(ISNUMBER(C117)),"⚠ Falta a data. ","")&amp;IF(ISNUMBER(C117),IF(AND(MONTH(C117)=12,OR(DAY(C117)=24,DAY(C117)=25)),"","⚠ Data fora do Natal (24 ou 25/12). "),"")&amp;IF(AND(ISNUMBER(C117),COUNTIFS($A$2:$A$301,A117,$C$2:$C$301,C117)&gt;1),"⚠ Nome repetido na mesma data. ","")&amp;IF(AND(ISNUMBER(C117),COUNTIFS(FÉRIAS!$A$2:$A$301,A117,FÉRIAS!$C$2:$C$301,"&lt;="&amp;C117,FÉRIAS!$D$2:$D$301,"&gt;="&amp;C117)&gt;0),IF(D117="TRABALHA","⚠ Está de férias e marcado TRABALHA. ","⚠ Já está de férias nesta data. "),"")&amp;IF(AND(ISNUMBER(C117),COUNTIFS(FOLGAS!$A$2:$A$301,A117,FOLGAS!$C$2:$C$301,C117)&gt;0),IF(D117="FOLGA","⚠ Folga também lançada na aba FOLGAS. ",IF(D117="TRABALHA","⚠ Marcado TRABALHA, mas tem folga na aba FOLGAS. ","")),"")&amp;IF(AND(ISNUMBER(C117),D117="FOLGA",B117&lt;&gt;"",COUNTIFS($B$2:$B$301,B117,$C$2:$C$301,C117,$D$2:$D$301,"TRABALHA")=0),"⚠ Ninguém do setor trabalhando nesta data. ","")))</f>
        <v/>
      </c>
    </row>
    <row r="118" customFormat="false" ht="15" hidden="false" customHeight="true" outlineLevel="0" collapsed="false">
      <c r="A118" s="54"/>
      <c r="B118" s="54"/>
      <c r="C118" s="53"/>
      <c r="D118" s="54"/>
      <c r="E118" s="54"/>
      <c r="F118" s="55" t="str">
        <f aca="false">IF(A118="","",TRIM(IF(NOT(ISNUMBER(C118)),"⚠ Falta a data. ","")&amp;IF(ISNUMBER(C118),IF(AND(MONTH(C118)=12,OR(DAY(C118)=24,DAY(C118)=25)),"","⚠ Data fora do Natal (24 ou 25/12). "),"")&amp;IF(AND(ISNUMBER(C118),COUNTIFS($A$2:$A$301,A118,$C$2:$C$301,C118)&gt;1),"⚠ Nome repetido na mesma data. ","")&amp;IF(AND(ISNUMBER(C118),COUNTIFS(FÉRIAS!$A$2:$A$301,A118,FÉRIAS!$C$2:$C$301,"&lt;="&amp;C118,FÉRIAS!$D$2:$D$301,"&gt;="&amp;C118)&gt;0),IF(D118="TRABALHA","⚠ Está de férias e marcado TRABALHA. ","⚠ Já está de férias nesta data. "),"")&amp;IF(AND(ISNUMBER(C118),COUNTIFS(FOLGAS!$A$2:$A$301,A118,FOLGAS!$C$2:$C$301,C118)&gt;0),IF(D118="FOLGA","⚠ Folga também lançada na aba FOLGAS. ",IF(D118="TRABALHA","⚠ Marcado TRABALHA, mas tem folga na aba FOLGAS. ","")),"")&amp;IF(AND(ISNUMBER(C118),D118="FOLGA",B118&lt;&gt;"",COUNTIFS($B$2:$B$301,B118,$C$2:$C$301,C118,$D$2:$D$301,"TRABALHA")=0),"⚠ Ninguém do setor trabalhando nesta data. ","")))</f>
        <v/>
      </c>
    </row>
    <row r="119" customFormat="false" ht="15" hidden="false" customHeight="true" outlineLevel="0" collapsed="false">
      <c r="A119" s="54"/>
      <c r="B119" s="54"/>
      <c r="C119" s="53"/>
      <c r="D119" s="54"/>
      <c r="E119" s="54"/>
      <c r="F119" s="55" t="str">
        <f aca="false">IF(A119="","",TRIM(IF(NOT(ISNUMBER(C119)),"⚠ Falta a data. ","")&amp;IF(ISNUMBER(C119),IF(AND(MONTH(C119)=12,OR(DAY(C119)=24,DAY(C119)=25)),"","⚠ Data fora do Natal (24 ou 25/12). "),"")&amp;IF(AND(ISNUMBER(C119),COUNTIFS($A$2:$A$301,A119,$C$2:$C$301,C119)&gt;1),"⚠ Nome repetido na mesma data. ","")&amp;IF(AND(ISNUMBER(C119),COUNTIFS(FÉRIAS!$A$2:$A$301,A119,FÉRIAS!$C$2:$C$301,"&lt;="&amp;C119,FÉRIAS!$D$2:$D$301,"&gt;="&amp;C119)&gt;0),IF(D119="TRABALHA","⚠ Está de férias e marcado TRABALHA. ","⚠ Já está de férias nesta data. "),"")&amp;IF(AND(ISNUMBER(C119),COUNTIFS(FOLGAS!$A$2:$A$301,A119,FOLGAS!$C$2:$C$301,C119)&gt;0),IF(D119="FOLGA","⚠ Folga também lançada na aba FOLGAS. ",IF(D119="TRABALHA","⚠ Marcado TRABALHA, mas tem folga na aba FOLGAS. ","")),"")&amp;IF(AND(ISNUMBER(C119),D119="FOLGA",B119&lt;&gt;"",COUNTIFS($B$2:$B$301,B119,$C$2:$C$301,C119,$D$2:$D$301,"TRABALHA")=0),"⚠ Ninguém do setor trabalhando nesta data. ","")))</f>
        <v/>
      </c>
    </row>
    <row r="120" customFormat="false" ht="15" hidden="false" customHeight="true" outlineLevel="0" collapsed="false">
      <c r="A120" s="54"/>
      <c r="B120" s="54"/>
      <c r="C120" s="53"/>
      <c r="D120" s="54"/>
      <c r="E120" s="54"/>
      <c r="F120" s="55" t="str">
        <f aca="false">IF(A120="","",TRIM(IF(NOT(ISNUMBER(C120)),"⚠ Falta a data. ","")&amp;IF(ISNUMBER(C120),IF(AND(MONTH(C120)=12,OR(DAY(C120)=24,DAY(C120)=25)),"","⚠ Data fora do Natal (24 ou 25/12). "),"")&amp;IF(AND(ISNUMBER(C120),COUNTIFS($A$2:$A$301,A120,$C$2:$C$301,C120)&gt;1),"⚠ Nome repetido na mesma data. ","")&amp;IF(AND(ISNUMBER(C120),COUNTIFS(FÉRIAS!$A$2:$A$301,A120,FÉRIAS!$C$2:$C$301,"&lt;="&amp;C120,FÉRIAS!$D$2:$D$301,"&gt;="&amp;C120)&gt;0),IF(D120="TRABALHA","⚠ Está de férias e marcado TRABALHA. ","⚠ Já está de férias nesta data. "),"")&amp;IF(AND(ISNUMBER(C120),COUNTIFS(FOLGAS!$A$2:$A$301,A120,FOLGAS!$C$2:$C$301,C120)&gt;0),IF(D120="FOLGA","⚠ Folga também lançada na aba FOLGAS. ",IF(D120="TRABALHA","⚠ Marcado TRABALHA, mas tem folga na aba FOLGAS. ","")),"")&amp;IF(AND(ISNUMBER(C120),D120="FOLGA",B120&lt;&gt;"",COUNTIFS($B$2:$B$301,B120,$C$2:$C$301,C120,$D$2:$D$301,"TRABALHA")=0),"⚠ Ninguém do setor trabalhando nesta data. ","")))</f>
        <v/>
      </c>
    </row>
    <row r="121" customFormat="false" ht="15" hidden="false" customHeight="true" outlineLevel="0" collapsed="false">
      <c r="A121" s="54"/>
      <c r="B121" s="54"/>
      <c r="C121" s="53"/>
      <c r="D121" s="54"/>
      <c r="E121" s="54"/>
      <c r="F121" s="55" t="str">
        <f aca="false">IF(A121="","",TRIM(IF(NOT(ISNUMBER(C121)),"⚠ Falta a data. ","")&amp;IF(ISNUMBER(C121),IF(AND(MONTH(C121)=12,OR(DAY(C121)=24,DAY(C121)=25)),"","⚠ Data fora do Natal (24 ou 25/12). "),"")&amp;IF(AND(ISNUMBER(C121),COUNTIFS($A$2:$A$301,A121,$C$2:$C$301,C121)&gt;1),"⚠ Nome repetido na mesma data. ","")&amp;IF(AND(ISNUMBER(C121),COUNTIFS(FÉRIAS!$A$2:$A$301,A121,FÉRIAS!$C$2:$C$301,"&lt;="&amp;C121,FÉRIAS!$D$2:$D$301,"&gt;="&amp;C121)&gt;0),IF(D121="TRABALHA","⚠ Está de férias e marcado TRABALHA. ","⚠ Já está de férias nesta data. "),"")&amp;IF(AND(ISNUMBER(C121),COUNTIFS(FOLGAS!$A$2:$A$301,A121,FOLGAS!$C$2:$C$301,C121)&gt;0),IF(D121="FOLGA","⚠ Folga também lançada na aba FOLGAS. ",IF(D121="TRABALHA","⚠ Marcado TRABALHA, mas tem folga na aba FOLGAS. ","")),"")&amp;IF(AND(ISNUMBER(C121),D121="FOLGA",B121&lt;&gt;"",COUNTIFS($B$2:$B$301,B121,$C$2:$C$301,C121,$D$2:$D$301,"TRABALHA")=0),"⚠ Ninguém do setor trabalhando nesta data. ","")))</f>
        <v/>
      </c>
    </row>
    <row r="122" customFormat="false" ht="15" hidden="false" customHeight="true" outlineLevel="0" collapsed="false">
      <c r="A122" s="54"/>
      <c r="B122" s="54"/>
      <c r="C122" s="53"/>
      <c r="D122" s="54"/>
      <c r="E122" s="54"/>
      <c r="F122" s="55" t="str">
        <f aca="false">IF(A122="","",TRIM(IF(NOT(ISNUMBER(C122)),"⚠ Falta a data. ","")&amp;IF(ISNUMBER(C122),IF(AND(MONTH(C122)=12,OR(DAY(C122)=24,DAY(C122)=25)),"","⚠ Data fora do Natal (24 ou 25/12). "),"")&amp;IF(AND(ISNUMBER(C122),COUNTIFS($A$2:$A$301,A122,$C$2:$C$301,C122)&gt;1),"⚠ Nome repetido na mesma data. ","")&amp;IF(AND(ISNUMBER(C122),COUNTIFS(FÉRIAS!$A$2:$A$301,A122,FÉRIAS!$C$2:$C$301,"&lt;="&amp;C122,FÉRIAS!$D$2:$D$301,"&gt;="&amp;C122)&gt;0),IF(D122="TRABALHA","⚠ Está de férias e marcado TRABALHA. ","⚠ Já está de férias nesta data. "),"")&amp;IF(AND(ISNUMBER(C122),COUNTIFS(FOLGAS!$A$2:$A$301,A122,FOLGAS!$C$2:$C$301,C122)&gt;0),IF(D122="FOLGA","⚠ Folga também lançada na aba FOLGAS. ",IF(D122="TRABALHA","⚠ Marcado TRABALHA, mas tem folga na aba FOLGAS. ","")),"")&amp;IF(AND(ISNUMBER(C122),D122="FOLGA",B122&lt;&gt;"",COUNTIFS($B$2:$B$301,B122,$C$2:$C$301,C122,$D$2:$D$301,"TRABALHA")=0),"⚠ Ninguém do setor trabalhando nesta data. ","")))</f>
        <v/>
      </c>
    </row>
    <row r="123" customFormat="false" ht="15" hidden="false" customHeight="true" outlineLevel="0" collapsed="false">
      <c r="A123" s="54"/>
      <c r="B123" s="54"/>
      <c r="C123" s="53"/>
      <c r="D123" s="54"/>
      <c r="E123" s="54"/>
      <c r="F123" s="55" t="str">
        <f aca="false">IF(A123="","",TRIM(IF(NOT(ISNUMBER(C123)),"⚠ Falta a data. ","")&amp;IF(ISNUMBER(C123),IF(AND(MONTH(C123)=12,OR(DAY(C123)=24,DAY(C123)=25)),"","⚠ Data fora do Natal (24 ou 25/12). "),"")&amp;IF(AND(ISNUMBER(C123),COUNTIFS($A$2:$A$301,A123,$C$2:$C$301,C123)&gt;1),"⚠ Nome repetido na mesma data. ","")&amp;IF(AND(ISNUMBER(C123),COUNTIFS(FÉRIAS!$A$2:$A$301,A123,FÉRIAS!$C$2:$C$301,"&lt;="&amp;C123,FÉRIAS!$D$2:$D$301,"&gt;="&amp;C123)&gt;0),IF(D123="TRABALHA","⚠ Está de férias e marcado TRABALHA. ","⚠ Já está de férias nesta data. "),"")&amp;IF(AND(ISNUMBER(C123),COUNTIFS(FOLGAS!$A$2:$A$301,A123,FOLGAS!$C$2:$C$301,C123)&gt;0),IF(D123="FOLGA","⚠ Folga também lançada na aba FOLGAS. ",IF(D123="TRABALHA","⚠ Marcado TRABALHA, mas tem folga na aba FOLGAS. ","")),"")&amp;IF(AND(ISNUMBER(C123),D123="FOLGA",B123&lt;&gt;"",COUNTIFS($B$2:$B$301,B123,$C$2:$C$301,C123,$D$2:$D$301,"TRABALHA")=0),"⚠ Ninguém do setor trabalhando nesta data. ","")))</f>
        <v/>
      </c>
    </row>
    <row r="124" customFormat="false" ht="15" hidden="false" customHeight="true" outlineLevel="0" collapsed="false">
      <c r="A124" s="54"/>
      <c r="B124" s="54"/>
      <c r="C124" s="53"/>
      <c r="D124" s="54"/>
      <c r="E124" s="54"/>
      <c r="F124" s="55" t="str">
        <f aca="false">IF(A124="","",TRIM(IF(NOT(ISNUMBER(C124)),"⚠ Falta a data. ","")&amp;IF(ISNUMBER(C124),IF(AND(MONTH(C124)=12,OR(DAY(C124)=24,DAY(C124)=25)),"","⚠ Data fora do Natal (24 ou 25/12). "),"")&amp;IF(AND(ISNUMBER(C124),COUNTIFS($A$2:$A$301,A124,$C$2:$C$301,C124)&gt;1),"⚠ Nome repetido na mesma data. ","")&amp;IF(AND(ISNUMBER(C124),COUNTIFS(FÉRIAS!$A$2:$A$301,A124,FÉRIAS!$C$2:$C$301,"&lt;="&amp;C124,FÉRIAS!$D$2:$D$301,"&gt;="&amp;C124)&gt;0),IF(D124="TRABALHA","⚠ Está de férias e marcado TRABALHA. ","⚠ Já está de férias nesta data. "),"")&amp;IF(AND(ISNUMBER(C124),COUNTIFS(FOLGAS!$A$2:$A$301,A124,FOLGAS!$C$2:$C$301,C124)&gt;0),IF(D124="FOLGA","⚠ Folga também lançada na aba FOLGAS. ",IF(D124="TRABALHA","⚠ Marcado TRABALHA, mas tem folga na aba FOLGAS. ","")),"")&amp;IF(AND(ISNUMBER(C124),D124="FOLGA",B124&lt;&gt;"",COUNTIFS($B$2:$B$301,B124,$C$2:$C$301,C124,$D$2:$D$301,"TRABALHA")=0),"⚠ Ninguém do setor trabalhando nesta data. ","")))</f>
        <v/>
      </c>
    </row>
    <row r="125" customFormat="false" ht="15" hidden="false" customHeight="true" outlineLevel="0" collapsed="false">
      <c r="A125" s="54"/>
      <c r="B125" s="54"/>
      <c r="C125" s="53"/>
      <c r="D125" s="54"/>
      <c r="E125" s="54"/>
      <c r="F125" s="55" t="str">
        <f aca="false">IF(A125="","",TRIM(IF(NOT(ISNUMBER(C125)),"⚠ Falta a data. ","")&amp;IF(ISNUMBER(C125),IF(AND(MONTH(C125)=12,OR(DAY(C125)=24,DAY(C125)=25)),"","⚠ Data fora do Natal (24 ou 25/12). "),"")&amp;IF(AND(ISNUMBER(C125),COUNTIFS($A$2:$A$301,A125,$C$2:$C$301,C125)&gt;1),"⚠ Nome repetido na mesma data. ","")&amp;IF(AND(ISNUMBER(C125),COUNTIFS(FÉRIAS!$A$2:$A$301,A125,FÉRIAS!$C$2:$C$301,"&lt;="&amp;C125,FÉRIAS!$D$2:$D$301,"&gt;="&amp;C125)&gt;0),IF(D125="TRABALHA","⚠ Está de férias e marcado TRABALHA. ","⚠ Já está de férias nesta data. "),"")&amp;IF(AND(ISNUMBER(C125),COUNTIFS(FOLGAS!$A$2:$A$301,A125,FOLGAS!$C$2:$C$301,C125)&gt;0),IF(D125="FOLGA","⚠ Folga também lançada na aba FOLGAS. ",IF(D125="TRABALHA","⚠ Marcado TRABALHA, mas tem folga na aba FOLGAS. ","")),"")&amp;IF(AND(ISNUMBER(C125),D125="FOLGA",B125&lt;&gt;"",COUNTIFS($B$2:$B$301,B125,$C$2:$C$301,C125,$D$2:$D$301,"TRABALHA")=0),"⚠ Ninguém do setor trabalhando nesta data. ","")))</f>
        <v/>
      </c>
    </row>
    <row r="126" customFormat="false" ht="15" hidden="false" customHeight="true" outlineLevel="0" collapsed="false">
      <c r="A126" s="54"/>
      <c r="B126" s="54"/>
      <c r="C126" s="53"/>
      <c r="D126" s="54"/>
      <c r="E126" s="54"/>
      <c r="F126" s="55" t="str">
        <f aca="false">IF(A126="","",TRIM(IF(NOT(ISNUMBER(C126)),"⚠ Falta a data. ","")&amp;IF(ISNUMBER(C126),IF(AND(MONTH(C126)=12,OR(DAY(C126)=24,DAY(C126)=25)),"","⚠ Data fora do Natal (24 ou 25/12). "),"")&amp;IF(AND(ISNUMBER(C126),COUNTIFS($A$2:$A$301,A126,$C$2:$C$301,C126)&gt;1),"⚠ Nome repetido na mesma data. ","")&amp;IF(AND(ISNUMBER(C126),COUNTIFS(FÉRIAS!$A$2:$A$301,A126,FÉRIAS!$C$2:$C$301,"&lt;="&amp;C126,FÉRIAS!$D$2:$D$301,"&gt;="&amp;C126)&gt;0),IF(D126="TRABALHA","⚠ Está de férias e marcado TRABALHA. ","⚠ Já está de férias nesta data. "),"")&amp;IF(AND(ISNUMBER(C126),COUNTIFS(FOLGAS!$A$2:$A$301,A126,FOLGAS!$C$2:$C$301,C126)&gt;0),IF(D126="FOLGA","⚠ Folga também lançada na aba FOLGAS. ",IF(D126="TRABALHA","⚠ Marcado TRABALHA, mas tem folga na aba FOLGAS. ","")),"")&amp;IF(AND(ISNUMBER(C126),D126="FOLGA",B126&lt;&gt;"",COUNTIFS($B$2:$B$301,B126,$C$2:$C$301,C126,$D$2:$D$301,"TRABALHA")=0),"⚠ Ninguém do setor trabalhando nesta data. ","")))</f>
        <v/>
      </c>
    </row>
    <row r="127" customFormat="false" ht="15" hidden="false" customHeight="true" outlineLevel="0" collapsed="false">
      <c r="A127" s="54"/>
      <c r="B127" s="54"/>
      <c r="C127" s="53"/>
      <c r="D127" s="54"/>
      <c r="E127" s="54"/>
      <c r="F127" s="55" t="str">
        <f aca="false">IF(A127="","",TRIM(IF(NOT(ISNUMBER(C127)),"⚠ Falta a data. ","")&amp;IF(ISNUMBER(C127),IF(AND(MONTH(C127)=12,OR(DAY(C127)=24,DAY(C127)=25)),"","⚠ Data fora do Natal (24 ou 25/12). "),"")&amp;IF(AND(ISNUMBER(C127),COUNTIFS($A$2:$A$301,A127,$C$2:$C$301,C127)&gt;1),"⚠ Nome repetido na mesma data. ","")&amp;IF(AND(ISNUMBER(C127),COUNTIFS(FÉRIAS!$A$2:$A$301,A127,FÉRIAS!$C$2:$C$301,"&lt;="&amp;C127,FÉRIAS!$D$2:$D$301,"&gt;="&amp;C127)&gt;0),IF(D127="TRABALHA","⚠ Está de férias e marcado TRABALHA. ","⚠ Já está de férias nesta data. "),"")&amp;IF(AND(ISNUMBER(C127),COUNTIFS(FOLGAS!$A$2:$A$301,A127,FOLGAS!$C$2:$C$301,C127)&gt;0),IF(D127="FOLGA","⚠ Folga também lançada na aba FOLGAS. ",IF(D127="TRABALHA","⚠ Marcado TRABALHA, mas tem folga na aba FOLGAS. ","")),"")&amp;IF(AND(ISNUMBER(C127),D127="FOLGA",B127&lt;&gt;"",COUNTIFS($B$2:$B$301,B127,$C$2:$C$301,C127,$D$2:$D$301,"TRABALHA")=0),"⚠ Ninguém do setor trabalhando nesta data. ","")))</f>
        <v/>
      </c>
    </row>
    <row r="128" customFormat="false" ht="15" hidden="false" customHeight="true" outlineLevel="0" collapsed="false">
      <c r="A128" s="54"/>
      <c r="B128" s="54"/>
      <c r="C128" s="53"/>
      <c r="D128" s="54"/>
      <c r="E128" s="54"/>
      <c r="F128" s="55" t="str">
        <f aca="false">IF(A128="","",TRIM(IF(NOT(ISNUMBER(C128)),"⚠ Falta a data. ","")&amp;IF(ISNUMBER(C128),IF(AND(MONTH(C128)=12,OR(DAY(C128)=24,DAY(C128)=25)),"","⚠ Data fora do Natal (24 ou 25/12). "),"")&amp;IF(AND(ISNUMBER(C128),COUNTIFS($A$2:$A$301,A128,$C$2:$C$301,C128)&gt;1),"⚠ Nome repetido na mesma data. ","")&amp;IF(AND(ISNUMBER(C128),COUNTIFS(FÉRIAS!$A$2:$A$301,A128,FÉRIAS!$C$2:$C$301,"&lt;="&amp;C128,FÉRIAS!$D$2:$D$301,"&gt;="&amp;C128)&gt;0),IF(D128="TRABALHA","⚠ Está de férias e marcado TRABALHA. ","⚠ Já está de férias nesta data. "),"")&amp;IF(AND(ISNUMBER(C128),COUNTIFS(FOLGAS!$A$2:$A$301,A128,FOLGAS!$C$2:$C$301,C128)&gt;0),IF(D128="FOLGA","⚠ Folga também lançada na aba FOLGAS. ",IF(D128="TRABALHA","⚠ Marcado TRABALHA, mas tem folga na aba FOLGAS. ","")),"")&amp;IF(AND(ISNUMBER(C128),D128="FOLGA",B128&lt;&gt;"",COUNTIFS($B$2:$B$301,B128,$C$2:$C$301,C128,$D$2:$D$301,"TRABALHA")=0),"⚠ Ninguém do setor trabalhando nesta data. ","")))</f>
        <v/>
      </c>
    </row>
    <row r="129" customFormat="false" ht="15" hidden="false" customHeight="true" outlineLevel="0" collapsed="false">
      <c r="A129" s="54"/>
      <c r="B129" s="54"/>
      <c r="C129" s="53"/>
      <c r="D129" s="54"/>
      <c r="E129" s="54"/>
      <c r="F129" s="55" t="str">
        <f aca="false">IF(A129="","",TRIM(IF(NOT(ISNUMBER(C129)),"⚠ Falta a data. ","")&amp;IF(ISNUMBER(C129),IF(AND(MONTH(C129)=12,OR(DAY(C129)=24,DAY(C129)=25)),"","⚠ Data fora do Natal (24 ou 25/12). "),"")&amp;IF(AND(ISNUMBER(C129),COUNTIFS($A$2:$A$301,A129,$C$2:$C$301,C129)&gt;1),"⚠ Nome repetido na mesma data. ","")&amp;IF(AND(ISNUMBER(C129),COUNTIFS(FÉRIAS!$A$2:$A$301,A129,FÉRIAS!$C$2:$C$301,"&lt;="&amp;C129,FÉRIAS!$D$2:$D$301,"&gt;="&amp;C129)&gt;0),IF(D129="TRABALHA","⚠ Está de férias e marcado TRABALHA. ","⚠ Já está de férias nesta data. "),"")&amp;IF(AND(ISNUMBER(C129),COUNTIFS(FOLGAS!$A$2:$A$301,A129,FOLGAS!$C$2:$C$301,C129)&gt;0),IF(D129="FOLGA","⚠ Folga também lançada na aba FOLGAS. ",IF(D129="TRABALHA","⚠ Marcado TRABALHA, mas tem folga na aba FOLGAS. ","")),"")&amp;IF(AND(ISNUMBER(C129),D129="FOLGA",B129&lt;&gt;"",COUNTIFS($B$2:$B$301,B129,$C$2:$C$301,C129,$D$2:$D$301,"TRABALHA")=0),"⚠ Ninguém do setor trabalhando nesta data. ","")))</f>
        <v/>
      </c>
    </row>
    <row r="130" customFormat="false" ht="15" hidden="false" customHeight="true" outlineLevel="0" collapsed="false">
      <c r="A130" s="54"/>
      <c r="B130" s="54"/>
      <c r="C130" s="53"/>
      <c r="D130" s="54"/>
      <c r="E130" s="54"/>
      <c r="F130" s="55" t="str">
        <f aca="false">IF(A130="","",TRIM(IF(NOT(ISNUMBER(C130)),"⚠ Falta a data. ","")&amp;IF(ISNUMBER(C130),IF(AND(MONTH(C130)=12,OR(DAY(C130)=24,DAY(C130)=25)),"","⚠ Data fora do Natal (24 ou 25/12). "),"")&amp;IF(AND(ISNUMBER(C130),COUNTIFS($A$2:$A$301,A130,$C$2:$C$301,C130)&gt;1),"⚠ Nome repetido na mesma data. ","")&amp;IF(AND(ISNUMBER(C130),COUNTIFS(FÉRIAS!$A$2:$A$301,A130,FÉRIAS!$C$2:$C$301,"&lt;="&amp;C130,FÉRIAS!$D$2:$D$301,"&gt;="&amp;C130)&gt;0),IF(D130="TRABALHA","⚠ Está de férias e marcado TRABALHA. ","⚠ Já está de férias nesta data. "),"")&amp;IF(AND(ISNUMBER(C130),COUNTIFS(FOLGAS!$A$2:$A$301,A130,FOLGAS!$C$2:$C$301,C130)&gt;0),IF(D130="FOLGA","⚠ Folga também lançada na aba FOLGAS. ",IF(D130="TRABALHA","⚠ Marcado TRABALHA, mas tem folga na aba FOLGAS. ","")),"")&amp;IF(AND(ISNUMBER(C130),D130="FOLGA",B130&lt;&gt;"",COUNTIFS($B$2:$B$301,B130,$C$2:$C$301,C130,$D$2:$D$301,"TRABALHA")=0),"⚠ Ninguém do setor trabalhando nesta data. ","")))</f>
        <v/>
      </c>
    </row>
    <row r="131" customFormat="false" ht="15" hidden="false" customHeight="true" outlineLevel="0" collapsed="false">
      <c r="A131" s="54"/>
      <c r="B131" s="54"/>
      <c r="C131" s="53"/>
      <c r="D131" s="54"/>
      <c r="E131" s="54"/>
      <c r="F131" s="55" t="str">
        <f aca="false">IF(A131="","",TRIM(IF(NOT(ISNUMBER(C131)),"⚠ Falta a data. ","")&amp;IF(ISNUMBER(C131),IF(AND(MONTH(C131)=12,OR(DAY(C131)=24,DAY(C131)=25)),"","⚠ Data fora do Natal (24 ou 25/12). "),"")&amp;IF(AND(ISNUMBER(C131),COUNTIFS($A$2:$A$301,A131,$C$2:$C$301,C131)&gt;1),"⚠ Nome repetido na mesma data. ","")&amp;IF(AND(ISNUMBER(C131),COUNTIFS(FÉRIAS!$A$2:$A$301,A131,FÉRIAS!$C$2:$C$301,"&lt;="&amp;C131,FÉRIAS!$D$2:$D$301,"&gt;="&amp;C131)&gt;0),IF(D131="TRABALHA","⚠ Está de férias e marcado TRABALHA. ","⚠ Já está de férias nesta data. "),"")&amp;IF(AND(ISNUMBER(C131),COUNTIFS(FOLGAS!$A$2:$A$301,A131,FOLGAS!$C$2:$C$301,C131)&gt;0),IF(D131="FOLGA","⚠ Folga também lançada na aba FOLGAS. ",IF(D131="TRABALHA","⚠ Marcado TRABALHA, mas tem folga na aba FOLGAS. ","")),"")&amp;IF(AND(ISNUMBER(C131),D131="FOLGA",B131&lt;&gt;"",COUNTIFS($B$2:$B$301,B131,$C$2:$C$301,C131,$D$2:$D$301,"TRABALHA")=0),"⚠ Ninguém do setor trabalhando nesta data. ","")))</f>
        <v/>
      </c>
    </row>
    <row r="132" customFormat="false" ht="15" hidden="false" customHeight="true" outlineLevel="0" collapsed="false">
      <c r="A132" s="54"/>
      <c r="B132" s="54"/>
      <c r="C132" s="53"/>
      <c r="D132" s="54"/>
      <c r="E132" s="54"/>
      <c r="F132" s="55" t="str">
        <f aca="false">IF(A132="","",TRIM(IF(NOT(ISNUMBER(C132)),"⚠ Falta a data. ","")&amp;IF(ISNUMBER(C132),IF(AND(MONTH(C132)=12,OR(DAY(C132)=24,DAY(C132)=25)),"","⚠ Data fora do Natal (24 ou 25/12). "),"")&amp;IF(AND(ISNUMBER(C132),COUNTIFS($A$2:$A$301,A132,$C$2:$C$301,C132)&gt;1),"⚠ Nome repetido na mesma data. ","")&amp;IF(AND(ISNUMBER(C132),COUNTIFS(FÉRIAS!$A$2:$A$301,A132,FÉRIAS!$C$2:$C$301,"&lt;="&amp;C132,FÉRIAS!$D$2:$D$301,"&gt;="&amp;C132)&gt;0),IF(D132="TRABALHA","⚠ Está de férias e marcado TRABALHA. ","⚠ Já está de férias nesta data. "),"")&amp;IF(AND(ISNUMBER(C132),COUNTIFS(FOLGAS!$A$2:$A$301,A132,FOLGAS!$C$2:$C$301,C132)&gt;0),IF(D132="FOLGA","⚠ Folga também lançada na aba FOLGAS. ",IF(D132="TRABALHA","⚠ Marcado TRABALHA, mas tem folga na aba FOLGAS. ","")),"")&amp;IF(AND(ISNUMBER(C132),D132="FOLGA",B132&lt;&gt;"",COUNTIFS($B$2:$B$301,B132,$C$2:$C$301,C132,$D$2:$D$301,"TRABALHA")=0),"⚠ Ninguém do setor trabalhando nesta data. ","")))</f>
        <v/>
      </c>
    </row>
    <row r="133" customFormat="false" ht="15" hidden="false" customHeight="true" outlineLevel="0" collapsed="false">
      <c r="A133" s="54"/>
      <c r="B133" s="54"/>
      <c r="C133" s="53"/>
      <c r="D133" s="54"/>
      <c r="E133" s="54"/>
      <c r="F133" s="55" t="str">
        <f aca="false">IF(A133="","",TRIM(IF(NOT(ISNUMBER(C133)),"⚠ Falta a data. ","")&amp;IF(ISNUMBER(C133),IF(AND(MONTH(C133)=12,OR(DAY(C133)=24,DAY(C133)=25)),"","⚠ Data fora do Natal (24 ou 25/12). "),"")&amp;IF(AND(ISNUMBER(C133),COUNTIFS($A$2:$A$301,A133,$C$2:$C$301,C133)&gt;1),"⚠ Nome repetido na mesma data. ","")&amp;IF(AND(ISNUMBER(C133),COUNTIFS(FÉRIAS!$A$2:$A$301,A133,FÉRIAS!$C$2:$C$301,"&lt;="&amp;C133,FÉRIAS!$D$2:$D$301,"&gt;="&amp;C133)&gt;0),IF(D133="TRABALHA","⚠ Está de férias e marcado TRABALHA. ","⚠ Já está de férias nesta data. "),"")&amp;IF(AND(ISNUMBER(C133),COUNTIFS(FOLGAS!$A$2:$A$301,A133,FOLGAS!$C$2:$C$301,C133)&gt;0),IF(D133="FOLGA","⚠ Folga também lançada na aba FOLGAS. ",IF(D133="TRABALHA","⚠ Marcado TRABALHA, mas tem folga na aba FOLGAS. ","")),"")&amp;IF(AND(ISNUMBER(C133),D133="FOLGA",B133&lt;&gt;"",COUNTIFS($B$2:$B$301,B133,$C$2:$C$301,C133,$D$2:$D$301,"TRABALHA")=0),"⚠ Ninguém do setor trabalhando nesta data. ","")))</f>
        <v/>
      </c>
    </row>
    <row r="134" customFormat="false" ht="15" hidden="false" customHeight="true" outlineLevel="0" collapsed="false">
      <c r="A134" s="54"/>
      <c r="B134" s="54"/>
      <c r="C134" s="53"/>
      <c r="D134" s="54"/>
      <c r="E134" s="54"/>
      <c r="F134" s="55" t="str">
        <f aca="false">IF(A134="","",TRIM(IF(NOT(ISNUMBER(C134)),"⚠ Falta a data. ","")&amp;IF(ISNUMBER(C134),IF(AND(MONTH(C134)=12,OR(DAY(C134)=24,DAY(C134)=25)),"","⚠ Data fora do Natal (24 ou 25/12). "),"")&amp;IF(AND(ISNUMBER(C134),COUNTIFS($A$2:$A$301,A134,$C$2:$C$301,C134)&gt;1),"⚠ Nome repetido na mesma data. ","")&amp;IF(AND(ISNUMBER(C134),COUNTIFS(FÉRIAS!$A$2:$A$301,A134,FÉRIAS!$C$2:$C$301,"&lt;="&amp;C134,FÉRIAS!$D$2:$D$301,"&gt;="&amp;C134)&gt;0),IF(D134="TRABALHA","⚠ Está de férias e marcado TRABALHA. ","⚠ Já está de férias nesta data. "),"")&amp;IF(AND(ISNUMBER(C134),COUNTIFS(FOLGAS!$A$2:$A$301,A134,FOLGAS!$C$2:$C$301,C134)&gt;0),IF(D134="FOLGA","⚠ Folga também lançada na aba FOLGAS. ",IF(D134="TRABALHA","⚠ Marcado TRABALHA, mas tem folga na aba FOLGAS. ","")),"")&amp;IF(AND(ISNUMBER(C134),D134="FOLGA",B134&lt;&gt;"",COUNTIFS($B$2:$B$301,B134,$C$2:$C$301,C134,$D$2:$D$301,"TRABALHA")=0),"⚠ Ninguém do setor trabalhando nesta data. ","")))</f>
        <v/>
      </c>
    </row>
    <row r="135" customFormat="false" ht="15" hidden="false" customHeight="true" outlineLevel="0" collapsed="false">
      <c r="A135" s="54"/>
      <c r="B135" s="54"/>
      <c r="C135" s="53"/>
      <c r="D135" s="54"/>
      <c r="E135" s="54"/>
      <c r="F135" s="55" t="str">
        <f aca="false">IF(A135="","",TRIM(IF(NOT(ISNUMBER(C135)),"⚠ Falta a data. ","")&amp;IF(ISNUMBER(C135),IF(AND(MONTH(C135)=12,OR(DAY(C135)=24,DAY(C135)=25)),"","⚠ Data fora do Natal (24 ou 25/12). "),"")&amp;IF(AND(ISNUMBER(C135),COUNTIFS($A$2:$A$301,A135,$C$2:$C$301,C135)&gt;1),"⚠ Nome repetido na mesma data. ","")&amp;IF(AND(ISNUMBER(C135),COUNTIFS(FÉRIAS!$A$2:$A$301,A135,FÉRIAS!$C$2:$C$301,"&lt;="&amp;C135,FÉRIAS!$D$2:$D$301,"&gt;="&amp;C135)&gt;0),IF(D135="TRABALHA","⚠ Está de férias e marcado TRABALHA. ","⚠ Já está de férias nesta data. "),"")&amp;IF(AND(ISNUMBER(C135),COUNTIFS(FOLGAS!$A$2:$A$301,A135,FOLGAS!$C$2:$C$301,C135)&gt;0),IF(D135="FOLGA","⚠ Folga também lançada na aba FOLGAS. ",IF(D135="TRABALHA","⚠ Marcado TRABALHA, mas tem folga na aba FOLGAS. ","")),"")&amp;IF(AND(ISNUMBER(C135),D135="FOLGA",B135&lt;&gt;"",COUNTIFS($B$2:$B$301,B135,$C$2:$C$301,C135,$D$2:$D$301,"TRABALHA")=0),"⚠ Ninguém do setor trabalhando nesta data. ","")))</f>
        <v/>
      </c>
    </row>
    <row r="136" customFormat="false" ht="15" hidden="false" customHeight="true" outlineLevel="0" collapsed="false">
      <c r="A136" s="54"/>
      <c r="B136" s="54"/>
      <c r="C136" s="53"/>
      <c r="D136" s="54"/>
      <c r="E136" s="54"/>
      <c r="F136" s="55" t="str">
        <f aca="false">IF(A136="","",TRIM(IF(NOT(ISNUMBER(C136)),"⚠ Falta a data. ","")&amp;IF(ISNUMBER(C136),IF(AND(MONTH(C136)=12,OR(DAY(C136)=24,DAY(C136)=25)),"","⚠ Data fora do Natal (24 ou 25/12). "),"")&amp;IF(AND(ISNUMBER(C136),COUNTIFS($A$2:$A$301,A136,$C$2:$C$301,C136)&gt;1),"⚠ Nome repetido na mesma data. ","")&amp;IF(AND(ISNUMBER(C136),COUNTIFS(FÉRIAS!$A$2:$A$301,A136,FÉRIAS!$C$2:$C$301,"&lt;="&amp;C136,FÉRIAS!$D$2:$D$301,"&gt;="&amp;C136)&gt;0),IF(D136="TRABALHA","⚠ Está de férias e marcado TRABALHA. ","⚠ Já está de férias nesta data. "),"")&amp;IF(AND(ISNUMBER(C136),COUNTIFS(FOLGAS!$A$2:$A$301,A136,FOLGAS!$C$2:$C$301,C136)&gt;0),IF(D136="FOLGA","⚠ Folga também lançada na aba FOLGAS. ",IF(D136="TRABALHA","⚠ Marcado TRABALHA, mas tem folga na aba FOLGAS. ","")),"")&amp;IF(AND(ISNUMBER(C136),D136="FOLGA",B136&lt;&gt;"",COUNTIFS($B$2:$B$301,B136,$C$2:$C$301,C136,$D$2:$D$301,"TRABALHA")=0),"⚠ Ninguém do setor trabalhando nesta data. ","")))</f>
        <v/>
      </c>
    </row>
    <row r="137" customFormat="false" ht="15" hidden="false" customHeight="true" outlineLevel="0" collapsed="false">
      <c r="A137" s="54"/>
      <c r="B137" s="54"/>
      <c r="C137" s="53"/>
      <c r="D137" s="54"/>
      <c r="E137" s="54"/>
      <c r="F137" s="55" t="str">
        <f aca="false">IF(A137="","",TRIM(IF(NOT(ISNUMBER(C137)),"⚠ Falta a data. ","")&amp;IF(ISNUMBER(C137),IF(AND(MONTH(C137)=12,OR(DAY(C137)=24,DAY(C137)=25)),"","⚠ Data fora do Natal (24 ou 25/12). "),"")&amp;IF(AND(ISNUMBER(C137),COUNTIFS($A$2:$A$301,A137,$C$2:$C$301,C137)&gt;1),"⚠ Nome repetido na mesma data. ","")&amp;IF(AND(ISNUMBER(C137),COUNTIFS(FÉRIAS!$A$2:$A$301,A137,FÉRIAS!$C$2:$C$301,"&lt;="&amp;C137,FÉRIAS!$D$2:$D$301,"&gt;="&amp;C137)&gt;0),IF(D137="TRABALHA","⚠ Está de férias e marcado TRABALHA. ","⚠ Já está de férias nesta data. "),"")&amp;IF(AND(ISNUMBER(C137),COUNTIFS(FOLGAS!$A$2:$A$301,A137,FOLGAS!$C$2:$C$301,C137)&gt;0),IF(D137="FOLGA","⚠ Folga também lançada na aba FOLGAS. ",IF(D137="TRABALHA","⚠ Marcado TRABALHA, mas tem folga na aba FOLGAS. ","")),"")&amp;IF(AND(ISNUMBER(C137),D137="FOLGA",B137&lt;&gt;"",COUNTIFS($B$2:$B$301,B137,$C$2:$C$301,C137,$D$2:$D$301,"TRABALHA")=0),"⚠ Ninguém do setor trabalhando nesta data. ","")))</f>
        <v/>
      </c>
    </row>
    <row r="138" customFormat="false" ht="15" hidden="false" customHeight="true" outlineLevel="0" collapsed="false">
      <c r="A138" s="54"/>
      <c r="B138" s="54"/>
      <c r="C138" s="53"/>
      <c r="D138" s="54"/>
      <c r="E138" s="54"/>
      <c r="F138" s="55" t="str">
        <f aca="false">IF(A138="","",TRIM(IF(NOT(ISNUMBER(C138)),"⚠ Falta a data. ","")&amp;IF(ISNUMBER(C138),IF(AND(MONTH(C138)=12,OR(DAY(C138)=24,DAY(C138)=25)),"","⚠ Data fora do Natal (24 ou 25/12). "),"")&amp;IF(AND(ISNUMBER(C138),COUNTIFS($A$2:$A$301,A138,$C$2:$C$301,C138)&gt;1),"⚠ Nome repetido na mesma data. ","")&amp;IF(AND(ISNUMBER(C138),COUNTIFS(FÉRIAS!$A$2:$A$301,A138,FÉRIAS!$C$2:$C$301,"&lt;="&amp;C138,FÉRIAS!$D$2:$D$301,"&gt;="&amp;C138)&gt;0),IF(D138="TRABALHA","⚠ Está de férias e marcado TRABALHA. ","⚠ Já está de férias nesta data. "),"")&amp;IF(AND(ISNUMBER(C138),COUNTIFS(FOLGAS!$A$2:$A$301,A138,FOLGAS!$C$2:$C$301,C138)&gt;0),IF(D138="FOLGA","⚠ Folga também lançada na aba FOLGAS. ",IF(D138="TRABALHA","⚠ Marcado TRABALHA, mas tem folga na aba FOLGAS. ","")),"")&amp;IF(AND(ISNUMBER(C138),D138="FOLGA",B138&lt;&gt;"",COUNTIFS($B$2:$B$301,B138,$C$2:$C$301,C138,$D$2:$D$301,"TRABALHA")=0),"⚠ Ninguém do setor trabalhando nesta data. ","")))</f>
        <v/>
      </c>
    </row>
    <row r="139" customFormat="false" ht="15" hidden="false" customHeight="true" outlineLevel="0" collapsed="false">
      <c r="A139" s="54"/>
      <c r="B139" s="54"/>
      <c r="C139" s="53"/>
      <c r="D139" s="54"/>
      <c r="E139" s="54"/>
      <c r="F139" s="55" t="str">
        <f aca="false">IF(A139="","",TRIM(IF(NOT(ISNUMBER(C139)),"⚠ Falta a data. ","")&amp;IF(ISNUMBER(C139),IF(AND(MONTH(C139)=12,OR(DAY(C139)=24,DAY(C139)=25)),"","⚠ Data fora do Natal (24 ou 25/12). "),"")&amp;IF(AND(ISNUMBER(C139),COUNTIFS($A$2:$A$301,A139,$C$2:$C$301,C139)&gt;1),"⚠ Nome repetido na mesma data. ","")&amp;IF(AND(ISNUMBER(C139),COUNTIFS(FÉRIAS!$A$2:$A$301,A139,FÉRIAS!$C$2:$C$301,"&lt;="&amp;C139,FÉRIAS!$D$2:$D$301,"&gt;="&amp;C139)&gt;0),IF(D139="TRABALHA","⚠ Está de férias e marcado TRABALHA. ","⚠ Já está de férias nesta data. "),"")&amp;IF(AND(ISNUMBER(C139),COUNTIFS(FOLGAS!$A$2:$A$301,A139,FOLGAS!$C$2:$C$301,C139)&gt;0),IF(D139="FOLGA","⚠ Folga também lançada na aba FOLGAS. ",IF(D139="TRABALHA","⚠ Marcado TRABALHA, mas tem folga na aba FOLGAS. ","")),"")&amp;IF(AND(ISNUMBER(C139),D139="FOLGA",B139&lt;&gt;"",COUNTIFS($B$2:$B$301,B139,$C$2:$C$301,C139,$D$2:$D$301,"TRABALHA")=0),"⚠ Ninguém do setor trabalhando nesta data. ","")))</f>
        <v/>
      </c>
    </row>
    <row r="140" customFormat="false" ht="15" hidden="false" customHeight="true" outlineLevel="0" collapsed="false">
      <c r="A140" s="54"/>
      <c r="B140" s="54"/>
      <c r="C140" s="53"/>
      <c r="D140" s="54"/>
      <c r="E140" s="54"/>
      <c r="F140" s="55" t="str">
        <f aca="false">IF(A140="","",TRIM(IF(NOT(ISNUMBER(C140)),"⚠ Falta a data. ","")&amp;IF(ISNUMBER(C140),IF(AND(MONTH(C140)=12,OR(DAY(C140)=24,DAY(C140)=25)),"","⚠ Data fora do Natal (24 ou 25/12). "),"")&amp;IF(AND(ISNUMBER(C140),COUNTIFS($A$2:$A$301,A140,$C$2:$C$301,C140)&gt;1),"⚠ Nome repetido na mesma data. ","")&amp;IF(AND(ISNUMBER(C140),COUNTIFS(FÉRIAS!$A$2:$A$301,A140,FÉRIAS!$C$2:$C$301,"&lt;="&amp;C140,FÉRIAS!$D$2:$D$301,"&gt;="&amp;C140)&gt;0),IF(D140="TRABALHA","⚠ Está de férias e marcado TRABALHA. ","⚠ Já está de férias nesta data. "),"")&amp;IF(AND(ISNUMBER(C140),COUNTIFS(FOLGAS!$A$2:$A$301,A140,FOLGAS!$C$2:$C$301,C140)&gt;0),IF(D140="FOLGA","⚠ Folga também lançada na aba FOLGAS. ",IF(D140="TRABALHA","⚠ Marcado TRABALHA, mas tem folga na aba FOLGAS. ","")),"")&amp;IF(AND(ISNUMBER(C140),D140="FOLGA",B140&lt;&gt;"",COUNTIFS($B$2:$B$301,B140,$C$2:$C$301,C140,$D$2:$D$301,"TRABALHA")=0),"⚠ Ninguém do setor trabalhando nesta data. ","")))</f>
        <v/>
      </c>
    </row>
    <row r="141" customFormat="false" ht="15" hidden="false" customHeight="true" outlineLevel="0" collapsed="false">
      <c r="A141" s="54"/>
      <c r="B141" s="54"/>
      <c r="C141" s="53"/>
      <c r="D141" s="54"/>
      <c r="E141" s="54"/>
      <c r="F141" s="55" t="str">
        <f aca="false">IF(A141="","",TRIM(IF(NOT(ISNUMBER(C141)),"⚠ Falta a data. ","")&amp;IF(ISNUMBER(C141),IF(AND(MONTH(C141)=12,OR(DAY(C141)=24,DAY(C141)=25)),"","⚠ Data fora do Natal (24 ou 25/12). "),"")&amp;IF(AND(ISNUMBER(C141),COUNTIFS($A$2:$A$301,A141,$C$2:$C$301,C141)&gt;1),"⚠ Nome repetido na mesma data. ","")&amp;IF(AND(ISNUMBER(C141),COUNTIFS(FÉRIAS!$A$2:$A$301,A141,FÉRIAS!$C$2:$C$301,"&lt;="&amp;C141,FÉRIAS!$D$2:$D$301,"&gt;="&amp;C141)&gt;0),IF(D141="TRABALHA","⚠ Está de férias e marcado TRABALHA. ","⚠ Já está de férias nesta data. "),"")&amp;IF(AND(ISNUMBER(C141),COUNTIFS(FOLGAS!$A$2:$A$301,A141,FOLGAS!$C$2:$C$301,C141)&gt;0),IF(D141="FOLGA","⚠ Folga também lançada na aba FOLGAS. ",IF(D141="TRABALHA","⚠ Marcado TRABALHA, mas tem folga na aba FOLGAS. ","")),"")&amp;IF(AND(ISNUMBER(C141),D141="FOLGA",B141&lt;&gt;"",COUNTIFS($B$2:$B$301,B141,$C$2:$C$301,C141,$D$2:$D$301,"TRABALHA")=0),"⚠ Ninguém do setor trabalhando nesta data. ","")))</f>
        <v/>
      </c>
    </row>
    <row r="142" customFormat="false" ht="15" hidden="false" customHeight="true" outlineLevel="0" collapsed="false">
      <c r="A142" s="54"/>
      <c r="B142" s="54"/>
      <c r="C142" s="53"/>
      <c r="D142" s="54"/>
      <c r="E142" s="54"/>
      <c r="F142" s="55" t="str">
        <f aca="false">IF(A142="","",TRIM(IF(NOT(ISNUMBER(C142)),"⚠ Falta a data. ","")&amp;IF(ISNUMBER(C142),IF(AND(MONTH(C142)=12,OR(DAY(C142)=24,DAY(C142)=25)),"","⚠ Data fora do Natal (24 ou 25/12). "),"")&amp;IF(AND(ISNUMBER(C142),COUNTIFS($A$2:$A$301,A142,$C$2:$C$301,C142)&gt;1),"⚠ Nome repetido na mesma data. ","")&amp;IF(AND(ISNUMBER(C142),COUNTIFS(FÉRIAS!$A$2:$A$301,A142,FÉRIAS!$C$2:$C$301,"&lt;="&amp;C142,FÉRIAS!$D$2:$D$301,"&gt;="&amp;C142)&gt;0),IF(D142="TRABALHA","⚠ Está de férias e marcado TRABALHA. ","⚠ Já está de férias nesta data. "),"")&amp;IF(AND(ISNUMBER(C142),COUNTIFS(FOLGAS!$A$2:$A$301,A142,FOLGAS!$C$2:$C$301,C142)&gt;0),IF(D142="FOLGA","⚠ Folga também lançada na aba FOLGAS. ",IF(D142="TRABALHA","⚠ Marcado TRABALHA, mas tem folga na aba FOLGAS. ","")),"")&amp;IF(AND(ISNUMBER(C142),D142="FOLGA",B142&lt;&gt;"",COUNTIFS($B$2:$B$301,B142,$C$2:$C$301,C142,$D$2:$D$301,"TRABALHA")=0),"⚠ Ninguém do setor trabalhando nesta data. ","")))</f>
        <v/>
      </c>
    </row>
    <row r="143" customFormat="false" ht="15" hidden="false" customHeight="true" outlineLevel="0" collapsed="false">
      <c r="A143" s="54"/>
      <c r="B143" s="54"/>
      <c r="C143" s="53"/>
      <c r="D143" s="54"/>
      <c r="E143" s="54"/>
      <c r="F143" s="55" t="str">
        <f aca="false">IF(A143="","",TRIM(IF(NOT(ISNUMBER(C143)),"⚠ Falta a data. ","")&amp;IF(ISNUMBER(C143),IF(AND(MONTH(C143)=12,OR(DAY(C143)=24,DAY(C143)=25)),"","⚠ Data fora do Natal (24 ou 25/12). "),"")&amp;IF(AND(ISNUMBER(C143),COUNTIFS($A$2:$A$301,A143,$C$2:$C$301,C143)&gt;1),"⚠ Nome repetido na mesma data. ","")&amp;IF(AND(ISNUMBER(C143),COUNTIFS(FÉRIAS!$A$2:$A$301,A143,FÉRIAS!$C$2:$C$301,"&lt;="&amp;C143,FÉRIAS!$D$2:$D$301,"&gt;="&amp;C143)&gt;0),IF(D143="TRABALHA","⚠ Está de férias e marcado TRABALHA. ","⚠ Já está de férias nesta data. "),"")&amp;IF(AND(ISNUMBER(C143),COUNTIFS(FOLGAS!$A$2:$A$301,A143,FOLGAS!$C$2:$C$301,C143)&gt;0),IF(D143="FOLGA","⚠ Folga também lançada na aba FOLGAS. ",IF(D143="TRABALHA","⚠ Marcado TRABALHA, mas tem folga na aba FOLGAS. ","")),"")&amp;IF(AND(ISNUMBER(C143),D143="FOLGA",B143&lt;&gt;"",COUNTIFS($B$2:$B$301,B143,$C$2:$C$301,C143,$D$2:$D$301,"TRABALHA")=0),"⚠ Ninguém do setor trabalhando nesta data. ","")))</f>
        <v/>
      </c>
    </row>
    <row r="144" customFormat="false" ht="15" hidden="false" customHeight="true" outlineLevel="0" collapsed="false">
      <c r="A144" s="54"/>
      <c r="B144" s="54"/>
      <c r="C144" s="53"/>
      <c r="D144" s="54"/>
      <c r="E144" s="54"/>
      <c r="F144" s="55" t="str">
        <f aca="false">IF(A144="","",TRIM(IF(NOT(ISNUMBER(C144)),"⚠ Falta a data. ","")&amp;IF(ISNUMBER(C144),IF(AND(MONTH(C144)=12,OR(DAY(C144)=24,DAY(C144)=25)),"","⚠ Data fora do Natal (24 ou 25/12). "),"")&amp;IF(AND(ISNUMBER(C144),COUNTIFS($A$2:$A$301,A144,$C$2:$C$301,C144)&gt;1),"⚠ Nome repetido na mesma data. ","")&amp;IF(AND(ISNUMBER(C144),COUNTIFS(FÉRIAS!$A$2:$A$301,A144,FÉRIAS!$C$2:$C$301,"&lt;="&amp;C144,FÉRIAS!$D$2:$D$301,"&gt;="&amp;C144)&gt;0),IF(D144="TRABALHA","⚠ Está de férias e marcado TRABALHA. ","⚠ Já está de férias nesta data. "),"")&amp;IF(AND(ISNUMBER(C144),COUNTIFS(FOLGAS!$A$2:$A$301,A144,FOLGAS!$C$2:$C$301,C144)&gt;0),IF(D144="FOLGA","⚠ Folga também lançada na aba FOLGAS. ",IF(D144="TRABALHA","⚠ Marcado TRABALHA, mas tem folga na aba FOLGAS. ","")),"")&amp;IF(AND(ISNUMBER(C144),D144="FOLGA",B144&lt;&gt;"",COUNTIFS($B$2:$B$301,B144,$C$2:$C$301,C144,$D$2:$D$301,"TRABALHA")=0),"⚠ Ninguém do setor trabalhando nesta data. ","")))</f>
        <v/>
      </c>
    </row>
    <row r="145" customFormat="false" ht="15" hidden="false" customHeight="true" outlineLevel="0" collapsed="false">
      <c r="A145" s="54"/>
      <c r="B145" s="54"/>
      <c r="C145" s="53"/>
      <c r="D145" s="54"/>
      <c r="E145" s="54"/>
      <c r="F145" s="55" t="str">
        <f aca="false">IF(A145="","",TRIM(IF(NOT(ISNUMBER(C145)),"⚠ Falta a data. ","")&amp;IF(ISNUMBER(C145),IF(AND(MONTH(C145)=12,OR(DAY(C145)=24,DAY(C145)=25)),"","⚠ Data fora do Natal (24 ou 25/12). "),"")&amp;IF(AND(ISNUMBER(C145),COUNTIFS($A$2:$A$301,A145,$C$2:$C$301,C145)&gt;1),"⚠ Nome repetido na mesma data. ","")&amp;IF(AND(ISNUMBER(C145),COUNTIFS(FÉRIAS!$A$2:$A$301,A145,FÉRIAS!$C$2:$C$301,"&lt;="&amp;C145,FÉRIAS!$D$2:$D$301,"&gt;="&amp;C145)&gt;0),IF(D145="TRABALHA","⚠ Está de férias e marcado TRABALHA. ","⚠ Já está de férias nesta data. "),"")&amp;IF(AND(ISNUMBER(C145),COUNTIFS(FOLGAS!$A$2:$A$301,A145,FOLGAS!$C$2:$C$301,C145)&gt;0),IF(D145="FOLGA","⚠ Folga também lançada na aba FOLGAS. ",IF(D145="TRABALHA","⚠ Marcado TRABALHA, mas tem folga na aba FOLGAS. ","")),"")&amp;IF(AND(ISNUMBER(C145),D145="FOLGA",B145&lt;&gt;"",COUNTIFS($B$2:$B$301,B145,$C$2:$C$301,C145,$D$2:$D$301,"TRABALHA")=0),"⚠ Ninguém do setor trabalhando nesta data. ","")))</f>
        <v/>
      </c>
    </row>
    <row r="146" customFormat="false" ht="15" hidden="false" customHeight="true" outlineLevel="0" collapsed="false">
      <c r="A146" s="54"/>
      <c r="B146" s="54"/>
      <c r="C146" s="53"/>
      <c r="D146" s="54"/>
      <c r="E146" s="54"/>
      <c r="F146" s="55" t="str">
        <f aca="false">IF(A146="","",TRIM(IF(NOT(ISNUMBER(C146)),"⚠ Falta a data. ","")&amp;IF(ISNUMBER(C146),IF(AND(MONTH(C146)=12,OR(DAY(C146)=24,DAY(C146)=25)),"","⚠ Data fora do Natal (24 ou 25/12). "),"")&amp;IF(AND(ISNUMBER(C146),COUNTIFS($A$2:$A$301,A146,$C$2:$C$301,C146)&gt;1),"⚠ Nome repetido na mesma data. ","")&amp;IF(AND(ISNUMBER(C146),COUNTIFS(FÉRIAS!$A$2:$A$301,A146,FÉRIAS!$C$2:$C$301,"&lt;="&amp;C146,FÉRIAS!$D$2:$D$301,"&gt;="&amp;C146)&gt;0),IF(D146="TRABALHA","⚠ Está de férias e marcado TRABALHA. ","⚠ Já está de férias nesta data. "),"")&amp;IF(AND(ISNUMBER(C146),COUNTIFS(FOLGAS!$A$2:$A$301,A146,FOLGAS!$C$2:$C$301,C146)&gt;0),IF(D146="FOLGA","⚠ Folga também lançada na aba FOLGAS. ",IF(D146="TRABALHA","⚠ Marcado TRABALHA, mas tem folga na aba FOLGAS. ","")),"")&amp;IF(AND(ISNUMBER(C146),D146="FOLGA",B146&lt;&gt;"",COUNTIFS($B$2:$B$301,B146,$C$2:$C$301,C146,$D$2:$D$301,"TRABALHA")=0),"⚠ Ninguém do setor trabalhando nesta data. ","")))</f>
        <v/>
      </c>
    </row>
    <row r="147" customFormat="false" ht="15" hidden="false" customHeight="true" outlineLevel="0" collapsed="false">
      <c r="A147" s="54"/>
      <c r="B147" s="54"/>
      <c r="C147" s="53"/>
      <c r="D147" s="54"/>
      <c r="E147" s="54"/>
      <c r="F147" s="55" t="str">
        <f aca="false">IF(A147="","",TRIM(IF(NOT(ISNUMBER(C147)),"⚠ Falta a data. ","")&amp;IF(ISNUMBER(C147),IF(AND(MONTH(C147)=12,OR(DAY(C147)=24,DAY(C147)=25)),"","⚠ Data fora do Natal (24 ou 25/12). "),"")&amp;IF(AND(ISNUMBER(C147),COUNTIFS($A$2:$A$301,A147,$C$2:$C$301,C147)&gt;1),"⚠ Nome repetido na mesma data. ","")&amp;IF(AND(ISNUMBER(C147),COUNTIFS(FÉRIAS!$A$2:$A$301,A147,FÉRIAS!$C$2:$C$301,"&lt;="&amp;C147,FÉRIAS!$D$2:$D$301,"&gt;="&amp;C147)&gt;0),IF(D147="TRABALHA","⚠ Está de férias e marcado TRABALHA. ","⚠ Já está de férias nesta data. "),"")&amp;IF(AND(ISNUMBER(C147),COUNTIFS(FOLGAS!$A$2:$A$301,A147,FOLGAS!$C$2:$C$301,C147)&gt;0),IF(D147="FOLGA","⚠ Folga também lançada na aba FOLGAS. ",IF(D147="TRABALHA","⚠ Marcado TRABALHA, mas tem folga na aba FOLGAS. ","")),"")&amp;IF(AND(ISNUMBER(C147),D147="FOLGA",B147&lt;&gt;"",COUNTIFS($B$2:$B$301,B147,$C$2:$C$301,C147,$D$2:$D$301,"TRABALHA")=0),"⚠ Ninguém do setor trabalhando nesta data. ","")))</f>
        <v/>
      </c>
    </row>
    <row r="148" customFormat="false" ht="15" hidden="false" customHeight="true" outlineLevel="0" collapsed="false">
      <c r="A148" s="54"/>
      <c r="B148" s="54"/>
      <c r="C148" s="53"/>
      <c r="D148" s="54"/>
      <c r="E148" s="54"/>
      <c r="F148" s="55" t="str">
        <f aca="false">IF(A148="","",TRIM(IF(NOT(ISNUMBER(C148)),"⚠ Falta a data. ","")&amp;IF(ISNUMBER(C148),IF(AND(MONTH(C148)=12,OR(DAY(C148)=24,DAY(C148)=25)),"","⚠ Data fora do Natal (24 ou 25/12). "),"")&amp;IF(AND(ISNUMBER(C148),COUNTIFS($A$2:$A$301,A148,$C$2:$C$301,C148)&gt;1),"⚠ Nome repetido na mesma data. ","")&amp;IF(AND(ISNUMBER(C148),COUNTIFS(FÉRIAS!$A$2:$A$301,A148,FÉRIAS!$C$2:$C$301,"&lt;="&amp;C148,FÉRIAS!$D$2:$D$301,"&gt;="&amp;C148)&gt;0),IF(D148="TRABALHA","⚠ Está de férias e marcado TRABALHA. ","⚠ Já está de férias nesta data. "),"")&amp;IF(AND(ISNUMBER(C148),COUNTIFS(FOLGAS!$A$2:$A$301,A148,FOLGAS!$C$2:$C$301,C148)&gt;0),IF(D148="FOLGA","⚠ Folga também lançada na aba FOLGAS. ",IF(D148="TRABALHA","⚠ Marcado TRABALHA, mas tem folga na aba FOLGAS. ","")),"")&amp;IF(AND(ISNUMBER(C148),D148="FOLGA",B148&lt;&gt;"",COUNTIFS($B$2:$B$301,B148,$C$2:$C$301,C148,$D$2:$D$301,"TRABALHA")=0),"⚠ Ninguém do setor trabalhando nesta data. ","")))</f>
        <v/>
      </c>
    </row>
    <row r="149" customFormat="false" ht="15" hidden="false" customHeight="true" outlineLevel="0" collapsed="false">
      <c r="A149" s="54"/>
      <c r="B149" s="54"/>
      <c r="C149" s="53"/>
      <c r="D149" s="54"/>
      <c r="E149" s="54"/>
      <c r="F149" s="55" t="str">
        <f aca="false">IF(A149="","",TRIM(IF(NOT(ISNUMBER(C149)),"⚠ Falta a data. ","")&amp;IF(ISNUMBER(C149),IF(AND(MONTH(C149)=12,OR(DAY(C149)=24,DAY(C149)=25)),"","⚠ Data fora do Natal (24 ou 25/12). "),"")&amp;IF(AND(ISNUMBER(C149),COUNTIFS($A$2:$A$301,A149,$C$2:$C$301,C149)&gt;1),"⚠ Nome repetido na mesma data. ","")&amp;IF(AND(ISNUMBER(C149),COUNTIFS(FÉRIAS!$A$2:$A$301,A149,FÉRIAS!$C$2:$C$301,"&lt;="&amp;C149,FÉRIAS!$D$2:$D$301,"&gt;="&amp;C149)&gt;0),IF(D149="TRABALHA","⚠ Está de férias e marcado TRABALHA. ","⚠ Já está de férias nesta data. "),"")&amp;IF(AND(ISNUMBER(C149),COUNTIFS(FOLGAS!$A$2:$A$301,A149,FOLGAS!$C$2:$C$301,C149)&gt;0),IF(D149="FOLGA","⚠ Folga também lançada na aba FOLGAS. ",IF(D149="TRABALHA","⚠ Marcado TRABALHA, mas tem folga na aba FOLGAS. ","")),"")&amp;IF(AND(ISNUMBER(C149),D149="FOLGA",B149&lt;&gt;"",COUNTIFS($B$2:$B$301,B149,$C$2:$C$301,C149,$D$2:$D$301,"TRABALHA")=0),"⚠ Ninguém do setor trabalhando nesta data. ","")))</f>
        <v/>
      </c>
    </row>
    <row r="150" customFormat="false" ht="15" hidden="false" customHeight="true" outlineLevel="0" collapsed="false">
      <c r="A150" s="54"/>
      <c r="B150" s="54"/>
      <c r="C150" s="53"/>
      <c r="D150" s="54"/>
      <c r="E150" s="54"/>
      <c r="F150" s="55" t="str">
        <f aca="false">IF(A150="","",TRIM(IF(NOT(ISNUMBER(C150)),"⚠ Falta a data. ","")&amp;IF(ISNUMBER(C150),IF(AND(MONTH(C150)=12,OR(DAY(C150)=24,DAY(C150)=25)),"","⚠ Data fora do Natal (24 ou 25/12). "),"")&amp;IF(AND(ISNUMBER(C150),COUNTIFS($A$2:$A$301,A150,$C$2:$C$301,C150)&gt;1),"⚠ Nome repetido na mesma data. ","")&amp;IF(AND(ISNUMBER(C150),COUNTIFS(FÉRIAS!$A$2:$A$301,A150,FÉRIAS!$C$2:$C$301,"&lt;="&amp;C150,FÉRIAS!$D$2:$D$301,"&gt;="&amp;C150)&gt;0),IF(D150="TRABALHA","⚠ Está de férias e marcado TRABALHA. ","⚠ Já está de férias nesta data. "),"")&amp;IF(AND(ISNUMBER(C150),COUNTIFS(FOLGAS!$A$2:$A$301,A150,FOLGAS!$C$2:$C$301,C150)&gt;0),IF(D150="FOLGA","⚠ Folga também lançada na aba FOLGAS. ",IF(D150="TRABALHA","⚠ Marcado TRABALHA, mas tem folga na aba FOLGAS. ","")),"")&amp;IF(AND(ISNUMBER(C150),D150="FOLGA",B150&lt;&gt;"",COUNTIFS($B$2:$B$301,B150,$C$2:$C$301,C150,$D$2:$D$301,"TRABALHA")=0),"⚠ Ninguém do setor trabalhando nesta data. ","")))</f>
        <v/>
      </c>
    </row>
    <row r="151" customFormat="false" ht="15" hidden="false" customHeight="true" outlineLevel="0" collapsed="false">
      <c r="A151" s="54"/>
      <c r="B151" s="54"/>
      <c r="C151" s="53"/>
      <c r="D151" s="54"/>
      <c r="E151" s="54"/>
      <c r="F151" s="55" t="str">
        <f aca="false">IF(A151="","",TRIM(IF(NOT(ISNUMBER(C151)),"⚠ Falta a data. ","")&amp;IF(ISNUMBER(C151),IF(AND(MONTH(C151)=12,OR(DAY(C151)=24,DAY(C151)=25)),"","⚠ Data fora do Natal (24 ou 25/12). "),"")&amp;IF(AND(ISNUMBER(C151),COUNTIFS($A$2:$A$301,A151,$C$2:$C$301,C151)&gt;1),"⚠ Nome repetido na mesma data. ","")&amp;IF(AND(ISNUMBER(C151),COUNTIFS(FÉRIAS!$A$2:$A$301,A151,FÉRIAS!$C$2:$C$301,"&lt;="&amp;C151,FÉRIAS!$D$2:$D$301,"&gt;="&amp;C151)&gt;0),IF(D151="TRABALHA","⚠ Está de férias e marcado TRABALHA. ","⚠ Já está de férias nesta data. "),"")&amp;IF(AND(ISNUMBER(C151),COUNTIFS(FOLGAS!$A$2:$A$301,A151,FOLGAS!$C$2:$C$301,C151)&gt;0),IF(D151="FOLGA","⚠ Folga também lançada na aba FOLGAS. ",IF(D151="TRABALHA","⚠ Marcado TRABALHA, mas tem folga na aba FOLGAS. ","")),"")&amp;IF(AND(ISNUMBER(C151),D151="FOLGA",B151&lt;&gt;"",COUNTIFS($B$2:$B$301,B151,$C$2:$C$301,C151,$D$2:$D$301,"TRABALHA")=0),"⚠ Ninguém do setor trabalhando nesta data. ","")))</f>
        <v/>
      </c>
    </row>
    <row r="152" customFormat="false" ht="15" hidden="false" customHeight="true" outlineLevel="0" collapsed="false">
      <c r="A152" s="54"/>
      <c r="B152" s="54"/>
      <c r="C152" s="53"/>
      <c r="D152" s="54"/>
      <c r="E152" s="54"/>
      <c r="F152" s="55" t="str">
        <f aca="false">IF(A152="","",TRIM(IF(NOT(ISNUMBER(C152)),"⚠ Falta a data. ","")&amp;IF(ISNUMBER(C152),IF(AND(MONTH(C152)=12,OR(DAY(C152)=24,DAY(C152)=25)),"","⚠ Data fora do Natal (24 ou 25/12). "),"")&amp;IF(AND(ISNUMBER(C152),COUNTIFS($A$2:$A$301,A152,$C$2:$C$301,C152)&gt;1),"⚠ Nome repetido na mesma data. ","")&amp;IF(AND(ISNUMBER(C152),COUNTIFS(FÉRIAS!$A$2:$A$301,A152,FÉRIAS!$C$2:$C$301,"&lt;="&amp;C152,FÉRIAS!$D$2:$D$301,"&gt;="&amp;C152)&gt;0),IF(D152="TRABALHA","⚠ Está de férias e marcado TRABALHA. ","⚠ Já está de férias nesta data. "),"")&amp;IF(AND(ISNUMBER(C152),COUNTIFS(FOLGAS!$A$2:$A$301,A152,FOLGAS!$C$2:$C$301,C152)&gt;0),IF(D152="FOLGA","⚠ Folga também lançada na aba FOLGAS. ",IF(D152="TRABALHA","⚠ Marcado TRABALHA, mas tem folga na aba FOLGAS. ","")),"")&amp;IF(AND(ISNUMBER(C152),D152="FOLGA",B152&lt;&gt;"",COUNTIFS($B$2:$B$301,B152,$C$2:$C$301,C152,$D$2:$D$301,"TRABALHA")=0),"⚠ Ninguém do setor trabalhando nesta data. ","")))</f>
        <v/>
      </c>
    </row>
    <row r="153" customFormat="false" ht="15" hidden="false" customHeight="true" outlineLevel="0" collapsed="false">
      <c r="A153" s="54"/>
      <c r="B153" s="54"/>
      <c r="C153" s="53"/>
      <c r="D153" s="54"/>
      <c r="E153" s="54"/>
      <c r="F153" s="55" t="str">
        <f aca="false">IF(A153="","",TRIM(IF(NOT(ISNUMBER(C153)),"⚠ Falta a data. ","")&amp;IF(ISNUMBER(C153),IF(AND(MONTH(C153)=12,OR(DAY(C153)=24,DAY(C153)=25)),"","⚠ Data fora do Natal (24 ou 25/12). "),"")&amp;IF(AND(ISNUMBER(C153),COUNTIFS($A$2:$A$301,A153,$C$2:$C$301,C153)&gt;1),"⚠ Nome repetido na mesma data. ","")&amp;IF(AND(ISNUMBER(C153),COUNTIFS(FÉRIAS!$A$2:$A$301,A153,FÉRIAS!$C$2:$C$301,"&lt;="&amp;C153,FÉRIAS!$D$2:$D$301,"&gt;="&amp;C153)&gt;0),IF(D153="TRABALHA","⚠ Está de férias e marcado TRABALHA. ","⚠ Já está de férias nesta data. "),"")&amp;IF(AND(ISNUMBER(C153),COUNTIFS(FOLGAS!$A$2:$A$301,A153,FOLGAS!$C$2:$C$301,C153)&gt;0),IF(D153="FOLGA","⚠ Folga também lançada na aba FOLGAS. ",IF(D153="TRABALHA","⚠ Marcado TRABALHA, mas tem folga na aba FOLGAS. ","")),"")&amp;IF(AND(ISNUMBER(C153),D153="FOLGA",B153&lt;&gt;"",COUNTIFS($B$2:$B$301,B153,$C$2:$C$301,C153,$D$2:$D$301,"TRABALHA")=0),"⚠ Ninguém do setor trabalhando nesta data. ","")))</f>
        <v/>
      </c>
    </row>
    <row r="154" customFormat="false" ht="15" hidden="false" customHeight="true" outlineLevel="0" collapsed="false">
      <c r="A154" s="54"/>
      <c r="B154" s="54"/>
      <c r="C154" s="53"/>
      <c r="D154" s="54"/>
      <c r="E154" s="54"/>
      <c r="F154" s="55" t="str">
        <f aca="false">IF(A154="","",TRIM(IF(NOT(ISNUMBER(C154)),"⚠ Falta a data. ","")&amp;IF(ISNUMBER(C154),IF(AND(MONTH(C154)=12,OR(DAY(C154)=24,DAY(C154)=25)),"","⚠ Data fora do Natal (24 ou 25/12). "),"")&amp;IF(AND(ISNUMBER(C154),COUNTIFS($A$2:$A$301,A154,$C$2:$C$301,C154)&gt;1),"⚠ Nome repetido na mesma data. ","")&amp;IF(AND(ISNUMBER(C154),COUNTIFS(FÉRIAS!$A$2:$A$301,A154,FÉRIAS!$C$2:$C$301,"&lt;="&amp;C154,FÉRIAS!$D$2:$D$301,"&gt;="&amp;C154)&gt;0),IF(D154="TRABALHA","⚠ Está de férias e marcado TRABALHA. ","⚠ Já está de férias nesta data. "),"")&amp;IF(AND(ISNUMBER(C154),COUNTIFS(FOLGAS!$A$2:$A$301,A154,FOLGAS!$C$2:$C$301,C154)&gt;0),IF(D154="FOLGA","⚠ Folga também lançada na aba FOLGAS. ",IF(D154="TRABALHA","⚠ Marcado TRABALHA, mas tem folga na aba FOLGAS. ","")),"")&amp;IF(AND(ISNUMBER(C154),D154="FOLGA",B154&lt;&gt;"",COUNTIFS($B$2:$B$301,B154,$C$2:$C$301,C154,$D$2:$D$301,"TRABALHA")=0),"⚠ Ninguém do setor trabalhando nesta data. ","")))</f>
        <v/>
      </c>
    </row>
    <row r="155" customFormat="false" ht="15" hidden="false" customHeight="true" outlineLevel="0" collapsed="false">
      <c r="A155" s="54"/>
      <c r="B155" s="54"/>
      <c r="C155" s="53"/>
      <c r="D155" s="54"/>
      <c r="E155" s="54"/>
      <c r="F155" s="55" t="str">
        <f aca="false">IF(A155="","",TRIM(IF(NOT(ISNUMBER(C155)),"⚠ Falta a data. ","")&amp;IF(ISNUMBER(C155),IF(AND(MONTH(C155)=12,OR(DAY(C155)=24,DAY(C155)=25)),"","⚠ Data fora do Natal (24 ou 25/12). "),"")&amp;IF(AND(ISNUMBER(C155),COUNTIFS($A$2:$A$301,A155,$C$2:$C$301,C155)&gt;1),"⚠ Nome repetido na mesma data. ","")&amp;IF(AND(ISNUMBER(C155),COUNTIFS(FÉRIAS!$A$2:$A$301,A155,FÉRIAS!$C$2:$C$301,"&lt;="&amp;C155,FÉRIAS!$D$2:$D$301,"&gt;="&amp;C155)&gt;0),IF(D155="TRABALHA","⚠ Está de férias e marcado TRABALHA. ","⚠ Já está de férias nesta data. "),"")&amp;IF(AND(ISNUMBER(C155),COUNTIFS(FOLGAS!$A$2:$A$301,A155,FOLGAS!$C$2:$C$301,C155)&gt;0),IF(D155="FOLGA","⚠ Folga também lançada na aba FOLGAS. ",IF(D155="TRABALHA","⚠ Marcado TRABALHA, mas tem folga na aba FOLGAS. ","")),"")&amp;IF(AND(ISNUMBER(C155),D155="FOLGA",B155&lt;&gt;"",COUNTIFS($B$2:$B$301,B155,$C$2:$C$301,C155,$D$2:$D$301,"TRABALHA")=0),"⚠ Ninguém do setor trabalhando nesta data. ","")))</f>
        <v/>
      </c>
    </row>
    <row r="156" customFormat="false" ht="15" hidden="false" customHeight="true" outlineLevel="0" collapsed="false">
      <c r="A156" s="54"/>
      <c r="B156" s="54"/>
      <c r="C156" s="53"/>
      <c r="D156" s="54"/>
      <c r="E156" s="54"/>
      <c r="F156" s="55" t="str">
        <f aca="false">IF(A156="","",TRIM(IF(NOT(ISNUMBER(C156)),"⚠ Falta a data. ","")&amp;IF(ISNUMBER(C156),IF(AND(MONTH(C156)=12,OR(DAY(C156)=24,DAY(C156)=25)),"","⚠ Data fora do Natal (24 ou 25/12). "),"")&amp;IF(AND(ISNUMBER(C156),COUNTIFS($A$2:$A$301,A156,$C$2:$C$301,C156)&gt;1),"⚠ Nome repetido na mesma data. ","")&amp;IF(AND(ISNUMBER(C156),COUNTIFS(FÉRIAS!$A$2:$A$301,A156,FÉRIAS!$C$2:$C$301,"&lt;="&amp;C156,FÉRIAS!$D$2:$D$301,"&gt;="&amp;C156)&gt;0),IF(D156="TRABALHA","⚠ Está de férias e marcado TRABALHA. ","⚠ Já está de férias nesta data. "),"")&amp;IF(AND(ISNUMBER(C156),COUNTIFS(FOLGAS!$A$2:$A$301,A156,FOLGAS!$C$2:$C$301,C156)&gt;0),IF(D156="FOLGA","⚠ Folga também lançada na aba FOLGAS. ",IF(D156="TRABALHA","⚠ Marcado TRABALHA, mas tem folga na aba FOLGAS. ","")),"")&amp;IF(AND(ISNUMBER(C156),D156="FOLGA",B156&lt;&gt;"",COUNTIFS($B$2:$B$301,B156,$C$2:$C$301,C156,$D$2:$D$301,"TRABALHA")=0),"⚠ Ninguém do setor trabalhando nesta data. ","")))</f>
        <v/>
      </c>
    </row>
    <row r="157" customFormat="false" ht="15" hidden="false" customHeight="true" outlineLevel="0" collapsed="false">
      <c r="A157" s="54"/>
      <c r="B157" s="54"/>
      <c r="C157" s="53"/>
      <c r="D157" s="54"/>
      <c r="E157" s="54"/>
      <c r="F157" s="55" t="str">
        <f aca="false">IF(A157="","",TRIM(IF(NOT(ISNUMBER(C157)),"⚠ Falta a data. ","")&amp;IF(ISNUMBER(C157),IF(AND(MONTH(C157)=12,OR(DAY(C157)=24,DAY(C157)=25)),"","⚠ Data fora do Natal (24 ou 25/12). "),"")&amp;IF(AND(ISNUMBER(C157),COUNTIFS($A$2:$A$301,A157,$C$2:$C$301,C157)&gt;1),"⚠ Nome repetido na mesma data. ","")&amp;IF(AND(ISNUMBER(C157),COUNTIFS(FÉRIAS!$A$2:$A$301,A157,FÉRIAS!$C$2:$C$301,"&lt;="&amp;C157,FÉRIAS!$D$2:$D$301,"&gt;="&amp;C157)&gt;0),IF(D157="TRABALHA","⚠ Está de férias e marcado TRABALHA. ","⚠ Já está de férias nesta data. "),"")&amp;IF(AND(ISNUMBER(C157),COUNTIFS(FOLGAS!$A$2:$A$301,A157,FOLGAS!$C$2:$C$301,C157)&gt;0),IF(D157="FOLGA","⚠ Folga também lançada na aba FOLGAS. ",IF(D157="TRABALHA","⚠ Marcado TRABALHA, mas tem folga na aba FOLGAS. ","")),"")&amp;IF(AND(ISNUMBER(C157),D157="FOLGA",B157&lt;&gt;"",COUNTIFS($B$2:$B$301,B157,$C$2:$C$301,C157,$D$2:$D$301,"TRABALHA")=0),"⚠ Ninguém do setor trabalhando nesta data. ","")))</f>
        <v/>
      </c>
    </row>
    <row r="158" customFormat="false" ht="15" hidden="false" customHeight="true" outlineLevel="0" collapsed="false">
      <c r="A158" s="54"/>
      <c r="B158" s="54"/>
      <c r="C158" s="53"/>
      <c r="D158" s="54"/>
      <c r="E158" s="54"/>
      <c r="F158" s="55" t="str">
        <f aca="false">IF(A158="","",TRIM(IF(NOT(ISNUMBER(C158)),"⚠ Falta a data. ","")&amp;IF(ISNUMBER(C158),IF(AND(MONTH(C158)=12,OR(DAY(C158)=24,DAY(C158)=25)),"","⚠ Data fora do Natal (24 ou 25/12). "),"")&amp;IF(AND(ISNUMBER(C158),COUNTIFS($A$2:$A$301,A158,$C$2:$C$301,C158)&gt;1),"⚠ Nome repetido na mesma data. ","")&amp;IF(AND(ISNUMBER(C158),COUNTIFS(FÉRIAS!$A$2:$A$301,A158,FÉRIAS!$C$2:$C$301,"&lt;="&amp;C158,FÉRIAS!$D$2:$D$301,"&gt;="&amp;C158)&gt;0),IF(D158="TRABALHA","⚠ Está de férias e marcado TRABALHA. ","⚠ Já está de férias nesta data. "),"")&amp;IF(AND(ISNUMBER(C158),COUNTIFS(FOLGAS!$A$2:$A$301,A158,FOLGAS!$C$2:$C$301,C158)&gt;0),IF(D158="FOLGA","⚠ Folga também lançada na aba FOLGAS. ",IF(D158="TRABALHA","⚠ Marcado TRABALHA, mas tem folga na aba FOLGAS. ","")),"")&amp;IF(AND(ISNUMBER(C158),D158="FOLGA",B158&lt;&gt;"",COUNTIFS($B$2:$B$301,B158,$C$2:$C$301,C158,$D$2:$D$301,"TRABALHA")=0),"⚠ Ninguém do setor trabalhando nesta data. ","")))</f>
        <v/>
      </c>
    </row>
    <row r="159" customFormat="false" ht="15" hidden="false" customHeight="true" outlineLevel="0" collapsed="false">
      <c r="A159" s="54"/>
      <c r="B159" s="54"/>
      <c r="C159" s="53"/>
      <c r="D159" s="54"/>
      <c r="E159" s="54"/>
      <c r="F159" s="55" t="str">
        <f aca="false">IF(A159="","",TRIM(IF(NOT(ISNUMBER(C159)),"⚠ Falta a data. ","")&amp;IF(ISNUMBER(C159),IF(AND(MONTH(C159)=12,OR(DAY(C159)=24,DAY(C159)=25)),"","⚠ Data fora do Natal (24 ou 25/12). "),"")&amp;IF(AND(ISNUMBER(C159),COUNTIFS($A$2:$A$301,A159,$C$2:$C$301,C159)&gt;1),"⚠ Nome repetido na mesma data. ","")&amp;IF(AND(ISNUMBER(C159),COUNTIFS(FÉRIAS!$A$2:$A$301,A159,FÉRIAS!$C$2:$C$301,"&lt;="&amp;C159,FÉRIAS!$D$2:$D$301,"&gt;="&amp;C159)&gt;0),IF(D159="TRABALHA","⚠ Está de férias e marcado TRABALHA. ","⚠ Já está de férias nesta data. "),"")&amp;IF(AND(ISNUMBER(C159),COUNTIFS(FOLGAS!$A$2:$A$301,A159,FOLGAS!$C$2:$C$301,C159)&gt;0),IF(D159="FOLGA","⚠ Folga também lançada na aba FOLGAS. ",IF(D159="TRABALHA","⚠ Marcado TRABALHA, mas tem folga na aba FOLGAS. ","")),"")&amp;IF(AND(ISNUMBER(C159),D159="FOLGA",B159&lt;&gt;"",COUNTIFS($B$2:$B$301,B159,$C$2:$C$301,C159,$D$2:$D$301,"TRABALHA")=0),"⚠ Ninguém do setor trabalhando nesta data. ","")))</f>
        <v/>
      </c>
    </row>
    <row r="160" customFormat="false" ht="15" hidden="false" customHeight="true" outlineLevel="0" collapsed="false">
      <c r="A160" s="54"/>
      <c r="B160" s="54"/>
      <c r="C160" s="53"/>
      <c r="D160" s="54"/>
      <c r="E160" s="54"/>
      <c r="F160" s="55" t="str">
        <f aca="false">IF(A160="","",TRIM(IF(NOT(ISNUMBER(C160)),"⚠ Falta a data. ","")&amp;IF(ISNUMBER(C160),IF(AND(MONTH(C160)=12,OR(DAY(C160)=24,DAY(C160)=25)),"","⚠ Data fora do Natal (24 ou 25/12). "),"")&amp;IF(AND(ISNUMBER(C160),COUNTIFS($A$2:$A$301,A160,$C$2:$C$301,C160)&gt;1),"⚠ Nome repetido na mesma data. ","")&amp;IF(AND(ISNUMBER(C160),COUNTIFS(FÉRIAS!$A$2:$A$301,A160,FÉRIAS!$C$2:$C$301,"&lt;="&amp;C160,FÉRIAS!$D$2:$D$301,"&gt;="&amp;C160)&gt;0),IF(D160="TRABALHA","⚠ Está de férias e marcado TRABALHA. ","⚠ Já está de férias nesta data. "),"")&amp;IF(AND(ISNUMBER(C160),COUNTIFS(FOLGAS!$A$2:$A$301,A160,FOLGAS!$C$2:$C$301,C160)&gt;0),IF(D160="FOLGA","⚠ Folga também lançada na aba FOLGAS. ",IF(D160="TRABALHA","⚠ Marcado TRABALHA, mas tem folga na aba FOLGAS. ","")),"")&amp;IF(AND(ISNUMBER(C160),D160="FOLGA",B160&lt;&gt;"",COUNTIFS($B$2:$B$301,B160,$C$2:$C$301,C160,$D$2:$D$301,"TRABALHA")=0),"⚠ Ninguém do setor trabalhando nesta data. ","")))</f>
        <v/>
      </c>
    </row>
    <row r="161" customFormat="false" ht="15" hidden="false" customHeight="true" outlineLevel="0" collapsed="false">
      <c r="A161" s="54"/>
      <c r="B161" s="54"/>
      <c r="C161" s="53"/>
      <c r="D161" s="54"/>
      <c r="E161" s="54"/>
      <c r="F161" s="55" t="str">
        <f aca="false">IF(A161="","",TRIM(IF(NOT(ISNUMBER(C161)),"⚠ Falta a data. ","")&amp;IF(ISNUMBER(C161),IF(AND(MONTH(C161)=12,OR(DAY(C161)=24,DAY(C161)=25)),"","⚠ Data fora do Natal (24 ou 25/12). "),"")&amp;IF(AND(ISNUMBER(C161),COUNTIFS($A$2:$A$301,A161,$C$2:$C$301,C161)&gt;1),"⚠ Nome repetido na mesma data. ","")&amp;IF(AND(ISNUMBER(C161),COUNTIFS(FÉRIAS!$A$2:$A$301,A161,FÉRIAS!$C$2:$C$301,"&lt;="&amp;C161,FÉRIAS!$D$2:$D$301,"&gt;="&amp;C161)&gt;0),IF(D161="TRABALHA","⚠ Está de férias e marcado TRABALHA. ","⚠ Já está de férias nesta data. "),"")&amp;IF(AND(ISNUMBER(C161),COUNTIFS(FOLGAS!$A$2:$A$301,A161,FOLGAS!$C$2:$C$301,C161)&gt;0),IF(D161="FOLGA","⚠ Folga também lançada na aba FOLGAS. ",IF(D161="TRABALHA","⚠ Marcado TRABALHA, mas tem folga na aba FOLGAS. ","")),"")&amp;IF(AND(ISNUMBER(C161),D161="FOLGA",B161&lt;&gt;"",COUNTIFS($B$2:$B$301,B161,$C$2:$C$301,C161,$D$2:$D$301,"TRABALHA")=0),"⚠ Ninguém do setor trabalhando nesta data. ","")))</f>
        <v/>
      </c>
    </row>
    <row r="162" customFormat="false" ht="15" hidden="false" customHeight="true" outlineLevel="0" collapsed="false">
      <c r="A162" s="54"/>
      <c r="B162" s="54"/>
      <c r="C162" s="53"/>
      <c r="D162" s="54"/>
      <c r="E162" s="54"/>
      <c r="F162" s="55" t="str">
        <f aca="false">IF(A162="","",TRIM(IF(NOT(ISNUMBER(C162)),"⚠ Falta a data. ","")&amp;IF(ISNUMBER(C162),IF(AND(MONTH(C162)=12,OR(DAY(C162)=24,DAY(C162)=25)),"","⚠ Data fora do Natal (24 ou 25/12). "),"")&amp;IF(AND(ISNUMBER(C162),COUNTIFS($A$2:$A$301,A162,$C$2:$C$301,C162)&gt;1),"⚠ Nome repetido na mesma data. ","")&amp;IF(AND(ISNUMBER(C162),COUNTIFS(FÉRIAS!$A$2:$A$301,A162,FÉRIAS!$C$2:$C$301,"&lt;="&amp;C162,FÉRIAS!$D$2:$D$301,"&gt;="&amp;C162)&gt;0),IF(D162="TRABALHA","⚠ Está de férias e marcado TRABALHA. ","⚠ Já está de férias nesta data. "),"")&amp;IF(AND(ISNUMBER(C162),COUNTIFS(FOLGAS!$A$2:$A$301,A162,FOLGAS!$C$2:$C$301,C162)&gt;0),IF(D162="FOLGA","⚠ Folga também lançada na aba FOLGAS. ",IF(D162="TRABALHA","⚠ Marcado TRABALHA, mas tem folga na aba FOLGAS. ","")),"")&amp;IF(AND(ISNUMBER(C162),D162="FOLGA",B162&lt;&gt;"",COUNTIFS($B$2:$B$301,B162,$C$2:$C$301,C162,$D$2:$D$301,"TRABALHA")=0),"⚠ Ninguém do setor trabalhando nesta data. ","")))</f>
        <v/>
      </c>
    </row>
    <row r="163" customFormat="false" ht="15" hidden="false" customHeight="true" outlineLevel="0" collapsed="false">
      <c r="A163" s="54"/>
      <c r="B163" s="54"/>
      <c r="C163" s="53"/>
      <c r="D163" s="54"/>
      <c r="E163" s="54"/>
      <c r="F163" s="55" t="str">
        <f aca="false">IF(A163="","",TRIM(IF(NOT(ISNUMBER(C163)),"⚠ Falta a data. ","")&amp;IF(ISNUMBER(C163),IF(AND(MONTH(C163)=12,OR(DAY(C163)=24,DAY(C163)=25)),"","⚠ Data fora do Natal (24 ou 25/12). "),"")&amp;IF(AND(ISNUMBER(C163),COUNTIFS($A$2:$A$301,A163,$C$2:$C$301,C163)&gt;1),"⚠ Nome repetido na mesma data. ","")&amp;IF(AND(ISNUMBER(C163),COUNTIFS(FÉRIAS!$A$2:$A$301,A163,FÉRIAS!$C$2:$C$301,"&lt;="&amp;C163,FÉRIAS!$D$2:$D$301,"&gt;="&amp;C163)&gt;0),IF(D163="TRABALHA","⚠ Está de férias e marcado TRABALHA. ","⚠ Já está de férias nesta data. "),"")&amp;IF(AND(ISNUMBER(C163),COUNTIFS(FOLGAS!$A$2:$A$301,A163,FOLGAS!$C$2:$C$301,C163)&gt;0),IF(D163="FOLGA","⚠ Folga também lançada na aba FOLGAS. ",IF(D163="TRABALHA","⚠ Marcado TRABALHA, mas tem folga na aba FOLGAS. ","")),"")&amp;IF(AND(ISNUMBER(C163),D163="FOLGA",B163&lt;&gt;"",COUNTIFS($B$2:$B$301,B163,$C$2:$C$301,C163,$D$2:$D$301,"TRABALHA")=0),"⚠ Ninguém do setor trabalhando nesta data. ","")))</f>
        <v/>
      </c>
    </row>
    <row r="164" customFormat="false" ht="15" hidden="false" customHeight="true" outlineLevel="0" collapsed="false">
      <c r="A164" s="54"/>
      <c r="B164" s="54"/>
      <c r="C164" s="53"/>
      <c r="D164" s="54"/>
      <c r="E164" s="54"/>
      <c r="F164" s="55" t="str">
        <f aca="false">IF(A164="","",TRIM(IF(NOT(ISNUMBER(C164)),"⚠ Falta a data. ","")&amp;IF(ISNUMBER(C164),IF(AND(MONTH(C164)=12,OR(DAY(C164)=24,DAY(C164)=25)),"","⚠ Data fora do Natal (24 ou 25/12). "),"")&amp;IF(AND(ISNUMBER(C164),COUNTIFS($A$2:$A$301,A164,$C$2:$C$301,C164)&gt;1),"⚠ Nome repetido na mesma data. ","")&amp;IF(AND(ISNUMBER(C164),COUNTIFS(FÉRIAS!$A$2:$A$301,A164,FÉRIAS!$C$2:$C$301,"&lt;="&amp;C164,FÉRIAS!$D$2:$D$301,"&gt;="&amp;C164)&gt;0),IF(D164="TRABALHA","⚠ Está de férias e marcado TRABALHA. ","⚠ Já está de férias nesta data. "),"")&amp;IF(AND(ISNUMBER(C164),COUNTIFS(FOLGAS!$A$2:$A$301,A164,FOLGAS!$C$2:$C$301,C164)&gt;0),IF(D164="FOLGA","⚠ Folga também lançada na aba FOLGAS. ",IF(D164="TRABALHA","⚠ Marcado TRABALHA, mas tem folga na aba FOLGAS. ","")),"")&amp;IF(AND(ISNUMBER(C164),D164="FOLGA",B164&lt;&gt;"",COUNTIFS($B$2:$B$301,B164,$C$2:$C$301,C164,$D$2:$D$301,"TRABALHA")=0),"⚠ Ninguém do setor trabalhando nesta data. ","")))</f>
        <v/>
      </c>
    </row>
    <row r="165" customFormat="false" ht="15" hidden="false" customHeight="true" outlineLevel="0" collapsed="false">
      <c r="A165" s="54"/>
      <c r="B165" s="54"/>
      <c r="C165" s="53"/>
      <c r="D165" s="54"/>
      <c r="E165" s="54"/>
      <c r="F165" s="55" t="str">
        <f aca="false">IF(A165="","",TRIM(IF(NOT(ISNUMBER(C165)),"⚠ Falta a data. ","")&amp;IF(ISNUMBER(C165),IF(AND(MONTH(C165)=12,OR(DAY(C165)=24,DAY(C165)=25)),"","⚠ Data fora do Natal (24 ou 25/12). "),"")&amp;IF(AND(ISNUMBER(C165),COUNTIFS($A$2:$A$301,A165,$C$2:$C$301,C165)&gt;1),"⚠ Nome repetido na mesma data. ","")&amp;IF(AND(ISNUMBER(C165),COUNTIFS(FÉRIAS!$A$2:$A$301,A165,FÉRIAS!$C$2:$C$301,"&lt;="&amp;C165,FÉRIAS!$D$2:$D$301,"&gt;="&amp;C165)&gt;0),IF(D165="TRABALHA","⚠ Está de férias e marcado TRABALHA. ","⚠ Já está de férias nesta data. "),"")&amp;IF(AND(ISNUMBER(C165),COUNTIFS(FOLGAS!$A$2:$A$301,A165,FOLGAS!$C$2:$C$301,C165)&gt;0),IF(D165="FOLGA","⚠ Folga também lançada na aba FOLGAS. ",IF(D165="TRABALHA","⚠ Marcado TRABALHA, mas tem folga na aba FOLGAS. ","")),"")&amp;IF(AND(ISNUMBER(C165),D165="FOLGA",B165&lt;&gt;"",COUNTIFS($B$2:$B$301,B165,$C$2:$C$301,C165,$D$2:$D$301,"TRABALHA")=0),"⚠ Ninguém do setor trabalhando nesta data. ","")))</f>
        <v/>
      </c>
    </row>
    <row r="166" customFormat="false" ht="15" hidden="false" customHeight="true" outlineLevel="0" collapsed="false">
      <c r="A166" s="54"/>
      <c r="B166" s="54"/>
      <c r="C166" s="53"/>
      <c r="D166" s="54"/>
      <c r="E166" s="54"/>
      <c r="F166" s="55" t="str">
        <f aca="false">IF(A166="","",TRIM(IF(NOT(ISNUMBER(C166)),"⚠ Falta a data. ","")&amp;IF(ISNUMBER(C166),IF(AND(MONTH(C166)=12,OR(DAY(C166)=24,DAY(C166)=25)),"","⚠ Data fora do Natal (24 ou 25/12). "),"")&amp;IF(AND(ISNUMBER(C166),COUNTIFS($A$2:$A$301,A166,$C$2:$C$301,C166)&gt;1),"⚠ Nome repetido na mesma data. ","")&amp;IF(AND(ISNUMBER(C166),COUNTIFS(FÉRIAS!$A$2:$A$301,A166,FÉRIAS!$C$2:$C$301,"&lt;="&amp;C166,FÉRIAS!$D$2:$D$301,"&gt;="&amp;C166)&gt;0),IF(D166="TRABALHA","⚠ Está de férias e marcado TRABALHA. ","⚠ Já está de férias nesta data. "),"")&amp;IF(AND(ISNUMBER(C166),COUNTIFS(FOLGAS!$A$2:$A$301,A166,FOLGAS!$C$2:$C$301,C166)&gt;0),IF(D166="FOLGA","⚠ Folga também lançada na aba FOLGAS. ",IF(D166="TRABALHA","⚠ Marcado TRABALHA, mas tem folga na aba FOLGAS. ","")),"")&amp;IF(AND(ISNUMBER(C166),D166="FOLGA",B166&lt;&gt;"",COUNTIFS($B$2:$B$301,B166,$C$2:$C$301,C166,$D$2:$D$301,"TRABALHA")=0),"⚠ Ninguém do setor trabalhando nesta data. ","")))</f>
        <v/>
      </c>
    </row>
    <row r="167" customFormat="false" ht="15" hidden="false" customHeight="true" outlineLevel="0" collapsed="false">
      <c r="A167" s="54"/>
      <c r="B167" s="54"/>
      <c r="C167" s="53"/>
      <c r="D167" s="54"/>
      <c r="E167" s="54"/>
      <c r="F167" s="55" t="str">
        <f aca="false">IF(A167="","",TRIM(IF(NOT(ISNUMBER(C167)),"⚠ Falta a data. ","")&amp;IF(ISNUMBER(C167),IF(AND(MONTH(C167)=12,OR(DAY(C167)=24,DAY(C167)=25)),"","⚠ Data fora do Natal (24 ou 25/12). "),"")&amp;IF(AND(ISNUMBER(C167),COUNTIFS($A$2:$A$301,A167,$C$2:$C$301,C167)&gt;1),"⚠ Nome repetido na mesma data. ","")&amp;IF(AND(ISNUMBER(C167),COUNTIFS(FÉRIAS!$A$2:$A$301,A167,FÉRIAS!$C$2:$C$301,"&lt;="&amp;C167,FÉRIAS!$D$2:$D$301,"&gt;="&amp;C167)&gt;0),IF(D167="TRABALHA","⚠ Está de férias e marcado TRABALHA. ","⚠ Já está de férias nesta data. "),"")&amp;IF(AND(ISNUMBER(C167),COUNTIFS(FOLGAS!$A$2:$A$301,A167,FOLGAS!$C$2:$C$301,C167)&gt;0),IF(D167="FOLGA","⚠ Folga também lançada na aba FOLGAS. ",IF(D167="TRABALHA","⚠ Marcado TRABALHA, mas tem folga na aba FOLGAS. ","")),"")&amp;IF(AND(ISNUMBER(C167),D167="FOLGA",B167&lt;&gt;"",COUNTIFS($B$2:$B$301,B167,$C$2:$C$301,C167,$D$2:$D$301,"TRABALHA")=0),"⚠ Ninguém do setor trabalhando nesta data. ","")))</f>
        <v/>
      </c>
    </row>
    <row r="168" customFormat="false" ht="15" hidden="false" customHeight="true" outlineLevel="0" collapsed="false">
      <c r="A168" s="54"/>
      <c r="B168" s="54"/>
      <c r="C168" s="53"/>
      <c r="D168" s="54"/>
      <c r="E168" s="54"/>
      <c r="F168" s="55" t="str">
        <f aca="false">IF(A168="","",TRIM(IF(NOT(ISNUMBER(C168)),"⚠ Falta a data. ","")&amp;IF(ISNUMBER(C168),IF(AND(MONTH(C168)=12,OR(DAY(C168)=24,DAY(C168)=25)),"","⚠ Data fora do Natal (24 ou 25/12). "),"")&amp;IF(AND(ISNUMBER(C168),COUNTIFS($A$2:$A$301,A168,$C$2:$C$301,C168)&gt;1),"⚠ Nome repetido na mesma data. ","")&amp;IF(AND(ISNUMBER(C168),COUNTIFS(FÉRIAS!$A$2:$A$301,A168,FÉRIAS!$C$2:$C$301,"&lt;="&amp;C168,FÉRIAS!$D$2:$D$301,"&gt;="&amp;C168)&gt;0),IF(D168="TRABALHA","⚠ Está de férias e marcado TRABALHA. ","⚠ Já está de férias nesta data. "),"")&amp;IF(AND(ISNUMBER(C168),COUNTIFS(FOLGAS!$A$2:$A$301,A168,FOLGAS!$C$2:$C$301,C168)&gt;0),IF(D168="FOLGA","⚠ Folga também lançada na aba FOLGAS. ",IF(D168="TRABALHA","⚠ Marcado TRABALHA, mas tem folga na aba FOLGAS. ","")),"")&amp;IF(AND(ISNUMBER(C168),D168="FOLGA",B168&lt;&gt;"",COUNTIFS($B$2:$B$301,B168,$C$2:$C$301,C168,$D$2:$D$301,"TRABALHA")=0),"⚠ Ninguém do setor trabalhando nesta data. ","")))</f>
        <v/>
      </c>
    </row>
    <row r="169" customFormat="false" ht="15" hidden="false" customHeight="true" outlineLevel="0" collapsed="false">
      <c r="A169" s="54"/>
      <c r="B169" s="54"/>
      <c r="C169" s="53"/>
      <c r="D169" s="54"/>
      <c r="E169" s="54"/>
      <c r="F169" s="55" t="str">
        <f aca="false">IF(A169="","",TRIM(IF(NOT(ISNUMBER(C169)),"⚠ Falta a data. ","")&amp;IF(ISNUMBER(C169),IF(AND(MONTH(C169)=12,OR(DAY(C169)=24,DAY(C169)=25)),"","⚠ Data fora do Natal (24 ou 25/12). "),"")&amp;IF(AND(ISNUMBER(C169),COUNTIFS($A$2:$A$301,A169,$C$2:$C$301,C169)&gt;1),"⚠ Nome repetido na mesma data. ","")&amp;IF(AND(ISNUMBER(C169),COUNTIFS(FÉRIAS!$A$2:$A$301,A169,FÉRIAS!$C$2:$C$301,"&lt;="&amp;C169,FÉRIAS!$D$2:$D$301,"&gt;="&amp;C169)&gt;0),IF(D169="TRABALHA","⚠ Está de férias e marcado TRABALHA. ","⚠ Já está de férias nesta data. "),"")&amp;IF(AND(ISNUMBER(C169),COUNTIFS(FOLGAS!$A$2:$A$301,A169,FOLGAS!$C$2:$C$301,C169)&gt;0),IF(D169="FOLGA","⚠ Folga também lançada na aba FOLGAS. ",IF(D169="TRABALHA","⚠ Marcado TRABALHA, mas tem folga na aba FOLGAS. ","")),"")&amp;IF(AND(ISNUMBER(C169),D169="FOLGA",B169&lt;&gt;"",COUNTIFS($B$2:$B$301,B169,$C$2:$C$301,C169,$D$2:$D$301,"TRABALHA")=0),"⚠ Ninguém do setor trabalhando nesta data. ","")))</f>
        <v/>
      </c>
    </row>
    <row r="170" customFormat="false" ht="15" hidden="false" customHeight="true" outlineLevel="0" collapsed="false">
      <c r="A170" s="54"/>
      <c r="B170" s="54"/>
      <c r="C170" s="53"/>
      <c r="D170" s="54"/>
      <c r="E170" s="54"/>
      <c r="F170" s="55" t="str">
        <f aca="false">IF(A170="","",TRIM(IF(NOT(ISNUMBER(C170)),"⚠ Falta a data. ","")&amp;IF(ISNUMBER(C170),IF(AND(MONTH(C170)=12,OR(DAY(C170)=24,DAY(C170)=25)),"","⚠ Data fora do Natal (24 ou 25/12). "),"")&amp;IF(AND(ISNUMBER(C170),COUNTIFS($A$2:$A$301,A170,$C$2:$C$301,C170)&gt;1),"⚠ Nome repetido na mesma data. ","")&amp;IF(AND(ISNUMBER(C170),COUNTIFS(FÉRIAS!$A$2:$A$301,A170,FÉRIAS!$C$2:$C$301,"&lt;="&amp;C170,FÉRIAS!$D$2:$D$301,"&gt;="&amp;C170)&gt;0),IF(D170="TRABALHA","⚠ Está de férias e marcado TRABALHA. ","⚠ Já está de férias nesta data. "),"")&amp;IF(AND(ISNUMBER(C170),COUNTIFS(FOLGAS!$A$2:$A$301,A170,FOLGAS!$C$2:$C$301,C170)&gt;0),IF(D170="FOLGA","⚠ Folga também lançada na aba FOLGAS. ",IF(D170="TRABALHA","⚠ Marcado TRABALHA, mas tem folga na aba FOLGAS. ","")),"")&amp;IF(AND(ISNUMBER(C170),D170="FOLGA",B170&lt;&gt;"",COUNTIFS($B$2:$B$301,B170,$C$2:$C$301,C170,$D$2:$D$301,"TRABALHA")=0),"⚠ Ninguém do setor trabalhando nesta data. ","")))</f>
        <v/>
      </c>
    </row>
    <row r="171" customFormat="false" ht="15" hidden="false" customHeight="true" outlineLevel="0" collapsed="false">
      <c r="A171" s="54"/>
      <c r="B171" s="54"/>
      <c r="C171" s="53"/>
      <c r="D171" s="54"/>
      <c r="E171" s="54"/>
      <c r="F171" s="55" t="str">
        <f aca="false">IF(A171="","",TRIM(IF(NOT(ISNUMBER(C171)),"⚠ Falta a data. ","")&amp;IF(ISNUMBER(C171),IF(AND(MONTH(C171)=12,OR(DAY(C171)=24,DAY(C171)=25)),"","⚠ Data fora do Natal (24 ou 25/12). "),"")&amp;IF(AND(ISNUMBER(C171),COUNTIFS($A$2:$A$301,A171,$C$2:$C$301,C171)&gt;1),"⚠ Nome repetido na mesma data. ","")&amp;IF(AND(ISNUMBER(C171),COUNTIFS(FÉRIAS!$A$2:$A$301,A171,FÉRIAS!$C$2:$C$301,"&lt;="&amp;C171,FÉRIAS!$D$2:$D$301,"&gt;="&amp;C171)&gt;0),IF(D171="TRABALHA","⚠ Está de férias e marcado TRABALHA. ","⚠ Já está de férias nesta data. "),"")&amp;IF(AND(ISNUMBER(C171),COUNTIFS(FOLGAS!$A$2:$A$301,A171,FOLGAS!$C$2:$C$301,C171)&gt;0),IF(D171="FOLGA","⚠ Folga também lançada na aba FOLGAS. ",IF(D171="TRABALHA","⚠ Marcado TRABALHA, mas tem folga na aba FOLGAS. ","")),"")&amp;IF(AND(ISNUMBER(C171),D171="FOLGA",B171&lt;&gt;"",COUNTIFS($B$2:$B$301,B171,$C$2:$C$301,C171,$D$2:$D$301,"TRABALHA")=0),"⚠ Ninguém do setor trabalhando nesta data. ","")))</f>
        <v/>
      </c>
    </row>
    <row r="172" customFormat="false" ht="15" hidden="false" customHeight="true" outlineLevel="0" collapsed="false">
      <c r="A172" s="54"/>
      <c r="B172" s="54"/>
      <c r="C172" s="53"/>
      <c r="D172" s="54"/>
      <c r="E172" s="54"/>
      <c r="F172" s="55" t="str">
        <f aca="false">IF(A172="","",TRIM(IF(NOT(ISNUMBER(C172)),"⚠ Falta a data. ","")&amp;IF(ISNUMBER(C172),IF(AND(MONTH(C172)=12,OR(DAY(C172)=24,DAY(C172)=25)),"","⚠ Data fora do Natal (24 ou 25/12). "),"")&amp;IF(AND(ISNUMBER(C172),COUNTIFS($A$2:$A$301,A172,$C$2:$C$301,C172)&gt;1),"⚠ Nome repetido na mesma data. ","")&amp;IF(AND(ISNUMBER(C172),COUNTIFS(FÉRIAS!$A$2:$A$301,A172,FÉRIAS!$C$2:$C$301,"&lt;="&amp;C172,FÉRIAS!$D$2:$D$301,"&gt;="&amp;C172)&gt;0),IF(D172="TRABALHA","⚠ Está de férias e marcado TRABALHA. ","⚠ Já está de férias nesta data. "),"")&amp;IF(AND(ISNUMBER(C172),COUNTIFS(FOLGAS!$A$2:$A$301,A172,FOLGAS!$C$2:$C$301,C172)&gt;0),IF(D172="FOLGA","⚠ Folga também lançada na aba FOLGAS. ",IF(D172="TRABALHA","⚠ Marcado TRABALHA, mas tem folga na aba FOLGAS. ","")),"")&amp;IF(AND(ISNUMBER(C172),D172="FOLGA",B172&lt;&gt;"",COUNTIFS($B$2:$B$301,B172,$C$2:$C$301,C172,$D$2:$D$301,"TRABALHA")=0),"⚠ Ninguém do setor trabalhando nesta data. ","")))</f>
        <v/>
      </c>
    </row>
    <row r="173" customFormat="false" ht="15" hidden="false" customHeight="true" outlineLevel="0" collapsed="false">
      <c r="A173" s="54"/>
      <c r="B173" s="54"/>
      <c r="C173" s="53"/>
      <c r="D173" s="54"/>
      <c r="E173" s="54"/>
      <c r="F173" s="55" t="str">
        <f aca="false">IF(A173="","",TRIM(IF(NOT(ISNUMBER(C173)),"⚠ Falta a data. ","")&amp;IF(ISNUMBER(C173),IF(AND(MONTH(C173)=12,OR(DAY(C173)=24,DAY(C173)=25)),"","⚠ Data fora do Natal (24 ou 25/12). "),"")&amp;IF(AND(ISNUMBER(C173),COUNTIFS($A$2:$A$301,A173,$C$2:$C$301,C173)&gt;1),"⚠ Nome repetido na mesma data. ","")&amp;IF(AND(ISNUMBER(C173),COUNTIFS(FÉRIAS!$A$2:$A$301,A173,FÉRIAS!$C$2:$C$301,"&lt;="&amp;C173,FÉRIAS!$D$2:$D$301,"&gt;="&amp;C173)&gt;0),IF(D173="TRABALHA","⚠ Está de férias e marcado TRABALHA. ","⚠ Já está de férias nesta data. "),"")&amp;IF(AND(ISNUMBER(C173),COUNTIFS(FOLGAS!$A$2:$A$301,A173,FOLGAS!$C$2:$C$301,C173)&gt;0),IF(D173="FOLGA","⚠ Folga também lançada na aba FOLGAS. ",IF(D173="TRABALHA","⚠ Marcado TRABALHA, mas tem folga na aba FOLGAS. ","")),"")&amp;IF(AND(ISNUMBER(C173),D173="FOLGA",B173&lt;&gt;"",COUNTIFS($B$2:$B$301,B173,$C$2:$C$301,C173,$D$2:$D$301,"TRABALHA")=0),"⚠ Ninguém do setor trabalhando nesta data. ","")))</f>
        <v/>
      </c>
    </row>
    <row r="174" customFormat="false" ht="15" hidden="false" customHeight="true" outlineLevel="0" collapsed="false">
      <c r="A174" s="54"/>
      <c r="B174" s="54"/>
      <c r="C174" s="53"/>
      <c r="D174" s="54"/>
      <c r="E174" s="54"/>
      <c r="F174" s="55" t="str">
        <f aca="false">IF(A174="","",TRIM(IF(NOT(ISNUMBER(C174)),"⚠ Falta a data. ","")&amp;IF(ISNUMBER(C174),IF(AND(MONTH(C174)=12,OR(DAY(C174)=24,DAY(C174)=25)),"","⚠ Data fora do Natal (24 ou 25/12). "),"")&amp;IF(AND(ISNUMBER(C174),COUNTIFS($A$2:$A$301,A174,$C$2:$C$301,C174)&gt;1),"⚠ Nome repetido na mesma data. ","")&amp;IF(AND(ISNUMBER(C174),COUNTIFS(FÉRIAS!$A$2:$A$301,A174,FÉRIAS!$C$2:$C$301,"&lt;="&amp;C174,FÉRIAS!$D$2:$D$301,"&gt;="&amp;C174)&gt;0),IF(D174="TRABALHA","⚠ Está de férias e marcado TRABALHA. ","⚠ Já está de férias nesta data. "),"")&amp;IF(AND(ISNUMBER(C174),COUNTIFS(FOLGAS!$A$2:$A$301,A174,FOLGAS!$C$2:$C$301,C174)&gt;0),IF(D174="FOLGA","⚠ Folga também lançada na aba FOLGAS. ",IF(D174="TRABALHA","⚠ Marcado TRABALHA, mas tem folga na aba FOLGAS. ","")),"")&amp;IF(AND(ISNUMBER(C174),D174="FOLGA",B174&lt;&gt;"",COUNTIFS($B$2:$B$301,B174,$C$2:$C$301,C174,$D$2:$D$301,"TRABALHA")=0),"⚠ Ninguém do setor trabalhando nesta data. ","")))</f>
        <v/>
      </c>
    </row>
    <row r="175" customFormat="false" ht="15" hidden="false" customHeight="true" outlineLevel="0" collapsed="false">
      <c r="A175" s="54"/>
      <c r="B175" s="54"/>
      <c r="C175" s="53"/>
      <c r="D175" s="54"/>
      <c r="E175" s="54"/>
      <c r="F175" s="55" t="str">
        <f aca="false">IF(A175="","",TRIM(IF(NOT(ISNUMBER(C175)),"⚠ Falta a data. ","")&amp;IF(ISNUMBER(C175),IF(AND(MONTH(C175)=12,OR(DAY(C175)=24,DAY(C175)=25)),"","⚠ Data fora do Natal (24 ou 25/12). "),"")&amp;IF(AND(ISNUMBER(C175),COUNTIFS($A$2:$A$301,A175,$C$2:$C$301,C175)&gt;1),"⚠ Nome repetido na mesma data. ","")&amp;IF(AND(ISNUMBER(C175),COUNTIFS(FÉRIAS!$A$2:$A$301,A175,FÉRIAS!$C$2:$C$301,"&lt;="&amp;C175,FÉRIAS!$D$2:$D$301,"&gt;="&amp;C175)&gt;0),IF(D175="TRABALHA","⚠ Está de férias e marcado TRABALHA. ","⚠ Já está de férias nesta data. "),"")&amp;IF(AND(ISNUMBER(C175),COUNTIFS(FOLGAS!$A$2:$A$301,A175,FOLGAS!$C$2:$C$301,C175)&gt;0),IF(D175="FOLGA","⚠ Folga também lançada na aba FOLGAS. ",IF(D175="TRABALHA","⚠ Marcado TRABALHA, mas tem folga na aba FOLGAS. ","")),"")&amp;IF(AND(ISNUMBER(C175),D175="FOLGA",B175&lt;&gt;"",COUNTIFS($B$2:$B$301,B175,$C$2:$C$301,C175,$D$2:$D$301,"TRABALHA")=0),"⚠ Ninguém do setor trabalhando nesta data. ","")))</f>
        <v/>
      </c>
    </row>
    <row r="176" customFormat="false" ht="15" hidden="false" customHeight="true" outlineLevel="0" collapsed="false">
      <c r="A176" s="54"/>
      <c r="B176" s="54"/>
      <c r="C176" s="53"/>
      <c r="D176" s="54"/>
      <c r="E176" s="54"/>
      <c r="F176" s="55" t="str">
        <f aca="false">IF(A176="","",TRIM(IF(NOT(ISNUMBER(C176)),"⚠ Falta a data. ","")&amp;IF(ISNUMBER(C176),IF(AND(MONTH(C176)=12,OR(DAY(C176)=24,DAY(C176)=25)),"","⚠ Data fora do Natal (24 ou 25/12). "),"")&amp;IF(AND(ISNUMBER(C176),COUNTIFS($A$2:$A$301,A176,$C$2:$C$301,C176)&gt;1),"⚠ Nome repetido na mesma data. ","")&amp;IF(AND(ISNUMBER(C176),COUNTIFS(FÉRIAS!$A$2:$A$301,A176,FÉRIAS!$C$2:$C$301,"&lt;="&amp;C176,FÉRIAS!$D$2:$D$301,"&gt;="&amp;C176)&gt;0),IF(D176="TRABALHA","⚠ Está de férias e marcado TRABALHA. ","⚠ Já está de férias nesta data. "),"")&amp;IF(AND(ISNUMBER(C176),COUNTIFS(FOLGAS!$A$2:$A$301,A176,FOLGAS!$C$2:$C$301,C176)&gt;0),IF(D176="FOLGA","⚠ Folga também lançada na aba FOLGAS. ",IF(D176="TRABALHA","⚠ Marcado TRABALHA, mas tem folga na aba FOLGAS. ","")),"")&amp;IF(AND(ISNUMBER(C176),D176="FOLGA",B176&lt;&gt;"",COUNTIFS($B$2:$B$301,B176,$C$2:$C$301,C176,$D$2:$D$301,"TRABALHA")=0),"⚠ Ninguém do setor trabalhando nesta data. ","")))</f>
        <v/>
      </c>
    </row>
    <row r="177" customFormat="false" ht="15" hidden="false" customHeight="true" outlineLevel="0" collapsed="false">
      <c r="A177" s="54"/>
      <c r="B177" s="54"/>
      <c r="C177" s="53"/>
      <c r="D177" s="54"/>
      <c r="E177" s="54"/>
      <c r="F177" s="55" t="str">
        <f aca="false">IF(A177="","",TRIM(IF(NOT(ISNUMBER(C177)),"⚠ Falta a data. ","")&amp;IF(ISNUMBER(C177),IF(AND(MONTH(C177)=12,OR(DAY(C177)=24,DAY(C177)=25)),"","⚠ Data fora do Natal (24 ou 25/12). "),"")&amp;IF(AND(ISNUMBER(C177),COUNTIFS($A$2:$A$301,A177,$C$2:$C$301,C177)&gt;1),"⚠ Nome repetido na mesma data. ","")&amp;IF(AND(ISNUMBER(C177),COUNTIFS(FÉRIAS!$A$2:$A$301,A177,FÉRIAS!$C$2:$C$301,"&lt;="&amp;C177,FÉRIAS!$D$2:$D$301,"&gt;="&amp;C177)&gt;0),IF(D177="TRABALHA","⚠ Está de férias e marcado TRABALHA. ","⚠ Já está de férias nesta data. "),"")&amp;IF(AND(ISNUMBER(C177),COUNTIFS(FOLGAS!$A$2:$A$301,A177,FOLGAS!$C$2:$C$301,C177)&gt;0),IF(D177="FOLGA","⚠ Folga também lançada na aba FOLGAS. ",IF(D177="TRABALHA","⚠ Marcado TRABALHA, mas tem folga na aba FOLGAS. ","")),"")&amp;IF(AND(ISNUMBER(C177),D177="FOLGA",B177&lt;&gt;"",COUNTIFS($B$2:$B$301,B177,$C$2:$C$301,C177,$D$2:$D$301,"TRABALHA")=0),"⚠ Ninguém do setor trabalhando nesta data. ","")))</f>
        <v/>
      </c>
    </row>
    <row r="178" customFormat="false" ht="15" hidden="false" customHeight="true" outlineLevel="0" collapsed="false">
      <c r="A178" s="54"/>
      <c r="B178" s="54"/>
      <c r="C178" s="53"/>
      <c r="D178" s="54"/>
      <c r="E178" s="54"/>
      <c r="F178" s="55" t="str">
        <f aca="false">IF(A178="","",TRIM(IF(NOT(ISNUMBER(C178)),"⚠ Falta a data. ","")&amp;IF(ISNUMBER(C178),IF(AND(MONTH(C178)=12,OR(DAY(C178)=24,DAY(C178)=25)),"","⚠ Data fora do Natal (24 ou 25/12). "),"")&amp;IF(AND(ISNUMBER(C178),COUNTIFS($A$2:$A$301,A178,$C$2:$C$301,C178)&gt;1),"⚠ Nome repetido na mesma data. ","")&amp;IF(AND(ISNUMBER(C178),COUNTIFS(FÉRIAS!$A$2:$A$301,A178,FÉRIAS!$C$2:$C$301,"&lt;="&amp;C178,FÉRIAS!$D$2:$D$301,"&gt;="&amp;C178)&gt;0),IF(D178="TRABALHA","⚠ Está de férias e marcado TRABALHA. ","⚠ Já está de férias nesta data. "),"")&amp;IF(AND(ISNUMBER(C178),COUNTIFS(FOLGAS!$A$2:$A$301,A178,FOLGAS!$C$2:$C$301,C178)&gt;0),IF(D178="FOLGA","⚠ Folga também lançada na aba FOLGAS. ",IF(D178="TRABALHA","⚠ Marcado TRABALHA, mas tem folga na aba FOLGAS. ","")),"")&amp;IF(AND(ISNUMBER(C178),D178="FOLGA",B178&lt;&gt;"",COUNTIFS($B$2:$B$301,B178,$C$2:$C$301,C178,$D$2:$D$301,"TRABALHA")=0),"⚠ Ninguém do setor trabalhando nesta data. ","")))</f>
        <v/>
      </c>
    </row>
    <row r="179" customFormat="false" ht="15" hidden="false" customHeight="true" outlineLevel="0" collapsed="false">
      <c r="A179" s="54"/>
      <c r="B179" s="54"/>
      <c r="C179" s="53"/>
      <c r="D179" s="54"/>
      <c r="E179" s="54"/>
      <c r="F179" s="55" t="str">
        <f aca="false">IF(A179="","",TRIM(IF(NOT(ISNUMBER(C179)),"⚠ Falta a data. ","")&amp;IF(ISNUMBER(C179),IF(AND(MONTH(C179)=12,OR(DAY(C179)=24,DAY(C179)=25)),"","⚠ Data fora do Natal (24 ou 25/12). "),"")&amp;IF(AND(ISNUMBER(C179),COUNTIFS($A$2:$A$301,A179,$C$2:$C$301,C179)&gt;1),"⚠ Nome repetido na mesma data. ","")&amp;IF(AND(ISNUMBER(C179),COUNTIFS(FÉRIAS!$A$2:$A$301,A179,FÉRIAS!$C$2:$C$301,"&lt;="&amp;C179,FÉRIAS!$D$2:$D$301,"&gt;="&amp;C179)&gt;0),IF(D179="TRABALHA","⚠ Está de férias e marcado TRABALHA. ","⚠ Já está de férias nesta data. "),"")&amp;IF(AND(ISNUMBER(C179),COUNTIFS(FOLGAS!$A$2:$A$301,A179,FOLGAS!$C$2:$C$301,C179)&gt;0),IF(D179="FOLGA","⚠ Folga também lançada na aba FOLGAS. ",IF(D179="TRABALHA","⚠ Marcado TRABALHA, mas tem folga na aba FOLGAS. ","")),"")&amp;IF(AND(ISNUMBER(C179),D179="FOLGA",B179&lt;&gt;"",COUNTIFS($B$2:$B$301,B179,$C$2:$C$301,C179,$D$2:$D$301,"TRABALHA")=0),"⚠ Ninguém do setor trabalhando nesta data. ","")))</f>
        <v/>
      </c>
    </row>
    <row r="180" customFormat="false" ht="15" hidden="false" customHeight="true" outlineLevel="0" collapsed="false">
      <c r="A180" s="54"/>
      <c r="B180" s="54"/>
      <c r="C180" s="53"/>
      <c r="D180" s="54"/>
      <c r="E180" s="54"/>
      <c r="F180" s="55" t="str">
        <f aca="false">IF(A180="","",TRIM(IF(NOT(ISNUMBER(C180)),"⚠ Falta a data. ","")&amp;IF(ISNUMBER(C180),IF(AND(MONTH(C180)=12,OR(DAY(C180)=24,DAY(C180)=25)),"","⚠ Data fora do Natal (24 ou 25/12). "),"")&amp;IF(AND(ISNUMBER(C180),COUNTIFS($A$2:$A$301,A180,$C$2:$C$301,C180)&gt;1),"⚠ Nome repetido na mesma data. ","")&amp;IF(AND(ISNUMBER(C180),COUNTIFS(FÉRIAS!$A$2:$A$301,A180,FÉRIAS!$C$2:$C$301,"&lt;="&amp;C180,FÉRIAS!$D$2:$D$301,"&gt;="&amp;C180)&gt;0),IF(D180="TRABALHA","⚠ Está de férias e marcado TRABALHA. ","⚠ Já está de férias nesta data. "),"")&amp;IF(AND(ISNUMBER(C180),COUNTIFS(FOLGAS!$A$2:$A$301,A180,FOLGAS!$C$2:$C$301,C180)&gt;0),IF(D180="FOLGA","⚠ Folga também lançada na aba FOLGAS. ",IF(D180="TRABALHA","⚠ Marcado TRABALHA, mas tem folga na aba FOLGAS. ","")),"")&amp;IF(AND(ISNUMBER(C180),D180="FOLGA",B180&lt;&gt;"",COUNTIFS($B$2:$B$301,B180,$C$2:$C$301,C180,$D$2:$D$301,"TRABALHA")=0),"⚠ Ninguém do setor trabalhando nesta data. ","")))</f>
        <v/>
      </c>
    </row>
    <row r="181" customFormat="false" ht="15" hidden="false" customHeight="true" outlineLevel="0" collapsed="false">
      <c r="A181" s="54"/>
      <c r="B181" s="54"/>
      <c r="C181" s="53"/>
      <c r="D181" s="54"/>
      <c r="E181" s="54"/>
      <c r="F181" s="55" t="str">
        <f aca="false">IF(A181="","",TRIM(IF(NOT(ISNUMBER(C181)),"⚠ Falta a data. ","")&amp;IF(ISNUMBER(C181),IF(AND(MONTH(C181)=12,OR(DAY(C181)=24,DAY(C181)=25)),"","⚠ Data fora do Natal (24 ou 25/12). "),"")&amp;IF(AND(ISNUMBER(C181),COUNTIFS($A$2:$A$301,A181,$C$2:$C$301,C181)&gt;1),"⚠ Nome repetido na mesma data. ","")&amp;IF(AND(ISNUMBER(C181),COUNTIFS(FÉRIAS!$A$2:$A$301,A181,FÉRIAS!$C$2:$C$301,"&lt;="&amp;C181,FÉRIAS!$D$2:$D$301,"&gt;="&amp;C181)&gt;0),IF(D181="TRABALHA","⚠ Está de férias e marcado TRABALHA. ","⚠ Já está de férias nesta data. "),"")&amp;IF(AND(ISNUMBER(C181),COUNTIFS(FOLGAS!$A$2:$A$301,A181,FOLGAS!$C$2:$C$301,C181)&gt;0),IF(D181="FOLGA","⚠ Folga também lançada na aba FOLGAS. ",IF(D181="TRABALHA","⚠ Marcado TRABALHA, mas tem folga na aba FOLGAS. ","")),"")&amp;IF(AND(ISNUMBER(C181),D181="FOLGA",B181&lt;&gt;"",COUNTIFS($B$2:$B$301,B181,$C$2:$C$301,C181,$D$2:$D$301,"TRABALHA")=0),"⚠ Ninguém do setor trabalhando nesta data. ","")))</f>
        <v/>
      </c>
    </row>
    <row r="182" customFormat="false" ht="15" hidden="false" customHeight="true" outlineLevel="0" collapsed="false">
      <c r="A182" s="54"/>
      <c r="B182" s="54"/>
      <c r="C182" s="53"/>
      <c r="D182" s="54"/>
      <c r="E182" s="54"/>
      <c r="F182" s="55" t="str">
        <f aca="false">IF(A182="","",TRIM(IF(NOT(ISNUMBER(C182)),"⚠ Falta a data. ","")&amp;IF(ISNUMBER(C182),IF(AND(MONTH(C182)=12,OR(DAY(C182)=24,DAY(C182)=25)),"","⚠ Data fora do Natal (24 ou 25/12). "),"")&amp;IF(AND(ISNUMBER(C182),COUNTIFS($A$2:$A$301,A182,$C$2:$C$301,C182)&gt;1),"⚠ Nome repetido na mesma data. ","")&amp;IF(AND(ISNUMBER(C182),COUNTIFS(FÉRIAS!$A$2:$A$301,A182,FÉRIAS!$C$2:$C$301,"&lt;="&amp;C182,FÉRIAS!$D$2:$D$301,"&gt;="&amp;C182)&gt;0),IF(D182="TRABALHA","⚠ Está de férias e marcado TRABALHA. ","⚠ Já está de férias nesta data. "),"")&amp;IF(AND(ISNUMBER(C182),COUNTIFS(FOLGAS!$A$2:$A$301,A182,FOLGAS!$C$2:$C$301,C182)&gt;0),IF(D182="FOLGA","⚠ Folga também lançada na aba FOLGAS. ",IF(D182="TRABALHA","⚠ Marcado TRABALHA, mas tem folga na aba FOLGAS. ","")),"")&amp;IF(AND(ISNUMBER(C182),D182="FOLGA",B182&lt;&gt;"",COUNTIFS($B$2:$B$301,B182,$C$2:$C$301,C182,$D$2:$D$301,"TRABALHA")=0),"⚠ Ninguém do setor trabalhando nesta data. ","")))</f>
        <v/>
      </c>
    </row>
    <row r="183" customFormat="false" ht="15" hidden="false" customHeight="true" outlineLevel="0" collapsed="false">
      <c r="A183" s="54"/>
      <c r="B183" s="54"/>
      <c r="C183" s="53"/>
      <c r="D183" s="54"/>
      <c r="E183" s="54"/>
      <c r="F183" s="55" t="str">
        <f aca="false">IF(A183="","",TRIM(IF(NOT(ISNUMBER(C183)),"⚠ Falta a data. ","")&amp;IF(ISNUMBER(C183),IF(AND(MONTH(C183)=12,OR(DAY(C183)=24,DAY(C183)=25)),"","⚠ Data fora do Natal (24 ou 25/12). "),"")&amp;IF(AND(ISNUMBER(C183),COUNTIFS($A$2:$A$301,A183,$C$2:$C$301,C183)&gt;1),"⚠ Nome repetido na mesma data. ","")&amp;IF(AND(ISNUMBER(C183),COUNTIFS(FÉRIAS!$A$2:$A$301,A183,FÉRIAS!$C$2:$C$301,"&lt;="&amp;C183,FÉRIAS!$D$2:$D$301,"&gt;="&amp;C183)&gt;0),IF(D183="TRABALHA","⚠ Está de férias e marcado TRABALHA. ","⚠ Já está de férias nesta data. "),"")&amp;IF(AND(ISNUMBER(C183),COUNTIFS(FOLGAS!$A$2:$A$301,A183,FOLGAS!$C$2:$C$301,C183)&gt;0),IF(D183="FOLGA","⚠ Folga também lançada na aba FOLGAS. ",IF(D183="TRABALHA","⚠ Marcado TRABALHA, mas tem folga na aba FOLGAS. ","")),"")&amp;IF(AND(ISNUMBER(C183),D183="FOLGA",B183&lt;&gt;"",COUNTIFS($B$2:$B$301,B183,$C$2:$C$301,C183,$D$2:$D$301,"TRABALHA")=0),"⚠ Ninguém do setor trabalhando nesta data. ","")))</f>
        <v/>
      </c>
    </row>
    <row r="184" customFormat="false" ht="15" hidden="false" customHeight="true" outlineLevel="0" collapsed="false">
      <c r="A184" s="54"/>
      <c r="B184" s="54"/>
      <c r="C184" s="53"/>
      <c r="D184" s="54"/>
      <c r="E184" s="54"/>
      <c r="F184" s="55" t="str">
        <f aca="false">IF(A184="","",TRIM(IF(NOT(ISNUMBER(C184)),"⚠ Falta a data. ","")&amp;IF(ISNUMBER(C184),IF(AND(MONTH(C184)=12,OR(DAY(C184)=24,DAY(C184)=25)),"","⚠ Data fora do Natal (24 ou 25/12). "),"")&amp;IF(AND(ISNUMBER(C184),COUNTIFS($A$2:$A$301,A184,$C$2:$C$301,C184)&gt;1),"⚠ Nome repetido na mesma data. ","")&amp;IF(AND(ISNUMBER(C184),COUNTIFS(FÉRIAS!$A$2:$A$301,A184,FÉRIAS!$C$2:$C$301,"&lt;="&amp;C184,FÉRIAS!$D$2:$D$301,"&gt;="&amp;C184)&gt;0),IF(D184="TRABALHA","⚠ Está de férias e marcado TRABALHA. ","⚠ Já está de férias nesta data. "),"")&amp;IF(AND(ISNUMBER(C184),COUNTIFS(FOLGAS!$A$2:$A$301,A184,FOLGAS!$C$2:$C$301,C184)&gt;0),IF(D184="FOLGA","⚠ Folga também lançada na aba FOLGAS. ",IF(D184="TRABALHA","⚠ Marcado TRABALHA, mas tem folga na aba FOLGAS. ","")),"")&amp;IF(AND(ISNUMBER(C184),D184="FOLGA",B184&lt;&gt;"",COUNTIFS($B$2:$B$301,B184,$C$2:$C$301,C184,$D$2:$D$301,"TRABALHA")=0),"⚠ Ninguém do setor trabalhando nesta data. ","")))</f>
        <v/>
      </c>
    </row>
    <row r="185" customFormat="false" ht="15" hidden="false" customHeight="true" outlineLevel="0" collapsed="false">
      <c r="A185" s="54"/>
      <c r="B185" s="54"/>
      <c r="C185" s="53"/>
      <c r="D185" s="54"/>
      <c r="E185" s="54"/>
      <c r="F185" s="55" t="str">
        <f aca="false">IF(A185="","",TRIM(IF(NOT(ISNUMBER(C185)),"⚠ Falta a data. ","")&amp;IF(ISNUMBER(C185),IF(AND(MONTH(C185)=12,OR(DAY(C185)=24,DAY(C185)=25)),"","⚠ Data fora do Natal (24 ou 25/12). "),"")&amp;IF(AND(ISNUMBER(C185),COUNTIFS($A$2:$A$301,A185,$C$2:$C$301,C185)&gt;1),"⚠ Nome repetido na mesma data. ","")&amp;IF(AND(ISNUMBER(C185),COUNTIFS(FÉRIAS!$A$2:$A$301,A185,FÉRIAS!$C$2:$C$301,"&lt;="&amp;C185,FÉRIAS!$D$2:$D$301,"&gt;="&amp;C185)&gt;0),IF(D185="TRABALHA","⚠ Está de férias e marcado TRABALHA. ","⚠ Já está de férias nesta data. "),"")&amp;IF(AND(ISNUMBER(C185),COUNTIFS(FOLGAS!$A$2:$A$301,A185,FOLGAS!$C$2:$C$301,C185)&gt;0),IF(D185="FOLGA","⚠ Folga também lançada na aba FOLGAS. ",IF(D185="TRABALHA","⚠ Marcado TRABALHA, mas tem folga na aba FOLGAS. ","")),"")&amp;IF(AND(ISNUMBER(C185),D185="FOLGA",B185&lt;&gt;"",COUNTIFS($B$2:$B$301,B185,$C$2:$C$301,C185,$D$2:$D$301,"TRABALHA")=0),"⚠ Ninguém do setor trabalhando nesta data. ","")))</f>
        <v/>
      </c>
    </row>
    <row r="186" customFormat="false" ht="15" hidden="false" customHeight="true" outlineLevel="0" collapsed="false">
      <c r="A186" s="54"/>
      <c r="B186" s="54"/>
      <c r="C186" s="53"/>
      <c r="D186" s="54"/>
      <c r="E186" s="54"/>
      <c r="F186" s="55" t="str">
        <f aca="false">IF(A186="","",TRIM(IF(NOT(ISNUMBER(C186)),"⚠ Falta a data. ","")&amp;IF(ISNUMBER(C186),IF(AND(MONTH(C186)=12,OR(DAY(C186)=24,DAY(C186)=25)),"","⚠ Data fora do Natal (24 ou 25/12). "),"")&amp;IF(AND(ISNUMBER(C186),COUNTIFS($A$2:$A$301,A186,$C$2:$C$301,C186)&gt;1),"⚠ Nome repetido na mesma data. ","")&amp;IF(AND(ISNUMBER(C186),COUNTIFS(FÉRIAS!$A$2:$A$301,A186,FÉRIAS!$C$2:$C$301,"&lt;="&amp;C186,FÉRIAS!$D$2:$D$301,"&gt;="&amp;C186)&gt;0),IF(D186="TRABALHA","⚠ Está de férias e marcado TRABALHA. ","⚠ Já está de férias nesta data. "),"")&amp;IF(AND(ISNUMBER(C186),COUNTIFS(FOLGAS!$A$2:$A$301,A186,FOLGAS!$C$2:$C$301,C186)&gt;0),IF(D186="FOLGA","⚠ Folga também lançada na aba FOLGAS. ",IF(D186="TRABALHA","⚠ Marcado TRABALHA, mas tem folga na aba FOLGAS. ","")),"")&amp;IF(AND(ISNUMBER(C186),D186="FOLGA",B186&lt;&gt;"",COUNTIFS($B$2:$B$301,B186,$C$2:$C$301,C186,$D$2:$D$301,"TRABALHA")=0),"⚠ Ninguém do setor trabalhando nesta data. ","")))</f>
        <v/>
      </c>
    </row>
    <row r="187" customFormat="false" ht="15" hidden="false" customHeight="true" outlineLevel="0" collapsed="false">
      <c r="A187" s="54"/>
      <c r="B187" s="54"/>
      <c r="C187" s="53"/>
      <c r="D187" s="54"/>
      <c r="E187" s="54"/>
      <c r="F187" s="55" t="str">
        <f aca="false">IF(A187="","",TRIM(IF(NOT(ISNUMBER(C187)),"⚠ Falta a data. ","")&amp;IF(ISNUMBER(C187),IF(AND(MONTH(C187)=12,OR(DAY(C187)=24,DAY(C187)=25)),"","⚠ Data fora do Natal (24 ou 25/12). "),"")&amp;IF(AND(ISNUMBER(C187),COUNTIFS($A$2:$A$301,A187,$C$2:$C$301,C187)&gt;1),"⚠ Nome repetido na mesma data. ","")&amp;IF(AND(ISNUMBER(C187),COUNTIFS(FÉRIAS!$A$2:$A$301,A187,FÉRIAS!$C$2:$C$301,"&lt;="&amp;C187,FÉRIAS!$D$2:$D$301,"&gt;="&amp;C187)&gt;0),IF(D187="TRABALHA","⚠ Está de férias e marcado TRABALHA. ","⚠ Já está de férias nesta data. "),"")&amp;IF(AND(ISNUMBER(C187),COUNTIFS(FOLGAS!$A$2:$A$301,A187,FOLGAS!$C$2:$C$301,C187)&gt;0),IF(D187="FOLGA","⚠ Folga também lançada na aba FOLGAS. ",IF(D187="TRABALHA","⚠ Marcado TRABALHA, mas tem folga na aba FOLGAS. ","")),"")&amp;IF(AND(ISNUMBER(C187),D187="FOLGA",B187&lt;&gt;"",COUNTIFS($B$2:$B$301,B187,$C$2:$C$301,C187,$D$2:$D$301,"TRABALHA")=0),"⚠ Ninguém do setor trabalhando nesta data. ","")))</f>
        <v/>
      </c>
    </row>
    <row r="188" customFormat="false" ht="15" hidden="false" customHeight="true" outlineLevel="0" collapsed="false">
      <c r="A188" s="54"/>
      <c r="B188" s="54"/>
      <c r="C188" s="53"/>
      <c r="D188" s="54"/>
      <c r="E188" s="54"/>
      <c r="F188" s="55" t="str">
        <f aca="false">IF(A188="","",TRIM(IF(NOT(ISNUMBER(C188)),"⚠ Falta a data. ","")&amp;IF(ISNUMBER(C188),IF(AND(MONTH(C188)=12,OR(DAY(C188)=24,DAY(C188)=25)),"","⚠ Data fora do Natal (24 ou 25/12). "),"")&amp;IF(AND(ISNUMBER(C188),COUNTIFS($A$2:$A$301,A188,$C$2:$C$301,C188)&gt;1),"⚠ Nome repetido na mesma data. ","")&amp;IF(AND(ISNUMBER(C188),COUNTIFS(FÉRIAS!$A$2:$A$301,A188,FÉRIAS!$C$2:$C$301,"&lt;="&amp;C188,FÉRIAS!$D$2:$D$301,"&gt;="&amp;C188)&gt;0),IF(D188="TRABALHA","⚠ Está de férias e marcado TRABALHA. ","⚠ Já está de férias nesta data. "),"")&amp;IF(AND(ISNUMBER(C188),COUNTIFS(FOLGAS!$A$2:$A$301,A188,FOLGAS!$C$2:$C$301,C188)&gt;0),IF(D188="FOLGA","⚠ Folga também lançada na aba FOLGAS. ",IF(D188="TRABALHA","⚠ Marcado TRABALHA, mas tem folga na aba FOLGAS. ","")),"")&amp;IF(AND(ISNUMBER(C188),D188="FOLGA",B188&lt;&gt;"",COUNTIFS($B$2:$B$301,B188,$C$2:$C$301,C188,$D$2:$D$301,"TRABALHA")=0),"⚠ Ninguém do setor trabalhando nesta data. ","")))</f>
        <v/>
      </c>
    </row>
    <row r="189" customFormat="false" ht="15" hidden="false" customHeight="true" outlineLevel="0" collapsed="false">
      <c r="A189" s="54"/>
      <c r="B189" s="54"/>
      <c r="C189" s="53"/>
      <c r="D189" s="54"/>
      <c r="E189" s="54"/>
      <c r="F189" s="55" t="str">
        <f aca="false">IF(A189="","",TRIM(IF(NOT(ISNUMBER(C189)),"⚠ Falta a data. ","")&amp;IF(ISNUMBER(C189),IF(AND(MONTH(C189)=12,OR(DAY(C189)=24,DAY(C189)=25)),"","⚠ Data fora do Natal (24 ou 25/12). "),"")&amp;IF(AND(ISNUMBER(C189),COUNTIFS($A$2:$A$301,A189,$C$2:$C$301,C189)&gt;1),"⚠ Nome repetido na mesma data. ","")&amp;IF(AND(ISNUMBER(C189),COUNTIFS(FÉRIAS!$A$2:$A$301,A189,FÉRIAS!$C$2:$C$301,"&lt;="&amp;C189,FÉRIAS!$D$2:$D$301,"&gt;="&amp;C189)&gt;0),IF(D189="TRABALHA","⚠ Está de férias e marcado TRABALHA. ","⚠ Já está de férias nesta data. "),"")&amp;IF(AND(ISNUMBER(C189),COUNTIFS(FOLGAS!$A$2:$A$301,A189,FOLGAS!$C$2:$C$301,C189)&gt;0),IF(D189="FOLGA","⚠ Folga também lançada na aba FOLGAS. ",IF(D189="TRABALHA","⚠ Marcado TRABALHA, mas tem folga na aba FOLGAS. ","")),"")&amp;IF(AND(ISNUMBER(C189),D189="FOLGA",B189&lt;&gt;"",COUNTIFS($B$2:$B$301,B189,$C$2:$C$301,C189,$D$2:$D$301,"TRABALHA")=0),"⚠ Ninguém do setor trabalhando nesta data. ","")))</f>
        <v/>
      </c>
    </row>
    <row r="190" customFormat="false" ht="15" hidden="false" customHeight="true" outlineLevel="0" collapsed="false">
      <c r="A190" s="54"/>
      <c r="B190" s="54"/>
      <c r="C190" s="53"/>
      <c r="D190" s="54"/>
      <c r="E190" s="54"/>
      <c r="F190" s="55" t="str">
        <f aca="false">IF(A190="","",TRIM(IF(NOT(ISNUMBER(C190)),"⚠ Falta a data. ","")&amp;IF(ISNUMBER(C190),IF(AND(MONTH(C190)=12,OR(DAY(C190)=24,DAY(C190)=25)),"","⚠ Data fora do Natal (24 ou 25/12). "),"")&amp;IF(AND(ISNUMBER(C190),COUNTIFS($A$2:$A$301,A190,$C$2:$C$301,C190)&gt;1),"⚠ Nome repetido na mesma data. ","")&amp;IF(AND(ISNUMBER(C190),COUNTIFS(FÉRIAS!$A$2:$A$301,A190,FÉRIAS!$C$2:$C$301,"&lt;="&amp;C190,FÉRIAS!$D$2:$D$301,"&gt;="&amp;C190)&gt;0),IF(D190="TRABALHA","⚠ Está de férias e marcado TRABALHA. ","⚠ Já está de férias nesta data. "),"")&amp;IF(AND(ISNUMBER(C190),COUNTIFS(FOLGAS!$A$2:$A$301,A190,FOLGAS!$C$2:$C$301,C190)&gt;0),IF(D190="FOLGA","⚠ Folga também lançada na aba FOLGAS. ",IF(D190="TRABALHA","⚠ Marcado TRABALHA, mas tem folga na aba FOLGAS. ","")),"")&amp;IF(AND(ISNUMBER(C190),D190="FOLGA",B190&lt;&gt;"",COUNTIFS($B$2:$B$301,B190,$C$2:$C$301,C190,$D$2:$D$301,"TRABALHA")=0),"⚠ Ninguém do setor trabalhando nesta data. ","")))</f>
        <v/>
      </c>
    </row>
    <row r="191" customFormat="false" ht="15" hidden="false" customHeight="true" outlineLevel="0" collapsed="false">
      <c r="A191" s="54"/>
      <c r="B191" s="54"/>
      <c r="C191" s="53"/>
      <c r="D191" s="54"/>
      <c r="E191" s="54"/>
      <c r="F191" s="55" t="str">
        <f aca="false">IF(A191="","",TRIM(IF(NOT(ISNUMBER(C191)),"⚠ Falta a data. ","")&amp;IF(ISNUMBER(C191),IF(AND(MONTH(C191)=12,OR(DAY(C191)=24,DAY(C191)=25)),"","⚠ Data fora do Natal (24 ou 25/12). "),"")&amp;IF(AND(ISNUMBER(C191),COUNTIFS($A$2:$A$301,A191,$C$2:$C$301,C191)&gt;1),"⚠ Nome repetido na mesma data. ","")&amp;IF(AND(ISNUMBER(C191),COUNTIFS(FÉRIAS!$A$2:$A$301,A191,FÉRIAS!$C$2:$C$301,"&lt;="&amp;C191,FÉRIAS!$D$2:$D$301,"&gt;="&amp;C191)&gt;0),IF(D191="TRABALHA","⚠ Está de férias e marcado TRABALHA. ","⚠ Já está de férias nesta data. "),"")&amp;IF(AND(ISNUMBER(C191),COUNTIFS(FOLGAS!$A$2:$A$301,A191,FOLGAS!$C$2:$C$301,C191)&gt;0),IF(D191="FOLGA","⚠ Folga também lançada na aba FOLGAS. ",IF(D191="TRABALHA","⚠ Marcado TRABALHA, mas tem folga na aba FOLGAS. ","")),"")&amp;IF(AND(ISNUMBER(C191),D191="FOLGA",B191&lt;&gt;"",COUNTIFS($B$2:$B$301,B191,$C$2:$C$301,C191,$D$2:$D$301,"TRABALHA")=0),"⚠ Ninguém do setor trabalhando nesta data. ","")))</f>
        <v/>
      </c>
    </row>
    <row r="192" customFormat="false" ht="15" hidden="false" customHeight="true" outlineLevel="0" collapsed="false">
      <c r="A192" s="54"/>
      <c r="B192" s="54"/>
      <c r="C192" s="53"/>
      <c r="D192" s="54"/>
      <c r="E192" s="54"/>
      <c r="F192" s="55" t="str">
        <f aca="false">IF(A192="","",TRIM(IF(NOT(ISNUMBER(C192)),"⚠ Falta a data. ","")&amp;IF(ISNUMBER(C192),IF(AND(MONTH(C192)=12,OR(DAY(C192)=24,DAY(C192)=25)),"","⚠ Data fora do Natal (24 ou 25/12). "),"")&amp;IF(AND(ISNUMBER(C192),COUNTIFS($A$2:$A$301,A192,$C$2:$C$301,C192)&gt;1),"⚠ Nome repetido na mesma data. ","")&amp;IF(AND(ISNUMBER(C192),COUNTIFS(FÉRIAS!$A$2:$A$301,A192,FÉRIAS!$C$2:$C$301,"&lt;="&amp;C192,FÉRIAS!$D$2:$D$301,"&gt;="&amp;C192)&gt;0),IF(D192="TRABALHA","⚠ Está de férias e marcado TRABALHA. ","⚠ Já está de férias nesta data. "),"")&amp;IF(AND(ISNUMBER(C192),COUNTIFS(FOLGAS!$A$2:$A$301,A192,FOLGAS!$C$2:$C$301,C192)&gt;0),IF(D192="FOLGA","⚠ Folga também lançada na aba FOLGAS. ",IF(D192="TRABALHA","⚠ Marcado TRABALHA, mas tem folga na aba FOLGAS. ","")),"")&amp;IF(AND(ISNUMBER(C192),D192="FOLGA",B192&lt;&gt;"",COUNTIFS($B$2:$B$301,B192,$C$2:$C$301,C192,$D$2:$D$301,"TRABALHA")=0),"⚠ Ninguém do setor trabalhando nesta data. ","")))</f>
        <v/>
      </c>
    </row>
    <row r="193" customFormat="false" ht="15" hidden="false" customHeight="true" outlineLevel="0" collapsed="false">
      <c r="A193" s="54"/>
      <c r="B193" s="54"/>
      <c r="C193" s="53"/>
      <c r="D193" s="54"/>
      <c r="E193" s="54"/>
      <c r="F193" s="55" t="str">
        <f aca="false">IF(A193="","",TRIM(IF(NOT(ISNUMBER(C193)),"⚠ Falta a data. ","")&amp;IF(ISNUMBER(C193),IF(AND(MONTH(C193)=12,OR(DAY(C193)=24,DAY(C193)=25)),"","⚠ Data fora do Natal (24 ou 25/12). "),"")&amp;IF(AND(ISNUMBER(C193),COUNTIFS($A$2:$A$301,A193,$C$2:$C$301,C193)&gt;1),"⚠ Nome repetido na mesma data. ","")&amp;IF(AND(ISNUMBER(C193),COUNTIFS(FÉRIAS!$A$2:$A$301,A193,FÉRIAS!$C$2:$C$301,"&lt;="&amp;C193,FÉRIAS!$D$2:$D$301,"&gt;="&amp;C193)&gt;0),IF(D193="TRABALHA","⚠ Está de férias e marcado TRABALHA. ","⚠ Já está de férias nesta data. "),"")&amp;IF(AND(ISNUMBER(C193),COUNTIFS(FOLGAS!$A$2:$A$301,A193,FOLGAS!$C$2:$C$301,C193)&gt;0),IF(D193="FOLGA","⚠ Folga também lançada na aba FOLGAS. ",IF(D193="TRABALHA","⚠ Marcado TRABALHA, mas tem folga na aba FOLGAS. ","")),"")&amp;IF(AND(ISNUMBER(C193),D193="FOLGA",B193&lt;&gt;"",COUNTIFS($B$2:$B$301,B193,$C$2:$C$301,C193,$D$2:$D$301,"TRABALHA")=0),"⚠ Ninguém do setor trabalhando nesta data. ","")))</f>
        <v/>
      </c>
    </row>
    <row r="194" customFormat="false" ht="15" hidden="false" customHeight="true" outlineLevel="0" collapsed="false">
      <c r="A194" s="54"/>
      <c r="B194" s="54"/>
      <c r="C194" s="53"/>
      <c r="D194" s="54"/>
      <c r="E194" s="54"/>
      <c r="F194" s="55" t="str">
        <f aca="false">IF(A194="","",TRIM(IF(NOT(ISNUMBER(C194)),"⚠ Falta a data. ","")&amp;IF(ISNUMBER(C194),IF(AND(MONTH(C194)=12,OR(DAY(C194)=24,DAY(C194)=25)),"","⚠ Data fora do Natal (24 ou 25/12). "),"")&amp;IF(AND(ISNUMBER(C194),COUNTIFS($A$2:$A$301,A194,$C$2:$C$301,C194)&gt;1),"⚠ Nome repetido na mesma data. ","")&amp;IF(AND(ISNUMBER(C194),COUNTIFS(FÉRIAS!$A$2:$A$301,A194,FÉRIAS!$C$2:$C$301,"&lt;="&amp;C194,FÉRIAS!$D$2:$D$301,"&gt;="&amp;C194)&gt;0),IF(D194="TRABALHA","⚠ Está de férias e marcado TRABALHA. ","⚠ Já está de férias nesta data. "),"")&amp;IF(AND(ISNUMBER(C194),COUNTIFS(FOLGAS!$A$2:$A$301,A194,FOLGAS!$C$2:$C$301,C194)&gt;0),IF(D194="FOLGA","⚠ Folga também lançada na aba FOLGAS. ",IF(D194="TRABALHA","⚠ Marcado TRABALHA, mas tem folga na aba FOLGAS. ","")),"")&amp;IF(AND(ISNUMBER(C194),D194="FOLGA",B194&lt;&gt;"",COUNTIFS($B$2:$B$301,B194,$C$2:$C$301,C194,$D$2:$D$301,"TRABALHA")=0),"⚠ Ninguém do setor trabalhando nesta data. ","")))</f>
        <v/>
      </c>
    </row>
    <row r="195" customFormat="false" ht="15" hidden="false" customHeight="true" outlineLevel="0" collapsed="false">
      <c r="A195" s="54"/>
      <c r="B195" s="54"/>
      <c r="C195" s="53"/>
      <c r="D195" s="54"/>
      <c r="E195" s="54"/>
      <c r="F195" s="55" t="str">
        <f aca="false">IF(A195="","",TRIM(IF(NOT(ISNUMBER(C195)),"⚠ Falta a data. ","")&amp;IF(ISNUMBER(C195),IF(AND(MONTH(C195)=12,OR(DAY(C195)=24,DAY(C195)=25)),"","⚠ Data fora do Natal (24 ou 25/12). "),"")&amp;IF(AND(ISNUMBER(C195),COUNTIFS($A$2:$A$301,A195,$C$2:$C$301,C195)&gt;1),"⚠ Nome repetido na mesma data. ","")&amp;IF(AND(ISNUMBER(C195),COUNTIFS(FÉRIAS!$A$2:$A$301,A195,FÉRIAS!$C$2:$C$301,"&lt;="&amp;C195,FÉRIAS!$D$2:$D$301,"&gt;="&amp;C195)&gt;0),IF(D195="TRABALHA","⚠ Está de férias e marcado TRABALHA. ","⚠ Já está de férias nesta data. "),"")&amp;IF(AND(ISNUMBER(C195),COUNTIFS(FOLGAS!$A$2:$A$301,A195,FOLGAS!$C$2:$C$301,C195)&gt;0),IF(D195="FOLGA","⚠ Folga também lançada na aba FOLGAS. ",IF(D195="TRABALHA","⚠ Marcado TRABALHA, mas tem folga na aba FOLGAS. ","")),"")&amp;IF(AND(ISNUMBER(C195),D195="FOLGA",B195&lt;&gt;"",COUNTIFS($B$2:$B$301,B195,$C$2:$C$301,C195,$D$2:$D$301,"TRABALHA")=0),"⚠ Ninguém do setor trabalhando nesta data. ","")))</f>
        <v/>
      </c>
    </row>
    <row r="196" customFormat="false" ht="15" hidden="false" customHeight="true" outlineLevel="0" collapsed="false">
      <c r="A196" s="54"/>
      <c r="B196" s="54"/>
      <c r="C196" s="53"/>
      <c r="D196" s="54"/>
      <c r="E196" s="54"/>
      <c r="F196" s="55" t="str">
        <f aca="false">IF(A196="","",TRIM(IF(NOT(ISNUMBER(C196)),"⚠ Falta a data. ","")&amp;IF(ISNUMBER(C196),IF(AND(MONTH(C196)=12,OR(DAY(C196)=24,DAY(C196)=25)),"","⚠ Data fora do Natal (24 ou 25/12). "),"")&amp;IF(AND(ISNUMBER(C196),COUNTIFS($A$2:$A$301,A196,$C$2:$C$301,C196)&gt;1),"⚠ Nome repetido na mesma data. ","")&amp;IF(AND(ISNUMBER(C196),COUNTIFS(FÉRIAS!$A$2:$A$301,A196,FÉRIAS!$C$2:$C$301,"&lt;="&amp;C196,FÉRIAS!$D$2:$D$301,"&gt;="&amp;C196)&gt;0),IF(D196="TRABALHA","⚠ Está de férias e marcado TRABALHA. ","⚠ Já está de férias nesta data. "),"")&amp;IF(AND(ISNUMBER(C196),COUNTIFS(FOLGAS!$A$2:$A$301,A196,FOLGAS!$C$2:$C$301,C196)&gt;0),IF(D196="FOLGA","⚠ Folga também lançada na aba FOLGAS. ",IF(D196="TRABALHA","⚠ Marcado TRABALHA, mas tem folga na aba FOLGAS. ","")),"")&amp;IF(AND(ISNUMBER(C196),D196="FOLGA",B196&lt;&gt;"",COUNTIFS($B$2:$B$301,B196,$C$2:$C$301,C196,$D$2:$D$301,"TRABALHA")=0),"⚠ Ninguém do setor trabalhando nesta data. ","")))</f>
        <v/>
      </c>
    </row>
    <row r="197" customFormat="false" ht="15" hidden="false" customHeight="true" outlineLevel="0" collapsed="false">
      <c r="A197" s="54"/>
      <c r="B197" s="54"/>
      <c r="C197" s="53"/>
      <c r="D197" s="54"/>
      <c r="E197" s="54"/>
      <c r="F197" s="55" t="str">
        <f aca="false">IF(A197="","",TRIM(IF(NOT(ISNUMBER(C197)),"⚠ Falta a data. ","")&amp;IF(ISNUMBER(C197),IF(AND(MONTH(C197)=12,OR(DAY(C197)=24,DAY(C197)=25)),"","⚠ Data fora do Natal (24 ou 25/12). "),"")&amp;IF(AND(ISNUMBER(C197),COUNTIFS($A$2:$A$301,A197,$C$2:$C$301,C197)&gt;1),"⚠ Nome repetido na mesma data. ","")&amp;IF(AND(ISNUMBER(C197),COUNTIFS(FÉRIAS!$A$2:$A$301,A197,FÉRIAS!$C$2:$C$301,"&lt;="&amp;C197,FÉRIAS!$D$2:$D$301,"&gt;="&amp;C197)&gt;0),IF(D197="TRABALHA","⚠ Está de férias e marcado TRABALHA. ","⚠ Já está de férias nesta data. "),"")&amp;IF(AND(ISNUMBER(C197),COUNTIFS(FOLGAS!$A$2:$A$301,A197,FOLGAS!$C$2:$C$301,C197)&gt;0),IF(D197="FOLGA","⚠ Folga também lançada na aba FOLGAS. ",IF(D197="TRABALHA","⚠ Marcado TRABALHA, mas tem folga na aba FOLGAS. ","")),"")&amp;IF(AND(ISNUMBER(C197),D197="FOLGA",B197&lt;&gt;"",COUNTIFS($B$2:$B$301,B197,$C$2:$C$301,C197,$D$2:$D$301,"TRABALHA")=0),"⚠ Ninguém do setor trabalhando nesta data. ","")))</f>
        <v/>
      </c>
    </row>
    <row r="198" customFormat="false" ht="15" hidden="false" customHeight="true" outlineLevel="0" collapsed="false">
      <c r="A198" s="54"/>
      <c r="B198" s="54"/>
      <c r="C198" s="53"/>
      <c r="D198" s="54"/>
      <c r="E198" s="54"/>
      <c r="F198" s="55" t="str">
        <f aca="false">IF(A198="","",TRIM(IF(NOT(ISNUMBER(C198)),"⚠ Falta a data. ","")&amp;IF(ISNUMBER(C198),IF(AND(MONTH(C198)=12,OR(DAY(C198)=24,DAY(C198)=25)),"","⚠ Data fora do Natal (24 ou 25/12). "),"")&amp;IF(AND(ISNUMBER(C198),COUNTIFS($A$2:$A$301,A198,$C$2:$C$301,C198)&gt;1),"⚠ Nome repetido na mesma data. ","")&amp;IF(AND(ISNUMBER(C198),COUNTIFS(FÉRIAS!$A$2:$A$301,A198,FÉRIAS!$C$2:$C$301,"&lt;="&amp;C198,FÉRIAS!$D$2:$D$301,"&gt;="&amp;C198)&gt;0),IF(D198="TRABALHA","⚠ Está de férias e marcado TRABALHA. ","⚠ Já está de férias nesta data. "),"")&amp;IF(AND(ISNUMBER(C198),COUNTIFS(FOLGAS!$A$2:$A$301,A198,FOLGAS!$C$2:$C$301,C198)&gt;0),IF(D198="FOLGA","⚠ Folga também lançada na aba FOLGAS. ",IF(D198="TRABALHA","⚠ Marcado TRABALHA, mas tem folga na aba FOLGAS. ","")),"")&amp;IF(AND(ISNUMBER(C198),D198="FOLGA",B198&lt;&gt;"",COUNTIFS($B$2:$B$301,B198,$C$2:$C$301,C198,$D$2:$D$301,"TRABALHA")=0),"⚠ Ninguém do setor trabalhando nesta data. ","")))</f>
        <v/>
      </c>
    </row>
    <row r="199" customFormat="false" ht="15" hidden="false" customHeight="true" outlineLevel="0" collapsed="false">
      <c r="A199" s="54"/>
      <c r="B199" s="54"/>
      <c r="C199" s="53"/>
      <c r="D199" s="54"/>
      <c r="E199" s="54"/>
      <c r="F199" s="55" t="str">
        <f aca="false">IF(A199="","",TRIM(IF(NOT(ISNUMBER(C199)),"⚠ Falta a data. ","")&amp;IF(ISNUMBER(C199),IF(AND(MONTH(C199)=12,OR(DAY(C199)=24,DAY(C199)=25)),"","⚠ Data fora do Natal (24 ou 25/12). "),"")&amp;IF(AND(ISNUMBER(C199),COUNTIFS($A$2:$A$301,A199,$C$2:$C$301,C199)&gt;1),"⚠ Nome repetido na mesma data. ","")&amp;IF(AND(ISNUMBER(C199),COUNTIFS(FÉRIAS!$A$2:$A$301,A199,FÉRIAS!$C$2:$C$301,"&lt;="&amp;C199,FÉRIAS!$D$2:$D$301,"&gt;="&amp;C199)&gt;0),IF(D199="TRABALHA","⚠ Está de férias e marcado TRABALHA. ","⚠ Já está de férias nesta data. "),"")&amp;IF(AND(ISNUMBER(C199),COUNTIFS(FOLGAS!$A$2:$A$301,A199,FOLGAS!$C$2:$C$301,C199)&gt;0),IF(D199="FOLGA","⚠ Folga também lançada na aba FOLGAS. ",IF(D199="TRABALHA","⚠ Marcado TRABALHA, mas tem folga na aba FOLGAS. ","")),"")&amp;IF(AND(ISNUMBER(C199),D199="FOLGA",B199&lt;&gt;"",COUNTIFS($B$2:$B$301,B199,$C$2:$C$301,C199,$D$2:$D$301,"TRABALHA")=0),"⚠ Ninguém do setor trabalhando nesta data. ","")))</f>
        <v/>
      </c>
    </row>
    <row r="200" customFormat="false" ht="15" hidden="false" customHeight="true" outlineLevel="0" collapsed="false">
      <c r="A200" s="54"/>
      <c r="B200" s="54"/>
      <c r="C200" s="53"/>
      <c r="D200" s="54"/>
      <c r="E200" s="54"/>
      <c r="F200" s="55" t="str">
        <f aca="false">IF(A200="","",TRIM(IF(NOT(ISNUMBER(C200)),"⚠ Falta a data. ","")&amp;IF(ISNUMBER(C200),IF(AND(MONTH(C200)=12,OR(DAY(C200)=24,DAY(C200)=25)),"","⚠ Data fora do Natal (24 ou 25/12). "),"")&amp;IF(AND(ISNUMBER(C200),COUNTIFS($A$2:$A$301,A200,$C$2:$C$301,C200)&gt;1),"⚠ Nome repetido na mesma data. ","")&amp;IF(AND(ISNUMBER(C200),COUNTIFS(FÉRIAS!$A$2:$A$301,A200,FÉRIAS!$C$2:$C$301,"&lt;="&amp;C200,FÉRIAS!$D$2:$D$301,"&gt;="&amp;C200)&gt;0),IF(D200="TRABALHA","⚠ Está de férias e marcado TRABALHA. ","⚠ Já está de férias nesta data. "),"")&amp;IF(AND(ISNUMBER(C200),COUNTIFS(FOLGAS!$A$2:$A$301,A200,FOLGAS!$C$2:$C$301,C200)&gt;0),IF(D200="FOLGA","⚠ Folga também lançada na aba FOLGAS. ",IF(D200="TRABALHA","⚠ Marcado TRABALHA, mas tem folga na aba FOLGAS. ","")),"")&amp;IF(AND(ISNUMBER(C200),D200="FOLGA",B200&lt;&gt;"",COUNTIFS($B$2:$B$301,B200,$C$2:$C$301,C200,$D$2:$D$301,"TRABALHA")=0),"⚠ Ninguém do setor trabalhando nesta data. ","")))</f>
        <v/>
      </c>
    </row>
    <row r="201" customFormat="false" ht="15" hidden="false" customHeight="true" outlineLevel="0" collapsed="false">
      <c r="A201" s="54"/>
      <c r="B201" s="54"/>
      <c r="C201" s="53"/>
      <c r="D201" s="54"/>
      <c r="E201" s="54"/>
      <c r="F201" s="55" t="str">
        <f aca="false">IF(A201="","",TRIM(IF(NOT(ISNUMBER(C201)),"⚠ Falta a data. ","")&amp;IF(ISNUMBER(C201),IF(AND(MONTH(C201)=12,OR(DAY(C201)=24,DAY(C201)=25)),"","⚠ Data fora do Natal (24 ou 25/12). "),"")&amp;IF(AND(ISNUMBER(C201),COUNTIFS($A$2:$A$301,A201,$C$2:$C$301,C201)&gt;1),"⚠ Nome repetido na mesma data. ","")&amp;IF(AND(ISNUMBER(C201),COUNTIFS(FÉRIAS!$A$2:$A$301,A201,FÉRIAS!$C$2:$C$301,"&lt;="&amp;C201,FÉRIAS!$D$2:$D$301,"&gt;="&amp;C201)&gt;0),IF(D201="TRABALHA","⚠ Está de férias e marcado TRABALHA. ","⚠ Já está de férias nesta data. "),"")&amp;IF(AND(ISNUMBER(C201),COUNTIFS(FOLGAS!$A$2:$A$301,A201,FOLGAS!$C$2:$C$301,C201)&gt;0),IF(D201="FOLGA","⚠ Folga também lançada na aba FOLGAS. ",IF(D201="TRABALHA","⚠ Marcado TRABALHA, mas tem folga na aba FOLGAS. ","")),"")&amp;IF(AND(ISNUMBER(C201),D201="FOLGA",B201&lt;&gt;"",COUNTIFS($B$2:$B$301,B201,$C$2:$C$301,C201,$D$2:$D$301,"TRABALHA")=0),"⚠ Ninguém do setor trabalhando nesta data. ","")))</f>
        <v/>
      </c>
    </row>
    <row r="202" customFormat="false" ht="15" hidden="false" customHeight="true" outlineLevel="0" collapsed="false">
      <c r="A202" s="54"/>
      <c r="B202" s="54"/>
      <c r="C202" s="53"/>
      <c r="D202" s="54"/>
      <c r="E202" s="54"/>
      <c r="F202" s="55" t="str">
        <f aca="false">IF(A202="","",TRIM(IF(NOT(ISNUMBER(C202)),"⚠ Falta a data. ","")&amp;IF(ISNUMBER(C202),IF(AND(MONTH(C202)=12,OR(DAY(C202)=24,DAY(C202)=25)),"","⚠ Data fora do Natal (24 ou 25/12). "),"")&amp;IF(AND(ISNUMBER(C202),COUNTIFS($A$2:$A$301,A202,$C$2:$C$301,C202)&gt;1),"⚠ Nome repetido na mesma data. ","")&amp;IF(AND(ISNUMBER(C202),COUNTIFS(FÉRIAS!$A$2:$A$301,A202,FÉRIAS!$C$2:$C$301,"&lt;="&amp;C202,FÉRIAS!$D$2:$D$301,"&gt;="&amp;C202)&gt;0),IF(D202="TRABALHA","⚠ Está de férias e marcado TRABALHA. ","⚠ Já está de férias nesta data. "),"")&amp;IF(AND(ISNUMBER(C202),COUNTIFS(FOLGAS!$A$2:$A$301,A202,FOLGAS!$C$2:$C$301,C202)&gt;0),IF(D202="FOLGA","⚠ Folga também lançada na aba FOLGAS. ",IF(D202="TRABALHA","⚠ Marcado TRABALHA, mas tem folga na aba FOLGAS. ","")),"")&amp;IF(AND(ISNUMBER(C202),D202="FOLGA",B202&lt;&gt;"",COUNTIFS($B$2:$B$301,B202,$C$2:$C$301,C202,$D$2:$D$301,"TRABALHA")=0),"⚠ Ninguém do setor trabalhando nesta data. ","")))</f>
        <v/>
      </c>
    </row>
    <row r="203" customFormat="false" ht="15" hidden="false" customHeight="true" outlineLevel="0" collapsed="false">
      <c r="A203" s="54"/>
      <c r="B203" s="54"/>
      <c r="C203" s="53"/>
      <c r="D203" s="54"/>
      <c r="E203" s="54"/>
      <c r="F203" s="55" t="str">
        <f aca="false">IF(A203="","",TRIM(IF(NOT(ISNUMBER(C203)),"⚠ Falta a data. ","")&amp;IF(ISNUMBER(C203),IF(AND(MONTH(C203)=12,OR(DAY(C203)=24,DAY(C203)=25)),"","⚠ Data fora do Natal (24 ou 25/12). "),"")&amp;IF(AND(ISNUMBER(C203),COUNTIFS($A$2:$A$301,A203,$C$2:$C$301,C203)&gt;1),"⚠ Nome repetido na mesma data. ","")&amp;IF(AND(ISNUMBER(C203),COUNTIFS(FÉRIAS!$A$2:$A$301,A203,FÉRIAS!$C$2:$C$301,"&lt;="&amp;C203,FÉRIAS!$D$2:$D$301,"&gt;="&amp;C203)&gt;0),IF(D203="TRABALHA","⚠ Está de férias e marcado TRABALHA. ","⚠ Já está de férias nesta data. "),"")&amp;IF(AND(ISNUMBER(C203),COUNTIFS(FOLGAS!$A$2:$A$301,A203,FOLGAS!$C$2:$C$301,C203)&gt;0),IF(D203="FOLGA","⚠ Folga também lançada na aba FOLGAS. ",IF(D203="TRABALHA","⚠ Marcado TRABALHA, mas tem folga na aba FOLGAS. ","")),"")&amp;IF(AND(ISNUMBER(C203),D203="FOLGA",B203&lt;&gt;"",COUNTIFS($B$2:$B$301,B203,$C$2:$C$301,C203,$D$2:$D$301,"TRABALHA")=0),"⚠ Ninguém do setor trabalhando nesta data. ","")))</f>
        <v/>
      </c>
    </row>
    <row r="204" customFormat="false" ht="15" hidden="false" customHeight="true" outlineLevel="0" collapsed="false">
      <c r="A204" s="54"/>
      <c r="B204" s="54"/>
      <c r="C204" s="53"/>
      <c r="D204" s="54"/>
      <c r="E204" s="54"/>
      <c r="F204" s="55" t="str">
        <f aca="false">IF(A204="","",TRIM(IF(NOT(ISNUMBER(C204)),"⚠ Falta a data. ","")&amp;IF(ISNUMBER(C204),IF(AND(MONTH(C204)=12,OR(DAY(C204)=24,DAY(C204)=25)),"","⚠ Data fora do Natal (24 ou 25/12). "),"")&amp;IF(AND(ISNUMBER(C204),COUNTIFS($A$2:$A$301,A204,$C$2:$C$301,C204)&gt;1),"⚠ Nome repetido na mesma data. ","")&amp;IF(AND(ISNUMBER(C204),COUNTIFS(FÉRIAS!$A$2:$A$301,A204,FÉRIAS!$C$2:$C$301,"&lt;="&amp;C204,FÉRIAS!$D$2:$D$301,"&gt;="&amp;C204)&gt;0),IF(D204="TRABALHA","⚠ Está de férias e marcado TRABALHA. ","⚠ Já está de férias nesta data. "),"")&amp;IF(AND(ISNUMBER(C204),COUNTIFS(FOLGAS!$A$2:$A$301,A204,FOLGAS!$C$2:$C$301,C204)&gt;0),IF(D204="FOLGA","⚠ Folga também lançada na aba FOLGAS. ",IF(D204="TRABALHA","⚠ Marcado TRABALHA, mas tem folga na aba FOLGAS. ","")),"")&amp;IF(AND(ISNUMBER(C204),D204="FOLGA",B204&lt;&gt;"",COUNTIFS($B$2:$B$301,B204,$C$2:$C$301,C204,$D$2:$D$301,"TRABALHA")=0),"⚠ Ninguém do setor trabalhando nesta data. ","")))</f>
        <v/>
      </c>
    </row>
    <row r="205" customFormat="false" ht="15" hidden="false" customHeight="true" outlineLevel="0" collapsed="false">
      <c r="A205" s="54"/>
      <c r="B205" s="54"/>
      <c r="C205" s="53"/>
      <c r="D205" s="54"/>
      <c r="E205" s="54"/>
      <c r="F205" s="55" t="str">
        <f aca="false">IF(A205="","",TRIM(IF(NOT(ISNUMBER(C205)),"⚠ Falta a data. ","")&amp;IF(ISNUMBER(C205),IF(AND(MONTH(C205)=12,OR(DAY(C205)=24,DAY(C205)=25)),"","⚠ Data fora do Natal (24 ou 25/12). "),"")&amp;IF(AND(ISNUMBER(C205),COUNTIFS($A$2:$A$301,A205,$C$2:$C$301,C205)&gt;1),"⚠ Nome repetido na mesma data. ","")&amp;IF(AND(ISNUMBER(C205),COUNTIFS(FÉRIAS!$A$2:$A$301,A205,FÉRIAS!$C$2:$C$301,"&lt;="&amp;C205,FÉRIAS!$D$2:$D$301,"&gt;="&amp;C205)&gt;0),IF(D205="TRABALHA","⚠ Está de férias e marcado TRABALHA. ","⚠ Já está de férias nesta data. "),"")&amp;IF(AND(ISNUMBER(C205),COUNTIFS(FOLGAS!$A$2:$A$301,A205,FOLGAS!$C$2:$C$301,C205)&gt;0),IF(D205="FOLGA","⚠ Folga também lançada na aba FOLGAS. ",IF(D205="TRABALHA","⚠ Marcado TRABALHA, mas tem folga na aba FOLGAS. ","")),"")&amp;IF(AND(ISNUMBER(C205),D205="FOLGA",B205&lt;&gt;"",COUNTIFS($B$2:$B$301,B205,$C$2:$C$301,C205,$D$2:$D$301,"TRABALHA")=0),"⚠ Ninguém do setor trabalhando nesta data. ","")))</f>
        <v/>
      </c>
    </row>
    <row r="206" customFormat="false" ht="15" hidden="false" customHeight="true" outlineLevel="0" collapsed="false">
      <c r="A206" s="54"/>
      <c r="B206" s="54"/>
      <c r="C206" s="53"/>
      <c r="D206" s="54"/>
      <c r="E206" s="54"/>
      <c r="F206" s="55" t="str">
        <f aca="false">IF(A206="","",TRIM(IF(NOT(ISNUMBER(C206)),"⚠ Falta a data. ","")&amp;IF(ISNUMBER(C206),IF(AND(MONTH(C206)=12,OR(DAY(C206)=24,DAY(C206)=25)),"","⚠ Data fora do Natal (24 ou 25/12). "),"")&amp;IF(AND(ISNUMBER(C206),COUNTIFS($A$2:$A$301,A206,$C$2:$C$301,C206)&gt;1),"⚠ Nome repetido na mesma data. ","")&amp;IF(AND(ISNUMBER(C206),COUNTIFS(FÉRIAS!$A$2:$A$301,A206,FÉRIAS!$C$2:$C$301,"&lt;="&amp;C206,FÉRIAS!$D$2:$D$301,"&gt;="&amp;C206)&gt;0),IF(D206="TRABALHA","⚠ Está de férias e marcado TRABALHA. ","⚠ Já está de férias nesta data. "),"")&amp;IF(AND(ISNUMBER(C206),COUNTIFS(FOLGAS!$A$2:$A$301,A206,FOLGAS!$C$2:$C$301,C206)&gt;0),IF(D206="FOLGA","⚠ Folga também lançada na aba FOLGAS. ",IF(D206="TRABALHA","⚠ Marcado TRABALHA, mas tem folga na aba FOLGAS. ","")),"")&amp;IF(AND(ISNUMBER(C206),D206="FOLGA",B206&lt;&gt;"",COUNTIFS($B$2:$B$301,B206,$C$2:$C$301,C206,$D$2:$D$301,"TRABALHA")=0),"⚠ Ninguém do setor trabalhando nesta data. ","")))</f>
        <v/>
      </c>
    </row>
    <row r="207" customFormat="false" ht="15" hidden="false" customHeight="true" outlineLevel="0" collapsed="false">
      <c r="A207" s="54"/>
      <c r="B207" s="54"/>
      <c r="C207" s="53"/>
      <c r="D207" s="54"/>
      <c r="E207" s="54"/>
      <c r="F207" s="55" t="str">
        <f aca="false">IF(A207="","",TRIM(IF(NOT(ISNUMBER(C207)),"⚠ Falta a data. ","")&amp;IF(ISNUMBER(C207),IF(AND(MONTH(C207)=12,OR(DAY(C207)=24,DAY(C207)=25)),"","⚠ Data fora do Natal (24 ou 25/12). "),"")&amp;IF(AND(ISNUMBER(C207),COUNTIFS($A$2:$A$301,A207,$C$2:$C$301,C207)&gt;1),"⚠ Nome repetido na mesma data. ","")&amp;IF(AND(ISNUMBER(C207),COUNTIFS(FÉRIAS!$A$2:$A$301,A207,FÉRIAS!$C$2:$C$301,"&lt;="&amp;C207,FÉRIAS!$D$2:$D$301,"&gt;="&amp;C207)&gt;0),IF(D207="TRABALHA","⚠ Está de férias e marcado TRABALHA. ","⚠ Já está de férias nesta data. "),"")&amp;IF(AND(ISNUMBER(C207),COUNTIFS(FOLGAS!$A$2:$A$301,A207,FOLGAS!$C$2:$C$301,C207)&gt;0),IF(D207="FOLGA","⚠ Folga também lançada na aba FOLGAS. ",IF(D207="TRABALHA","⚠ Marcado TRABALHA, mas tem folga na aba FOLGAS. ","")),"")&amp;IF(AND(ISNUMBER(C207),D207="FOLGA",B207&lt;&gt;"",COUNTIFS($B$2:$B$301,B207,$C$2:$C$301,C207,$D$2:$D$301,"TRABALHA")=0),"⚠ Ninguém do setor trabalhando nesta data. ","")))</f>
        <v/>
      </c>
    </row>
    <row r="208" customFormat="false" ht="15" hidden="false" customHeight="true" outlineLevel="0" collapsed="false">
      <c r="A208" s="54"/>
      <c r="B208" s="54"/>
      <c r="C208" s="53"/>
      <c r="D208" s="54"/>
      <c r="E208" s="54"/>
      <c r="F208" s="55" t="str">
        <f aca="false">IF(A208="","",TRIM(IF(NOT(ISNUMBER(C208)),"⚠ Falta a data. ","")&amp;IF(ISNUMBER(C208),IF(AND(MONTH(C208)=12,OR(DAY(C208)=24,DAY(C208)=25)),"","⚠ Data fora do Natal (24 ou 25/12). "),"")&amp;IF(AND(ISNUMBER(C208),COUNTIFS($A$2:$A$301,A208,$C$2:$C$301,C208)&gt;1),"⚠ Nome repetido na mesma data. ","")&amp;IF(AND(ISNUMBER(C208),COUNTIFS(FÉRIAS!$A$2:$A$301,A208,FÉRIAS!$C$2:$C$301,"&lt;="&amp;C208,FÉRIAS!$D$2:$D$301,"&gt;="&amp;C208)&gt;0),IF(D208="TRABALHA","⚠ Está de férias e marcado TRABALHA. ","⚠ Já está de férias nesta data. "),"")&amp;IF(AND(ISNUMBER(C208),COUNTIFS(FOLGAS!$A$2:$A$301,A208,FOLGAS!$C$2:$C$301,C208)&gt;0),IF(D208="FOLGA","⚠ Folga também lançada na aba FOLGAS. ",IF(D208="TRABALHA","⚠ Marcado TRABALHA, mas tem folga na aba FOLGAS. ","")),"")&amp;IF(AND(ISNUMBER(C208),D208="FOLGA",B208&lt;&gt;"",COUNTIFS($B$2:$B$301,B208,$C$2:$C$301,C208,$D$2:$D$301,"TRABALHA")=0),"⚠ Ninguém do setor trabalhando nesta data. ","")))</f>
        <v/>
      </c>
    </row>
    <row r="209" customFormat="false" ht="15" hidden="false" customHeight="true" outlineLevel="0" collapsed="false">
      <c r="A209" s="54"/>
      <c r="B209" s="54"/>
      <c r="C209" s="53"/>
      <c r="D209" s="54"/>
      <c r="E209" s="54"/>
      <c r="F209" s="55" t="str">
        <f aca="false">IF(A209="","",TRIM(IF(NOT(ISNUMBER(C209)),"⚠ Falta a data. ","")&amp;IF(ISNUMBER(C209),IF(AND(MONTH(C209)=12,OR(DAY(C209)=24,DAY(C209)=25)),"","⚠ Data fora do Natal (24 ou 25/12). "),"")&amp;IF(AND(ISNUMBER(C209),COUNTIFS($A$2:$A$301,A209,$C$2:$C$301,C209)&gt;1),"⚠ Nome repetido na mesma data. ","")&amp;IF(AND(ISNUMBER(C209),COUNTIFS(FÉRIAS!$A$2:$A$301,A209,FÉRIAS!$C$2:$C$301,"&lt;="&amp;C209,FÉRIAS!$D$2:$D$301,"&gt;="&amp;C209)&gt;0),IF(D209="TRABALHA","⚠ Está de férias e marcado TRABALHA. ","⚠ Já está de férias nesta data. "),"")&amp;IF(AND(ISNUMBER(C209),COUNTIFS(FOLGAS!$A$2:$A$301,A209,FOLGAS!$C$2:$C$301,C209)&gt;0),IF(D209="FOLGA","⚠ Folga também lançada na aba FOLGAS. ",IF(D209="TRABALHA","⚠ Marcado TRABALHA, mas tem folga na aba FOLGAS. ","")),"")&amp;IF(AND(ISNUMBER(C209),D209="FOLGA",B209&lt;&gt;"",COUNTIFS($B$2:$B$301,B209,$C$2:$C$301,C209,$D$2:$D$301,"TRABALHA")=0),"⚠ Ninguém do setor trabalhando nesta data. ","")))</f>
        <v/>
      </c>
    </row>
    <row r="210" customFormat="false" ht="15" hidden="false" customHeight="true" outlineLevel="0" collapsed="false">
      <c r="A210" s="54"/>
      <c r="B210" s="54"/>
      <c r="C210" s="53"/>
      <c r="D210" s="54"/>
      <c r="E210" s="54"/>
      <c r="F210" s="55" t="str">
        <f aca="false">IF(A210="","",TRIM(IF(NOT(ISNUMBER(C210)),"⚠ Falta a data. ","")&amp;IF(ISNUMBER(C210),IF(AND(MONTH(C210)=12,OR(DAY(C210)=24,DAY(C210)=25)),"","⚠ Data fora do Natal (24 ou 25/12). "),"")&amp;IF(AND(ISNUMBER(C210),COUNTIFS($A$2:$A$301,A210,$C$2:$C$301,C210)&gt;1),"⚠ Nome repetido na mesma data. ","")&amp;IF(AND(ISNUMBER(C210),COUNTIFS(FÉRIAS!$A$2:$A$301,A210,FÉRIAS!$C$2:$C$301,"&lt;="&amp;C210,FÉRIAS!$D$2:$D$301,"&gt;="&amp;C210)&gt;0),IF(D210="TRABALHA","⚠ Está de férias e marcado TRABALHA. ","⚠ Já está de férias nesta data. "),"")&amp;IF(AND(ISNUMBER(C210),COUNTIFS(FOLGAS!$A$2:$A$301,A210,FOLGAS!$C$2:$C$301,C210)&gt;0),IF(D210="FOLGA","⚠ Folga também lançada na aba FOLGAS. ",IF(D210="TRABALHA","⚠ Marcado TRABALHA, mas tem folga na aba FOLGAS. ","")),"")&amp;IF(AND(ISNUMBER(C210),D210="FOLGA",B210&lt;&gt;"",COUNTIFS($B$2:$B$301,B210,$C$2:$C$301,C210,$D$2:$D$301,"TRABALHA")=0),"⚠ Ninguém do setor trabalhando nesta data. ","")))</f>
        <v/>
      </c>
    </row>
    <row r="211" customFormat="false" ht="15" hidden="false" customHeight="true" outlineLevel="0" collapsed="false">
      <c r="A211" s="54"/>
      <c r="B211" s="54"/>
      <c r="C211" s="53"/>
      <c r="D211" s="54"/>
      <c r="E211" s="54"/>
      <c r="F211" s="55" t="str">
        <f aca="false">IF(A211="","",TRIM(IF(NOT(ISNUMBER(C211)),"⚠ Falta a data. ","")&amp;IF(ISNUMBER(C211),IF(AND(MONTH(C211)=12,OR(DAY(C211)=24,DAY(C211)=25)),"","⚠ Data fora do Natal (24 ou 25/12). "),"")&amp;IF(AND(ISNUMBER(C211),COUNTIFS($A$2:$A$301,A211,$C$2:$C$301,C211)&gt;1),"⚠ Nome repetido na mesma data. ","")&amp;IF(AND(ISNUMBER(C211),COUNTIFS(FÉRIAS!$A$2:$A$301,A211,FÉRIAS!$C$2:$C$301,"&lt;="&amp;C211,FÉRIAS!$D$2:$D$301,"&gt;="&amp;C211)&gt;0),IF(D211="TRABALHA","⚠ Está de férias e marcado TRABALHA. ","⚠ Já está de férias nesta data. "),"")&amp;IF(AND(ISNUMBER(C211),COUNTIFS(FOLGAS!$A$2:$A$301,A211,FOLGAS!$C$2:$C$301,C211)&gt;0),IF(D211="FOLGA","⚠ Folga também lançada na aba FOLGAS. ",IF(D211="TRABALHA","⚠ Marcado TRABALHA, mas tem folga na aba FOLGAS. ","")),"")&amp;IF(AND(ISNUMBER(C211),D211="FOLGA",B211&lt;&gt;"",COUNTIFS($B$2:$B$301,B211,$C$2:$C$301,C211,$D$2:$D$301,"TRABALHA")=0),"⚠ Ninguém do setor trabalhando nesta data. ","")))</f>
        <v/>
      </c>
    </row>
    <row r="212" customFormat="false" ht="15" hidden="false" customHeight="true" outlineLevel="0" collapsed="false">
      <c r="A212" s="54"/>
      <c r="B212" s="54"/>
      <c r="C212" s="53"/>
      <c r="D212" s="54"/>
      <c r="E212" s="54"/>
      <c r="F212" s="55" t="str">
        <f aca="false">IF(A212="","",TRIM(IF(NOT(ISNUMBER(C212)),"⚠ Falta a data. ","")&amp;IF(ISNUMBER(C212),IF(AND(MONTH(C212)=12,OR(DAY(C212)=24,DAY(C212)=25)),"","⚠ Data fora do Natal (24 ou 25/12). "),"")&amp;IF(AND(ISNUMBER(C212),COUNTIFS($A$2:$A$301,A212,$C$2:$C$301,C212)&gt;1),"⚠ Nome repetido na mesma data. ","")&amp;IF(AND(ISNUMBER(C212),COUNTIFS(FÉRIAS!$A$2:$A$301,A212,FÉRIAS!$C$2:$C$301,"&lt;="&amp;C212,FÉRIAS!$D$2:$D$301,"&gt;="&amp;C212)&gt;0),IF(D212="TRABALHA","⚠ Está de férias e marcado TRABALHA. ","⚠ Já está de férias nesta data. "),"")&amp;IF(AND(ISNUMBER(C212),COUNTIFS(FOLGAS!$A$2:$A$301,A212,FOLGAS!$C$2:$C$301,C212)&gt;0),IF(D212="FOLGA","⚠ Folga também lançada na aba FOLGAS. ",IF(D212="TRABALHA","⚠ Marcado TRABALHA, mas tem folga na aba FOLGAS. ","")),"")&amp;IF(AND(ISNUMBER(C212),D212="FOLGA",B212&lt;&gt;"",COUNTIFS($B$2:$B$301,B212,$C$2:$C$301,C212,$D$2:$D$301,"TRABALHA")=0),"⚠ Ninguém do setor trabalhando nesta data. ","")))</f>
        <v/>
      </c>
    </row>
    <row r="213" customFormat="false" ht="15" hidden="false" customHeight="true" outlineLevel="0" collapsed="false">
      <c r="A213" s="54"/>
      <c r="B213" s="54"/>
      <c r="C213" s="53"/>
      <c r="D213" s="54"/>
      <c r="E213" s="54"/>
      <c r="F213" s="55" t="str">
        <f aca="false">IF(A213="","",TRIM(IF(NOT(ISNUMBER(C213)),"⚠ Falta a data. ","")&amp;IF(ISNUMBER(C213),IF(AND(MONTH(C213)=12,OR(DAY(C213)=24,DAY(C213)=25)),"","⚠ Data fora do Natal (24 ou 25/12). "),"")&amp;IF(AND(ISNUMBER(C213),COUNTIFS($A$2:$A$301,A213,$C$2:$C$301,C213)&gt;1),"⚠ Nome repetido na mesma data. ","")&amp;IF(AND(ISNUMBER(C213),COUNTIFS(FÉRIAS!$A$2:$A$301,A213,FÉRIAS!$C$2:$C$301,"&lt;="&amp;C213,FÉRIAS!$D$2:$D$301,"&gt;="&amp;C213)&gt;0),IF(D213="TRABALHA","⚠ Está de férias e marcado TRABALHA. ","⚠ Já está de férias nesta data. "),"")&amp;IF(AND(ISNUMBER(C213),COUNTIFS(FOLGAS!$A$2:$A$301,A213,FOLGAS!$C$2:$C$301,C213)&gt;0),IF(D213="FOLGA","⚠ Folga também lançada na aba FOLGAS. ",IF(D213="TRABALHA","⚠ Marcado TRABALHA, mas tem folga na aba FOLGAS. ","")),"")&amp;IF(AND(ISNUMBER(C213),D213="FOLGA",B213&lt;&gt;"",COUNTIFS($B$2:$B$301,B213,$C$2:$C$301,C213,$D$2:$D$301,"TRABALHA")=0),"⚠ Ninguém do setor trabalhando nesta data. ","")))</f>
        <v/>
      </c>
    </row>
    <row r="214" customFormat="false" ht="15" hidden="false" customHeight="true" outlineLevel="0" collapsed="false">
      <c r="A214" s="54"/>
      <c r="B214" s="54"/>
      <c r="C214" s="53"/>
      <c r="D214" s="54"/>
      <c r="E214" s="54"/>
      <c r="F214" s="55" t="str">
        <f aca="false">IF(A214="","",TRIM(IF(NOT(ISNUMBER(C214)),"⚠ Falta a data. ","")&amp;IF(ISNUMBER(C214),IF(AND(MONTH(C214)=12,OR(DAY(C214)=24,DAY(C214)=25)),"","⚠ Data fora do Natal (24 ou 25/12). "),"")&amp;IF(AND(ISNUMBER(C214),COUNTIFS($A$2:$A$301,A214,$C$2:$C$301,C214)&gt;1),"⚠ Nome repetido na mesma data. ","")&amp;IF(AND(ISNUMBER(C214),COUNTIFS(FÉRIAS!$A$2:$A$301,A214,FÉRIAS!$C$2:$C$301,"&lt;="&amp;C214,FÉRIAS!$D$2:$D$301,"&gt;="&amp;C214)&gt;0),IF(D214="TRABALHA","⚠ Está de férias e marcado TRABALHA. ","⚠ Já está de férias nesta data. "),"")&amp;IF(AND(ISNUMBER(C214),COUNTIFS(FOLGAS!$A$2:$A$301,A214,FOLGAS!$C$2:$C$301,C214)&gt;0),IF(D214="FOLGA","⚠ Folga também lançada na aba FOLGAS. ",IF(D214="TRABALHA","⚠ Marcado TRABALHA, mas tem folga na aba FOLGAS. ","")),"")&amp;IF(AND(ISNUMBER(C214),D214="FOLGA",B214&lt;&gt;"",COUNTIFS($B$2:$B$301,B214,$C$2:$C$301,C214,$D$2:$D$301,"TRABALHA")=0),"⚠ Ninguém do setor trabalhando nesta data. ","")))</f>
        <v/>
      </c>
    </row>
    <row r="215" customFormat="false" ht="15" hidden="false" customHeight="true" outlineLevel="0" collapsed="false">
      <c r="A215" s="54"/>
      <c r="B215" s="54"/>
      <c r="C215" s="53"/>
      <c r="D215" s="54"/>
      <c r="E215" s="54"/>
      <c r="F215" s="55" t="str">
        <f aca="false">IF(A215="","",TRIM(IF(NOT(ISNUMBER(C215)),"⚠ Falta a data. ","")&amp;IF(ISNUMBER(C215),IF(AND(MONTH(C215)=12,OR(DAY(C215)=24,DAY(C215)=25)),"","⚠ Data fora do Natal (24 ou 25/12). "),"")&amp;IF(AND(ISNUMBER(C215),COUNTIFS($A$2:$A$301,A215,$C$2:$C$301,C215)&gt;1),"⚠ Nome repetido na mesma data. ","")&amp;IF(AND(ISNUMBER(C215),COUNTIFS(FÉRIAS!$A$2:$A$301,A215,FÉRIAS!$C$2:$C$301,"&lt;="&amp;C215,FÉRIAS!$D$2:$D$301,"&gt;="&amp;C215)&gt;0),IF(D215="TRABALHA","⚠ Está de férias e marcado TRABALHA. ","⚠ Já está de férias nesta data. "),"")&amp;IF(AND(ISNUMBER(C215),COUNTIFS(FOLGAS!$A$2:$A$301,A215,FOLGAS!$C$2:$C$301,C215)&gt;0),IF(D215="FOLGA","⚠ Folga também lançada na aba FOLGAS. ",IF(D215="TRABALHA","⚠ Marcado TRABALHA, mas tem folga na aba FOLGAS. ","")),"")&amp;IF(AND(ISNUMBER(C215),D215="FOLGA",B215&lt;&gt;"",COUNTIFS($B$2:$B$301,B215,$C$2:$C$301,C215,$D$2:$D$301,"TRABALHA")=0),"⚠ Ninguém do setor trabalhando nesta data. ","")))</f>
        <v/>
      </c>
    </row>
    <row r="216" customFormat="false" ht="15" hidden="false" customHeight="true" outlineLevel="0" collapsed="false">
      <c r="A216" s="54"/>
      <c r="B216" s="54"/>
      <c r="C216" s="53"/>
      <c r="D216" s="54"/>
      <c r="E216" s="54"/>
      <c r="F216" s="55" t="str">
        <f aca="false">IF(A216="","",TRIM(IF(NOT(ISNUMBER(C216)),"⚠ Falta a data. ","")&amp;IF(ISNUMBER(C216),IF(AND(MONTH(C216)=12,OR(DAY(C216)=24,DAY(C216)=25)),"","⚠ Data fora do Natal (24 ou 25/12). "),"")&amp;IF(AND(ISNUMBER(C216),COUNTIFS($A$2:$A$301,A216,$C$2:$C$301,C216)&gt;1),"⚠ Nome repetido na mesma data. ","")&amp;IF(AND(ISNUMBER(C216),COUNTIFS(FÉRIAS!$A$2:$A$301,A216,FÉRIAS!$C$2:$C$301,"&lt;="&amp;C216,FÉRIAS!$D$2:$D$301,"&gt;="&amp;C216)&gt;0),IF(D216="TRABALHA","⚠ Está de férias e marcado TRABALHA. ","⚠ Já está de férias nesta data. "),"")&amp;IF(AND(ISNUMBER(C216),COUNTIFS(FOLGAS!$A$2:$A$301,A216,FOLGAS!$C$2:$C$301,C216)&gt;0),IF(D216="FOLGA","⚠ Folga também lançada na aba FOLGAS. ",IF(D216="TRABALHA","⚠ Marcado TRABALHA, mas tem folga na aba FOLGAS. ","")),"")&amp;IF(AND(ISNUMBER(C216),D216="FOLGA",B216&lt;&gt;"",COUNTIFS($B$2:$B$301,B216,$C$2:$C$301,C216,$D$2:$D$301,"TRABALHA")=0),"⚠ Ninguém do setor trabalhando nesta data. ","")))</f>
        <v/>
      </c>
    </row>
    <row r="217" customFormat="false" ht="15" hidden="false" customHeight="true" outlineLevel="0" collapsed="false">
      <c r="A217" s="54"/>
      <c r="B217" s="54"/>
      <c r="C217" s="53"/>
      <c r="D217" s="54"/>
      <c r="E217" s="54"/>
      <c r="F217" s="55" t="str">
        <f aca="false">IF(A217="","",TRIM(IF(NOT(ISNUMBER(C217)),"⚠ Falta a data. ","")&amp;IF(ISNUMBER(C217),IF(AND(MONTH(C217)=12,OR(DAY(C217)=24,DAY(C217)=25)),"","⚠ Data fora do Natal (24 ou 25/12). "),"")&amp;IF(AND(ISNUMBER(C217),COUNTIFS($A$2:$A$301,A217,$C$2:$C$301,C217)&gt;1),"⚠ Nome repetido na mesma data. ","")&amp;IF(AND(ISNUMBER(C217),COUNTIFS(FÉRIAS!$A$2:$A$301,A217,FÉRIAS!$C$2:$C$301,"&lt;="&amp;C217,FÉRIAS!$D$2:$D$301,"&gt;="&amp;C217)&gt;0),IF(D217="TRABALHA","⚠ Está de férias e marcado TRABALHA. ","⚠ Já está de férias nesta data. "),"")&amp;IF(AND(ISNUMBER(C217),COUNTIFS(FOLGAS!$A$2:$A$301,A217,FOLGAS!$C$2:$C$301,C217)&gt;0),IF(D217="FOLGA","⚠ Folga também lançada na aba FOLGAS. ",IF(D217="TRABALHA","⚠ Marcado TRABALHA, mas tem folga na aba FOLGAS. ","")),"")&amp;IF(AND(ISNUMBER(C217),D217="FOLGA",B217&lt;&gt;"",COUNTIFS($B$2:$B$301,B217,$C$2:$C$301,C217,$D$2:$D$301,"TRABALHA")=0),"⚠ Ninguém do setor trabalhando nesta data. ","")))</f>
        <v/>
      </c>
    </row>
    <row r="218" customFormat="false" ht="15" hidden="false" customHeight="true" outlineLevel="0" collapsed="false">
      <c r="A218" s="54"/>
      <c r="B218" s="54"/>
      <c r="C218" s="53"/>
      <c r="D218" s="54"/>
      <c r="E218" s="54"/>
      <c r="F218" s="55" t="str">
        <f aca="false">IF(A218="","",TRIM(IF(NOT(ISNUMBER(C218)),"⚠ Falta a data. ","")&amp;IF(ISNUMBER(C218),IF(AND(MONTH(C218)=12,OR(DAY(C218)=24,DAY(C218)=25)),"","⚠ Data fora do Natal (24 ou 25/12). "),"")&amp;IF(AND(ISNUMBER(C218),COUNTIFS($A$2:$A$301,A218,$C$2:$C$301,C218)&gt;1),"⚠ Nome repetido na mesma data. ","")&amp;IF(AND(ISNUMBER(C218),COUNTIFS(FÉRIAS!$A$2:$A$301,A218,FÉRIAS!$C$2:$C$301,"&lt;="&amp;C218,FÉRIAS!$D$2:$D$301,"&gt;="&amp;C218)&gt;0),IF(D218="TRABALHA","⚠ Está de férias e marcado TRABALHA. ","⚠ Já está de férias nesta data. "),"")&amp;IF(AND(ISNUMBER(C218),COUNTIFS(FOLGAS!$A$2:$A$301,A218,FOLGAS!$C$2:$C$301,C218)&gt;0),IF(D218="FOLGA","⚠ Folga também lançada na aba FOLGAS. ",IF(D218="TRABALHA","⚠ Marcado TRABALHA, mas tem folga na aba FOLGAS. ","")),"")&amp;IF(AND(ISNUMBER(C218),D218="FOLGA",B218&lt;&gt;"",COUNTIFS($B$2:$B$301,B218,$C$2:$C$301,C218,$D$2:$D$301,"TRABALHA")=0),"⚠ Ninguém do setor trabalhando nesta data. ","")))</f>
        <v/>
      </c>
    </row>
    <row r="219" customFormat="false" ht="15" hidden="false" customHeight="true" outlineLevel="0" collapsed="false">
      <c r="A219" s="54"/>
      <c r="B219" s="54"/>
      <c r="C219" s="53"/>
      <c r="D219" s="54"/>
      <c r="E219" s="54"/>
      <c r="F219" s="55" t="str">
        <f aca="false">IF(A219="","",TRIM(IF(NOT(ISNUMBER(C219)),"⚠ Falta a data. ","")&amp;IF(ISNUMBER(C219),IF(AND(MONTH(C219)=12,OR(DAY(C219)=24,DAY(C219)=25)),"","⚠ Data fora do Natal (24 ou 25/12). "),"")&amp;IF(AND(ISNUMBER(C219),COUNTIFS($A$2:$A$301,A219,$C$2:$C$301,C219)&gt;1),"⚠ Nome repetido na mesma data. ","")&amp;IF(AND(ISNUMBER(C219),COUNTIFS(FÉRIAS!$A$2:$A$301,A219,FÉRIAS!$C$2:$C$301,"&lt;="&amp;C219,FÉRIAS!$D$2:$D$301,"&gt;="&amp;C219)&gt;0),IF(D219="TRABALHA","⚠ Está de férias e marcado TRABALHA. ","⚠ Já está de férias nesta data. "),"")&amp;IF(AND(ISNUMBER(C219),COUNTIFS(FOLGAS!$A$2:$A$301,A219,FOLGAS!$C$2:$C$301,C219)&gt;0),IF(D219="FOLGA","⚠ Folga também lançada na aba FOLGAS. ",IF(D219="TRABALHA","⚠ Marcado TRABALHA, mas tem folga na aba FOLGAS. ","")),"")&amp;IF(AND(ISNUMBER(C219),D219="FOLGA",B219&lt;&gt;"",COUNTIFS($B$2:$B$301,B219,$C$2:$C$301,C219,$D$2:$D$301,"TRABALHA")=0),"⚠ Ninguém do setor trabalhando nesta data. ","")))</f>
        <v/>
      </c>
    </row>
    <row r="220" customFormat="false" ht="15" hidden="false" customHeight="true" outlineLevel="0" collapsed="false">
      <c r="A220" s="54"/>
      <c r="B220" s="54"/>
      <c r="C220" s="53"/>
      <c r="D220" s="54"/>
      <c r="E220" s="54"/>
      <c r="F220" s="55" t="str">
        <f aca="false">IF(A220="","",TRIM(IF(NOT(ISNUMBER(C220)),"⚠ Falta a data. ","")&amp;IF(ISNUMBER(C220),IF(AND(MONTH(C220)=12,OR(DAY(C220)=24,DAY(C220)=25)),"","⚠ Data fora do Natal (24 ou 25/12). "),"")&amp;IF(AND(ISNUMBER(C220),COUNTIFS($A$2:$A$301,A220,$C$2:$C$301,C220)&gt;1),"⚠ Nome repetido na mesma data. ","")&amp;IF(AND(ISNUMBER(C220),COUNTIFS(FÉRIAS!$A$2:$A$301,A220,FÉRIAS!$C$2:$C$301,"&lt;="&amp;C220,FÉRIAS!$D$2:$D$301,"&gt;="&amp;C220)&gt;0),IF(D220="TRABALHA","⚠ Está de férias e marcado TRABALHA. ","⚠ Já está de férias nesta data. "),"")&amp;IF(AND(ISNUMBER(C220),COUNTIFS(FOLGAS!$A$2:$A$301,A220,FOLGAS!$C$2:$C$301,C220)&gt;0),IF(D220="FOLGA","⚠ Folga também lançada na aba FOLGAS. ",IF(D220="TRABALHA","⚠ Marcado TRABALHA, mas tem folga na aba FOLGAS. ","")),"")&amp;IF(AND(ISNUMBER(C220),D220="FOLGA",B220&lt;&gt;"",COUNTIFS($B$2:$B$301,B220,$C$2:$C$301,C220,$D$2:$D$301,"TRABALHA")=0),"⚠ Ninguém do setor trabalhando nesta data. ","")))</f>
        <v/>
      </c>
    </row>
    <row r="221" customFormat="false" ht="15" hidden="false" customHeight="true" outlineLevel="0" collapsed="false">
      <c r="A221" s="54"/>
      <c r="B221" s="54"/>
      <c r="C221" s="53"/>
      <c r="D221" s="54"/>
      <c r="E221" s="54"/>
      <c r="F221" s="55" t="str">
        <f aca="false">IF(A221="","",TRIM(IF(NOT(ISNUMBER(C221)),"⚠ Falta a data. ","")&amp;IF(ISNUMBER(C221),IF(AND(MONTH(C221)=12,OR(DAY(C221)=24,DAY(C221)=25)),"","⚠ Data fora do Natal (24 ou 25/12). "),"")&amp;IF(AND(ISNUMBER(C221),COUNTIFS($A$2:$A$301,A221,$C$2:$C$301,C221)&gt;1),"⚠ Nome repetido na mesma data. ","")&amp;IF(AND(ISNUMBER(C221),COUNTIFS(FÉRIAS!$A$2:$A$301,A221,FÉRIAS!$C$2:$C$301,"&lt;="&amp;C221,FÉRIAS!$D$2:$D$301,"&gt;="&amp;C221)&gt;0),IF(D221="TRABALHA","⚠ Está de férias e marcado TRABALHA. ","⚠ Já está de férias nesta data. "),"")&amp;IF(AND(ISNUMBER(C221),COUNTIFS(FOLGAS!$A$2:$A$301,A221,FOLGAS!$C$2:$C$301,C221)&gt;0),IF(D221="FOLGA","⚠ Folga também lançada na aba FOLGAS. ",IF(D221="TRABALHA","⚠ Marcado TRABALHA, mas tem folga na aba FOLGAS. ","")),"")&amp;IF(AND(ISNUMBER(C221),D221="FOLGA",B221&lt;&gt;"",COUNTIFS($B$2:$B$301,B221,$C$2:$C$301,C221,$D$2:$D$301,"TRABALHA")=0),"⚠ Ninguém do setor trabalhando nesta data. ","")))</f>
        <v/>
      </c>
    </row>
    <row r="222" customFormat="false" ht="15" hidden="false" customHeight="true" outlineLevel="0" collapsed="false">
      <c r="A222" s="54"/>
      <c r="B222" s="54"/>
      <c r="C222" s="53"/>
      <c r="D222" s="54"/>
      <c r="E222" s="54"/>
      <c r="F222" s="55" t="str">
        <f aca="false">IF(A222="","",TRIM(IF(NOT(ISNUMBER(C222)),"⚠ Falta a data. ","")&amp;IF(ISNUMBER(C222),IF(AND(MONTH(C222)=12,OR(DAY(C222)=24,DAY(C222)=25)),"","⚠ Data fora do Natal (24 ou 25/12). "),"")&amp;IF(AND(ISNUMBER(C222),COUNTIFS($A$2:$A$301,A222,$C$2:$C$301,C222)&gt;1),"⚠ Nome repetido na mesma data. ","")&amp;IF(AND(ISNUMBER(C222),COUNTIFS(FÉRIAS!$A$2:$A$301,A222,FÉRIAS!$C$2:$C$301,"&lt;="&amp;C222,FÉRIAS!$D$2:$D$301,"&gt;="&amp;C222)&gt;0),IF(D222="TRABALHA","⚠ Está de férias e marcado TRABALHA. ","⚠ Já está de férias nesta data. "),"")&amp;IF(AND(ISNUMBER(C222),COUNTIFS(FOLGAS!$A$2:$A$301,A222,FOLGAS!$C$2:$C$301,C222)&gt;0),IF(D222="FOLGA","⚠ Folga também lançada na aba FOLGAS. ",IF(D222="TRABALHA","⚠ Marcado TRABALHA, mas tem folga na aba FOLGAS. ","")),"")&amp;IF(AND(ISNUMBER(C222),D222="FOLGA",B222&lt;&gt;"",COUNTIFS($B$2:$B$301,B222,$C$2:$C$301,C222,$D$2:$D$301,"TRABALHA")=0),"⚠ Ninguém do setor trabalhando nesta data. ","")))</f>
        <v/>
      </c>
    </row>
    <row r="223" customFormat="false" ht="15" hidden="false" customHeight="true" outlineLevel="0" collapsed="false">
      <c r="A223" s="54"/>
      <c r="B223" s="54"/>
      <c r="C223" s="53"/>
      <c r="D223" s="54"/>
      <c r="E223" s="54"/>
      <c r="F223" s="55" t="str">
        <f aca="false">IF(A223="","",TRIM(IF(NOT(ISNUMBER(C223)),"⚠ Falta a data. ","")&amp;IF(ISNUMBER(C223),IF(AND(MONTH(C223)=12,OR(DAY(C223)=24,DAY(C223)=25)),"","⚠ Data fora do Natal (24 ou 25/12). "),"")&amp;IF(AND(ISNUMBER(C223),COUNTIFS($A$2:$A$301,A223,$C$2:$C$301,C223)&gt;1),"⚠ Nome repetido na mesma data. ","")&amp;IF(AND(ISNUMBER(C223),COUNTIFS(FÉRIAS!$A$2:$A$301,A223,FÉRIAS!$C$2:$C$301,"&lt;="&amp;C223,FÉRIAS!$D$2:$D$301,"&gt;="&amp;C223)&gt;0),IF(D223="TRABALHA","⚠ Está de férias e marcado TRABALHA. ","⚠ Já está de férias nesta data. "),"")&amp;IF(AND(ISNUMBER(C223),COUNTIFS(FOLGAS!$A$2:$A$301,A223,FOLGAS!$C$2:$C$301,C223)&gt;0),IF(D223="FOLGA","⚠ Folga também lançada na aba FOLGAS. ",IF(D223="TRABALHA","⚠ Marcado TRABALHA, mas tem folga na aba FOLGAS. ","")),"")&amp;IF(AND(ISNUMBER(C223),D223="FOLGA",B223&lt;&gt;"",COUNTIFS($B$2:$B$301,B223,$C$2:$C$301,C223,$D$2:$D$301,"TRABALHA")=0),"⚠ Ninguém do setor trabalhando nesta data. ","")))</f>
        <v/>
      </c>
    </row>
    <row r="224" customFormat="false" ht="15" hidden="false" customHeight="true" outlineLevel="0" collapsed="false">
      <c r="A224" s="54"/>
      <c r="B224" s="54"/>
      <c r="C224" s="53"/>
      <c r="D224" s="54"/>
      <c r="E224" s="54"/>
      <c r="F224" s="55" t="str">
        <f aca="false">IF(A224="","",TRIM(IF(NOT(ISNUMBER(C224)),"⚠ Falta a data. ","")&amp;IF(ISNUMBER(C224),IF(AND(MONTH(C224)=12,OR(DAY(C224)=24,DAY(C224)=25)),"","⚠ Data fora do Natal (24 ou 25/12). "),"")&amp;IF(AND(ISNUMBER(C224),COUNTIFS($A$2:$A$301,A224,$C$2:$C$301,C224)&gt;1),"⚠ Nome repetido na mesma data. ","")&amp;IF(AND(ISNUMBER(C224),COUNTIFS(FÉRIAS!$A$2:$A$301,A224,FÉRIAS!$C$2:$C$301,"&lt;="&amp;C224,FÉRIAS!$D$2:$D$301,"&gt;="&amp;C224)&gt;0),IF(D224="TRABALHA","⚠ Está de férias e marcado TRABALHA. ","⚠ Já está de férias nesta data. "),"")&amp;IF(AND(ISNUMBER(C224),COUNTIFS(FOLGAS!$A$2:$A$301,A224,FOLGAS!$C$2:$C$301,C224)&gt;0),IF(D224="FOLGA","⚠ Folga também lançada na aba FOLGAS. ",IF(D224="TRABALHA","⚠ Marcado TRABALHA, mas tem folga na aba FOLGAS. ","")),"")&amp;IF(AND(ISNUMBER(C224),D224="FOLGA",B224&lt;&gt;"",COUNTIFS($B$2:$B$301,B224,$C$2:$C$301,C224,$D$2:$D$301,"TRABALHA")=0),"⚠ Ninguém do setor trabalhando nesta data. ","")))</f>
        <v/>
      </c>
    </row>
    <row r="225" customFormat="false" ht="15" hidden="false" customHeight="true" outlineLevel="0" collapsed="false">
      <c r="A225" s="54"/>
      <c r="B225" s="54"/>
      <c r="C225" s="53"/>
      <c r="D225" s="54"/>
      <c r="E225" s="54"/>
      <c r="F225" s="55" t="str">
        <f aca="false">IF(A225="","",TRIM(IF(NOT(ISNUMBER(C225)),"⚠ Falta a data. ","")&amp;IF(ISNUMBER(C225),IF(AND(MONTH(C225)=12,OR(DAY(C225)=24,DAY(C225)=25)),"","⚠ Data fora do Natal (24 ou 25/12). "),"")&amp;IF(AND(ISNUMBER(C225),COUNTIFS($A$2:$A$301,A225,$C$2:$C$301,C225)&gt;1),"⚠ Nome repetido na mesma data. ","")&amp;IF(AND(ISNUMBER(C225),COUNTIFS(FÉRIAS!$A$2:$A$301,A225,FÉRIAS!$C$2:$C$301,"&lt;="&amp;C225,FÉRIAS!$D$2:$D$301,"&gt;="&amp;C225)&gt;0),IF(D225="TRABALHA","⚠ Está de férias e marcado TRABALHA. ","⚠ Já está de férias nesta data. "),"")&amp;IF(AND(ISNUMBER(C225),COUNTIFS(FOLGAS!$A$2:$A$301,A225,FOLGAS!$C$2:$C$301,C225)&gt;0),IF(D225="FOLGA","⚠ Folga também lançada na aba FOLGAS. ",IF(D225="TRABALHA","⚠ Marcado TRABALHA, mas tem folga na aba FOLGAS. ","")),"")&amp;IF(AND(ISNUMBER(C225),D225="FOLGA",B225&lt;&gt;"",COUNTIFS($B$2:$B$301,B225,$C$2:$C$301,C225,$D$2:$D$301,"TRABALHA")=0),"⚠ Ninguém do setor trabalhando nesta data. ","")))</f>
        <v/>
      </c>
    </row>
    <row r="226" customFormat="false" ht="15" hidden="false" customHeight="true" outlineLevel="0" collapsed="false">
      <c r="A226" s="54"/>
      <c r="B226" s="54"/>
      <c r="C226" s="53"/>
      <c r="D226" s="54"/>
      <c r="E226" s="54"/>
      <c r="F226" s="55" t="str">
        <f aca="false">IF(A226="","",TRIM(IF(NOT(ISNUMBER(C226)),"⚠ Falta a data. ","")&amp;IF(ISNUMBER(C226),IF(AND(MONTH(C226)=12,OR(DAY(C226)=24,DAY(C226)=25)),"","⚠ Data fora do Natal (24 ou 25/12). "),"")&amp;IF(AND(ISNUMBER(C226),COUNTIFS($A$2:$A$301,A226,$C$2:$C$301,C226)&gt;1),"⚠ Nome repetido na mesma data. ","")&amp;IF(AND(ISNUMBER(C226),COUNTIFS(FÉRIAS!$A$2:$A$301,A226,FÉRIAS!$C$2:$C$301,"&lt;="&amp;C226,FÉRIAS!$D$2:$D$301,"&gt;="&amp;C226)&gt;0),IF(D226="TRABALHA","⚠ Está de férias e marcado TRABALHA. ","⚠ Já está de férias nesta data. "),"")&amp;IF(AND(ISNUMBER(C226),COUNTIFS(FOLGAS!$A$2:$A$301,A226,FOLGAS!$C$2:$C$301,C226)&gt;0),IF(D226="FOLGA","⚠ Folga também lançada na aba FOLGAS. ",IF(D226="TRABALHA","⚠ Marcado TRABALHA, mas tem folga na aba FOLGAS. ","")),"")&amp;IF(AND(ISNUMBER(C226),D226="FOLGA",B226&lt;&gt;"",COUNTIFS($B$2:$B$301,B226,$C$2:$C$301,C226,$D$2:$D$301,"TRABALHA")=0),"⚠ Ninguém do setor trabalhando nesta data. ","")))</f>
        <v/>
      </c>
    </row>
    <row r="227" customFormat="false" ht="15" hidden="false" customHeight="true" outlineLevel="0" collapsed="false">
      <c r="A227" s="54"/>
      <c r="B227" s="54"/>
      <c r="C227" s="53"/>
      <c r="D227" s="54"/>
      <c r="E227" s="54"/>
      <c r="F227" s="55" t="str">
        <f aca="false">IF(A227="","",TRIM(IF(NOT(ISNUMBER(C227)),"⚠ Falta a data. ","")&amp;IF(ISNUMBER(C227),IF(AND(MONTH(C227)=12,OR(DAY(C227)=24,DAY(C227)=25)),"","⚠ Data fora do Natal (24 ou 25/12). "),"")&amp;IF(AND(ISNUMBER(C227),COUNTIFS($A$2:$A$301,A227,$C$2:$C$301,C227)&gt;1),"⚠ Nome repetido na mesma data. ","")&amp;IF(AND(ISNUMBER(C227),COUNTIFS(FÉRIAS!$A$2:$A$301,A227,FÉRIAS!$C$2:$C$301,"&lt;="&amp;C227,FÉRIAS!$D$2:$D$301,"&gt;="&amp;C227)&gt;0),IF(D227="TRABALHA","⚠ Está de férias e marcado TRABALHA. ","⚠ Já está de férias nesta data. "),"")&amp;IF(AND(ISNUMBER(C227),COUNTIFS(FOLGAS!$A$2:$A$301,A227,FOLGAS!$C$2:$C$301,C227)&gt;0),IF(D227="FOLGA","⚠ Folga também lançada na aba FOLGAS. ",IF(D227="TRABALHA","⚠ Marcado TRABALHA, mas tem folga na aba FOLGAS. ","")),"")&amp;IF(AND(ISNUMBER(C227),D227="FOLGA",B227&lt;&gt;"",COUNTIFS($B$2:$B$301,B227,$C$2:$C$301,C227,$D$2:$D$301,"TRABALHA")=0),"⚠ Ninguém do setor trabalhando nesta data. ","")))</f>
        <v/>
      </c>
    </row>
    <row r="228" customFormat="false" ht="15" hidden="false" customHeight="true" outlineLevel="0" collapsed="false">
      <c r="A228" s="54"/>
      <c r="B228" s="54"/>
      <c r="C228" s="53"/>
      <c r="D228" s="54"/>
      <c r="E228" s="54"/>
      <c r="F228" s="55" t="str">
        <f aca="false">IF(A228="","",TRIM(IF(NOT(ISNUMBER(C228)),"⚠ Falta a data. ","")&amp;IF(ISNUMBER(C228),IF(AND(MONTH(C228)=12,OR(DAY(C228)=24,DAY(C228)=25)),"","⚠ Data fora do Natal (24 ou 25/12). "),"")&amp;IF(AND(ISNUMBER(C228),COUNTIFS($A$2:$A$301,A228,$C$2:$C$301,C228)&gt;1),"⚠ Nome repetido na mesma data. ","")&amp;IF(AND(ISNUMBER(C228),COUNTIFS(FÉRIAS!$A$2:$A$301,A228,FÉRIAS!$C$2:$C$301,"&lt;="&amp;C228,FÉRIAS!$D$2:$D$301,"&gt;="&amp;C228)&gt;0),IF(D228="TRABALHA","⚠ Está de férias e marcado TRABALHA. ","⚠ Já está de férias nesta data. "),"")&amp;IF(AND(ISNUMBER(C228),COUNTIFS(FOLGAS!$A$2:$A$301,A228,FOLGAS!$C$2:$C$301,C228)&gt;0),IF(D228="FOLGA","⚠ Folga também lançada na aba FOLGAS. ",IF(D228="TRABALHA","⚠ Marcado TRABALHA, mas tem folga na aba FOLGAS. ","")),"")&amp;IF(AND(ISNUMBER(C228),D228="FOLGA",B228&lt;&gt;"",COUNTIFS($B$2:$B$301,B228,$C$2:$C$301,C228,$D$2:$D$301,"TRABALHA")=0),"⚠ Ninguém do setor trabalhando nesta data. ","")))</f>
        <v/>
      </c>
    </row>
    <row r="229" customFormat="false" ht="15" hidden="false" customHeight="true" outlineLevel="0" collapsed="false">
      <c r="A229" s="54"/>
      <c r="B229" s="54"/>
      <c r="C229" s="53"/>
      <c r="D229" s="54"/>
      <c r="E229" s="54"/>
      <c r="F229" s="55" t="str">
        <f aca="false">IF(A229="","",TRIM(IF(NOT(ISNUMBER(C229)),"⚠ Falta a data. ","")&amp;IF(ISNUMBER(C229),IF(AND(MONTH(C229)=12,OR(DAY(C229)=24,DAY(C229)=25)),"","⚠ Data fora do Natal (24 ou 25/12). "),"")&amp;IF(AND(ISNUMBER(C229),COUNTIFS($A$2:$A$301,A229,$C$2:$C$301,C229)&gt;1),"⚠ Nome repetido na mesma data. ","")&amp;IF(AND(ISNUMBER(C229),COUNTIFS(FÉRIAS!$A$2:$A$301,A229,FÉRIAS!$C$2:$C$301,"&lt;="&amp;C229,FÉRIAS!$D$2:$D$301,"&gt;="&amp;C229)&gt;0),IF(D229="TRABALHA","⚠ Está de férias e marcado TRABALHA. ","⚠ Já está de férias nesta data. "),"")&amp;IF(AND(ISNUMBER(C229),COUNTIFS(FOLGAS!$A$2:$A$301,A229,FOLGAS!$C$2:$C$301,C229)&gt;0),IF(D229="FOLGA","⚠ Folga também lançada na aba FOLGAS. ",IF(D229="TRABALHA","⚠ Marcado TRABALHA, mas tem folga na aba FOLGAS. ","")),"")&amp;IF(AND(ISNUMBER(C229),D229="FOLGA",B229&lt;&gt;"",COUNTIFS($B$2:$B$301,B229,$C$2:$C$301,C229,$D$2:$D$301,"TRABALHA")=0),"⚠ Ninguém do setor trabalhando nesta data. ","")))</f>
        <v/>
      </c>
    </row>
    <row r="230" customFormat="false" ht="15" hidden="false" customHeight="true" outlineLevel="0" collapsed="false">
      <c r="A230" s="54"/>
      <c r="B230" s="54"/>
      <c r="C230" s="53"/>
      <c r="D230" s="54"/>
      <c r="E230" s="54"/>
      <c r="F230" s="55" t="str">
        <f aca="false">IF(A230="","",TRIM(IF(NOT(ISNUMBER(C230)),"⚠ Falta a data. ","")&amp;IF(ISNUMBER(C230),IF(AND(MONTH(C230)=12,OR(DAY(C230)=24,DAY(C230)=25)),"","⚠ Data fora do Natal (24 ou 25/12). "),"")&amp;IF(AND(ISNUMBER(C230),COUNTIFS($A$2:$A$301,A230,$C$2:$C$301,C230)&gt;1),"⚠ Nome repetido na mesma data. ","")&amp;IF(AND(ISNUMBER(C230),COUNTIFS(FÉRIAS!$A$2:$A$301,A230,FÉRIAS!$C$2:$C$301,"&lt;="&amp;C230,FÉRIAS!$D$2:$D$301,"&gt;="&amp;C230)&gt;0),IF(D230="TRABALHA","⚠ Está de férias e marcado TRABALHA. ","⚠ Já está de férias nesta data. "),"")&amp;IF(AND(ISNUMBER(C230),COUNTIFS(FOLGAS!$A$2:$A$301,A230,FOLGAS!$C$2:$C$301,C230)&gt;0),IF(D230="FOLGA","⚠ Folga também lançada na aba FOLGAS. ",IF(D230="TRABALHA","⚠ Marcado TRABALHA, mas tem folga na aba FOLGAS. ","")),"")&amp;IF(AND(ISNUMBER(C230),D230="FOLGA",B230&lt;&gt;"",COUNTIFS($B$2:$B$301,B230,$C$2:$C$301,C230,$D$2:$D$301,"TRABALHA")=0),"⚠ Ninguém do setor trabalhando nesta data. ","")))</f>
        <v/>
      </c>
    </row>
    <row r="231" customFormat="false" ht="15" hidden="false" customHeight="true" outlineLevel="0" collapsed="false">
      <c r="A231" s="54"/>
      <c r="B231" s="54"/>
      <c r="C231" s="53"/>
      <c r="D231" s="54"/>
      <c r="E231" s="54"/>
      <c r="F231" s="55" t="str">
        <f aca="false">IF(A231="","",TRIM(IF(NOT(ISNUMBER(C231)),"⚠ Falta a data. ","")&amp;IF(ISNUMBER(C231),IF(AND(MONTH(C231)=12,OR(DAY(C231)=24,DAY(C231)=25)),"","⚠ Data fora do Natal (24 ou 25/12). "),"")&amp;IF(AND(ISNUMBER(C231),COUNTIFS($A$2:$A$301,A231,$C$2:$C$301,C231)&gt;1),"⚠ Nome repetido na mesma data. ","")&amp;IF(AND(ISNUMBER(C231),COUNTIFS(FÉRIAS!$A$2:$A$301,A231,FÉRIAS!$C$2:$C$301,"&lt;="&amp;C231,FÉRIAS!$D$2:$D$301,"&gt;="&amp;C231)&gt;0),IF(D231="TRABALHA","⚠ Está de férias e marcado TRABALHA. ","⚠ Já está de férias nesta data. "),"")&amp;IF(AND(ISNUMBER(C231),COUNTIFS(FOLGAS!$A$2:$A$301,A231,FOLGAS!$C$2:$C$301,C231)&gt;0),IF(D231="FOLGA","⚠ Folga também lançada na aba FOLGAS. ",IF(D231="TRABALHA","⚠ Marcado TRABALHA, mas tem folga na aba FOLGAS. ","")),"")&amp;IF(AND(ISNUMBER(C231),D231="FOLGA",B231&lt;&gt;"",COUNTIFS($B$2:$B$301,B231,$C$2:$C$301,C231,$D$2:$D$301,"TRABALHA")=0),"⚠ Ninguém do setor trabalhando nesta data. ","")))</f>
        <v/>
      </c>
    </row>
    <row r="232" customFormat="false" ht="15" hidden="false" customHeight="true" outlineLevel="0" collapsed="false">
      <c r="A232" s="54"/>
      <c r="B232" s="54"/>
      <c r="C232" s="53"/>
      <c r="D232" s="54"/>
      <c r="E232" s="54"/>
      <c r="F232" s="55" t="str">
        <f aca="false">IF(A232="","",TRIM(IF(NOT(ISNUMBER(C232)),"⚠ Falta a data. ","")&amp;IF(ISNUMBER(C232),IF(AND(MONTH(C232)=12,OR(DAY(C232)=24,DAY(C232)=25)),"","⚠ Data fora do Natal (24 ou 25/12). "),"")&amp;IF(AND(ISNUMBER(C232),COUNTIFS($A$2:$A$301,A232,$C$2:$C$301,C232)&gt;1),"⚠ Nome repetido na mesma data. ","")&amp;IF(AND(ISNUMBER(C232),COUNTIFS(FÉRIAS!$A$2:$A$301,A232,FÉRIAS!$C$2:$C$301,"&lt;="&amp;C232,FÉRIAS!$D$2:$D$301,"&gt;="&amp;C232)&gt;0),IF(D232="TRABALHA","⚠ Está de férias e marcado TRABALHA. ","⚠ Já está de férias nesta data. "),"")&amp;IF(AND(ISNUMBER(C232),COUNTIFS(FOLGAS!$A$2:$A$301,A232,FOLGAS!$C$2:$C$301,C232)&gt;0),IF(D232="FOLGA","⚠ Folga também lançada na aba FOLGAS. ",IF(D232="TRABALHA","⚠ Marcado TRABALHA, mas tem folga na aba FOLGAS. ","")),"")&amp;IF(AND(ISNUMBER(C232),D232="FOLGA",B232&lt;&gt;"",COUNTIFS($B$2:$B$301,B232,$C$2:$C$301,C232,$D$2:$D$301,"TRABALHA")=0),"⚠ Ninguém do setor trabalhando nesta data. ","")))</f>
        <v/>
      </c>
    </row>
    <row r="233" customFormat="false" ht="15" hidden="false" customHeight="true" outlineLevel="0" collapsed="false">
      <c r="A233" s="54"/>
      <c r="B233" s="54"/>
      <c r="C233" s="53"/>
      <c r="D233" s="54"/>
      <c r="E233" s="54"/>
      <c r="F233" s="55" t="str">
        <f aca="false">IF(A233="","",TRIM(IF(NOT(ISNUMBER(C233)),"⚠ Falta a data. ","")&amp;IF(ISNUMBER(C233),IF(AND(MONTH(C233)=12,OR(DAY(C233)=24,DAY(C233)=25)),"","⚠ Data fora do Natal (24 ou 25/12). "),"")&amp;IF(AND(ISNUMBER(C233),COUNTIFS($A$2:$A$301,A233,$C$2:$C$301,C233)&gt;1),"⚠ Nome repetido na mesma data. ","")&amp;IF(AND(ISNUMBER(C233),COUNTIFS(FÉRIAS!$A$2:$A$301,A233,FÉRIAS!$C$2:$C$301,"&lt;="&amp;C233,FÉRIAS!$D$2:$D$301,"&gt;="&amp;C233)&gt;0),IF(D233="TRABALHA","⚠ Está de férias e marcado TRABALHA. ","⚠ Já está de férias nesta data. "),"")&amp;IF(AND(ISNUMBER(C233),COUNTIFS(FOLGAS!$A$2:$A$301,A233,FOLGAS!$C$2:$C$301,C233)&gt;0),IF(D233="FOLGA","⚠ Folga também lançada na aba FOLGAS. ",IF(D233="TRABALHA","⚠ Marcado TRABALHA, mas tem folga na aba FOLGAS. ","")),"")&amp;IF(AND(ISNUMBER(C233),D233="FOLGA",B233&lt;&gt;"",COUNTIFS($B$2:$B$301,B233,$C$2:$C$301,C233,$D$2:$D$301,"TRABALHA")=0),"⚠ Ninguém do setor trabalhando nesta data. ","")))</f>
        <v/>
      </c>
    </row>
    <row r="234" customFormat="false" ht="15" hidden="false" customHeight="true" outlineLevel="0" collapsed="false">
      <c r="A234" s="54"/>
      <c r="B234" s="54"/>
      <c r="C234" s="53"/>
      <c r="D234" s="54"/>
      <c r="E234" s="54"/>
      <c r="F234" s="55" t="str">
        <f aca="false">IF(A234="","",TRIM(IF(NOT(ISNUMBER(C234)),"⚠ Falta a data. ","")&amp;IF(ISNUMBER(C234),IF(AND(MONTH(C234)=12,OR(DAY(C234)=24,DAY(C234)=25)),"","⚠ Data fora do Natal (24 ou 25/12). "),"")&amp;IF(AND(ISNUMBER(C234),COUNTIFS($A$2:$A$301,A234,$C$2:$C$301,C234)&gt;1),"⚠ Nome repetido na mesma data. ","")&amp;IF(AND(ISNUMBER(C234),COUNTIFS(FÉRIAS!$A$2:$A$301,A234,FÉRIAS!$C$2:$C$301,"&lt;="&amp;C234,FÉRIAS!$D$2:$D$301,"&gt;="&amp;C234)&gt;0),IF(D234="TRABALHA","⚠ Está de férias e marcado TRABALHA. ","⚠ Já está de férias nesta data. "),"")&amp;IF(AND(ISNUMBER(C234),COUNTIFS(FOLGAS!$A$2:$A$301,A234,FOLGAS!$C$2:$C$301,C234)&gt;0),IF(D234="FOLGA","⚠ Folga também lançada na aba FOLGAS. ",IF(D234="TRABALHA","⚠ Marcado TRABALHA, mas tem folga na aba FOLGAS. ","")),"")&amp;IF(AND(ISNUMBER(C234),D234="FOLGA",B234&lt;&gt;"",COUNTIFS($B$2:$B$301,B234,$C$2:$C$301,C234,$D$2:$D$301,"TRABALHA")=0),"⚠ Ninguém do setor trabalhando nesta data. ","")))</f>
        <v/>
      </c>
    </row>
    <row r="235" customFormat="false" ht="15" hidden="false" customHeight="true" outlineLevel="0" collapsed="false">
      <c r="A235" s="54"/>
      <c r="B235" s="54"/>
      <c r="C235" s="53"/>
      <c r="D235" s="54"/>
      <c r="E235" s="54"/>
      <c r="F235" s="55" t="str">
        <f aca="false">IF(A235="","",TRIM(IF(NOT(ISNUMBER(C235)),"⚠ Falta a data. ","")&amp;IF(ISNUMBER(C235),IF(AND(MONTH(C235)=12,OR(DAY(C235)=24,DAY(C235)=25)),"","⚠ Data fora do Natal (24 ou 25/12). "),"")&amp;IF(AND(ISNUMBER(C235),COUNTIFS($A$2:$A$301,A235,$C$2:$C$301,C235)&gt;1),"⚠ Nome repetido na mesma data. ","")&amp;IF(AND(ISNUMBER(C235),COUNTIFS(FÉRIAS!$A$2:$A$301,A235,FÉRIAS!$C$2:$C$301,"&lt;="&amp;C235,FÉRIAS!$D$2:$D$301,"&gt;="&amp;C235)&gt;0),IF(D235="TRABALHA","⚠ Está de férias e marcado TRABALHA. ","⚠ Já está de férias nesta data. "),"")&amp;IF(AND(ISNUMBER(C235),COUNTIFS(FOLGAS!$A$2:$A$301,A235,FOLGAS!$C$2:$C$301,C235)&gt;0),IF(D235="FOLGA","⚠ Folga também lançada na aba FOLGAS. ",IF(D235="TRABALHA","⚠ Marcado TRABALHA, mas tem folga na aba FOLGAS. ","")),"")&amp;IF(AND(ISNUMBER(C235),D235="FOLGA",B235&lt;&gt;"",COUNTIFS($B$2:$B$301,B235,$C$2:$C$301,C235,$D$2:$D$301,"TRABALHA")=0),"⚠ Ninguém do setor trabalhando nesta data. ","")))</f>
        <v/>
      </c>
    </row>
    <row r="236" customFormat="false" ht="15" hidden="false" customHeight="true" outlineLevel="0" collapsed="false">
      <c r="A236" s="54"/>
      <c r="B236" s="54"/>
      <c r="C236" s="53"/>
      <c r="D236" s="54"/>
      <c r="E236" s="54"/>
      <c r="F236" s="55" t="str">
        <f aca="false">IF(A236="","",TRIM(IF(NOT(ISNUMBER(C236)),"⚠ Falta a data. ","")&amp;IF(ISNUMBER(C236),IF(AND(MONTH(C236)=12,OR(DAY(C236)=24,DAY(C236)=25)),"","⚠ Data fora do Natal (24 ou 25/12). "),"")&amp;IF(AND(ISNUMBER(C236),COUNTIFS($A$2:$A$301,A236,$C$2:$C$301,C236)&gt;1),"⚠ Nome repetido na mesma data. ","")&amp;IF(AND(ISNUMBER(C236),COUNTIFS(FÉRIAS!$A$2:$A$301,A236,FÉRIAS!$C$2:$C$301,"&lt;="&amp;C236,FÉRIAS!$D$2:$D$301,"&gt;="&amp;C236)&gt;0),IF(D236="TRABALHA","⚠ Está de férias e marcado TRABALHA. ","⚠ Já está de férias nesta data. "),"")&amp;IF(AND(ISNUMBER(C236),COUNTIFS(FOLGAS!$A$2:$A$301,A236,FOLGAS!$C$2:$C$301,C236)&gt;0),IF(D236="FOLGA","⚠ Folga também lançada na aba FOLGAS. ",IF(D236="TRABALHA","⚠ Marcado TRABALHA, mas tem folga na aba FOLGAS. ","")),"")&amp;IF(AND(ISNUMBER(C236),D236="FOLGA",B236&lt;&gt;"",COUNTIFS($B$2:$B$301,B236,$C$2:$C$301,C236,$D$2:$D$301,"TRABALHA")=0),"⚠ Ninguém do setor trabalhando nesta data. ","")))</f>
        <v/>
      </c>
    </row>
    <row r="237" customFormat="false" ht="15" hidden="false" customHeight="true" outlineLevel="0" collapsed="false">
      <c r="A237" s="54"/>
      <c r="B237" s="54"/>
      <c r="C237" s="53"/>
      <c r="D237" s="54"/>
      <c r="E237" s="54"/>
      <c r="F237" s="55" t="str">
        <f aca="false">IF(A237="","",TRIM(IF(NOT(ISNUMBER(C237)),"⚠ Falta a data. ","")&amp;IF(ISNUMBER(C237),IF(AND(MONTH(C237)=12,OR(DAY(C237)=24,DAY(C237)=25)),"","⚠ Data fora do Natal (24 ou 25/12). "),"")&amp;IF(AND(ISNUMBER(C237),COUNTIFS($A$2:$A$301,A237,$C$2:$C$301,C237)&gt;1),"⚠ Nome repetido na mesma data. ","")&amp;IF(AND(ISNUMBER(C237),COUNTIFS(FÉRIAS!$A$2:$A$301,A237,FÉRIAS!$C$2:$C$301,"&lt;="&amp;C237,FÉRIAS!$D$2:$D$301,"&gt;="&amp;C237)&gt;0),IF(D237="TRABALHA","⚠ Está de férias e marcado TRABALHA. ","⚠ Já está de férias nesta data. "),"")&amp;IF(AND(ISNUMBER(C237),COUNTIFS(FOLGAS!$A$2:$A$301,A237,FOLGAS!$C$2:$C$301,C237)&gt;0),IF(D237="FOLGA","⚠ Folga também lançada na aba FOLGAS. ",IF(D237="TRABALHA","⚠ Marcado TRABALHA, mas tem folga na aba FOLGAS. ","")),"")&amp;IF(AND(ISNUMBER(C237),D237="FOLGA",B237&lt;&gt;"",COUNTIFS($B$2:$B$301,B237,$C$2:$C$301,C237,$D$2:$D$301,"TRABALHA")=0),"⚠ Ninguém do setor trabalhando nesta data. ","")))</f>
        <v/>
      </c>
    </row>
    <row r="238" customFormat="false" ht="15" hidden="false" customHeight="true" outlineLevel="0" collapsed="false">
      <c r="A238" s="54"/>
      <c r="B238" s="54"/>
      <c r="C238" s="53"/>
      <c r="D238" s="54"/>
      <c r="E238" s="54"/>
      <c r="F238" s="55" t="str">
        <f aca="false">IF(A238="","",TRIM(IF(NOT(ISNUMBER(C238)),"⚠ Falta a data. ","")&amp;IF(ISNUMBER(C238),IF(AND(MONTH(C238)=12,OR(DAY(C238)=24,DAY(C238)=25)),"","⚠ Data fora do Natal (24 ou 25/12). "),"")&amp;IF(AND(ISNUMBER(C238),COUNTIFS($A$2:$A$301,A238,$C$2:$C$301,C238)&gt;1),"⚠ Nome repetido na mesma data. ","")&amp;IF(AND(ISNUMBER(C238),COUNTIFS(FÉRIAS!$A$2:$A$301,A238,FÉRIAS!$C$2:$C$301,"&lt;="&amp;C238,FÉRIAS!$D$2:$D$301,"&gt;="&amp;C238)&gt;0),IF(D238="TRABALHA","⚠ Está de férias e marcado TRABALHA. ","⚠ Já está de férias nesta data. "),"")&amp;IF(AND(ISNUMBER(C238),COUNTIFS(FOLGAS!$A$2:$A$301,A238,FOLGAS!$C$2:$C$301,C238)&gt;0),IF(D238="FOLGA","⚠ Folga também lançada na aba FOLGAS. ",IF(D238="TRABALHA","⚠ Marcado TRABALHA, mas tem folga na aba FOLGAS. ","")),"")&amp;IF(AND(ISNUMBER(C238),D238="FOLGA",B238&lt;&gt;"",COUNTIFS($B$2:$B$301,B238,$C$2:$C$301,C238,$D$2:$D$301,"TRABALHA")=0),"⚠ Ninguém do setor trabalhando nesta data. ","")))</f>
        <v/>
      </c>
    </row>
    <row r="239" customFormat="false" ht="15" hidden="false" customHeight="true" outlineLevel="0" collapsed="false">
      <c r="A239" s="54"/>
      <c r="B239" s="54"/>
      <c r="C239" s="53"/>
      <c r="D239" s="54"/>
      <c r="E239" s="54"/>
      <c r="F239" s="55" t="str">
        <f aca="false">IF(A239="","",TRIM(IF(NOT(ISNUMBER(C239)),"⚠ Falta a data. ","")&amp;IF(ISNUMBER(C239),IF(AND(MONTH(C239)=12,OR(DAY(C239)=24,DAY(C239)=25)),"","⚠ Data fora do Natal (24 ou 25/12). "),"")&amp;IF(AND(ISNUMBER(C239),COUNTIFS($A$2:$A$301,A239,$C$2:$C$301,C239)&gt;1),"⚠ Nome repetido na mesma data. ","")&amp;IF(AND(ISNUMBER(C239),COUNTIFS(FÉRIAS!$A$2:$A$301,A239,FÉRIAS!$C$2:$C$301,"&lt;="&amp;C239,FÉRIAS!$D$2:$D$301,"&gt;="&amp;C239)&gt;0),IF(D239="TRABALHA","⚠ Está de férias e marcado TRABALHA. ","⚠ Já está de férias nesta data. "),"")&amp;IF(AND(ISNUMBER(C239),COUNTIFS(FOLGAS!$A$2:$A$301,A239,FOLGAS!$C$2:$C$301,C239)&gt;0),IF(D239="FOLGA","⚠ Folga também lançada na aba FOLGAS. ",IF(D239="TRABALHA","⚠ Marcado TRABALHA, mas tem folga na aba FOLGAS. ","")),"")&amp;IF(AND(ISNUMBER(C239),D239="FOLGA",B239&lt;&gt;"",COUNTIFS($B$2:$B$301,B239,$C$2:$C$301,C239,$D$2:$D$301,"TRABALHA")=0),"⚠ Ninguém do setor trabalhando nesta data. ","")))</f>
        <v/>
      </c>
    </row>
    <row r="240" customFormat="false" ht="15" hidden="false" customHeight="true" outlineLevel="0" collapsed="false">
      <c r="A240" s="54"/>
      <c r="B240" s="54"/>
      <c r="C240" s="53"/>
      <c r="D240" s="54"/>
      <c r="E240" s="54"/>
      <c r="F240" s="55" t="str">
        <f aca="false">IF(A240="","",TRIM(IF(NOT(ISNUMBER(C240)),"⚠ Falta a data. ","")&amp;IF(ISNUMBER(C240),IF(AND(MONTH(C240)=12,OR(DAY(C240)=24,DAY(C240)=25)),"","⚠ Data fora do Natal (24 ou 25/12). "),"")&amp;IF(AND(ISNUMBER(C240),COUNTIFS($A$2:$A$301,A240,$C$2:$C$301,C240)&gt;1),"⚠ Nome repetido na mesma data. ","")&amp;IF(AND(ISNUMBER(C240),COUNTIFS(FÉRIAS!$A$2:$A$301,A240,FÉRIAS!$C$2:$C$301,"&lt;="&amp;C240,FÉRIAS!$D$2:$D$301,"&gt;="&amp;C240)&gt;0),IF(D240="TRABALHA","⚠ Está de férias e marcado TRABALHA. ","⚠ Já está de férias nesta data. "),"")&amp;IF(AND(ISNUMBER(C240),COUNTIFS(FOLGAS!$A$2:$A$301,A240,FOLGAS!$C$2:$C$301,C240)&gt;0),IF(D240="FOLGA","⚠ Folga também lançada na aba FOLGAS. ",IF(D240="TRABALHA","⚠ Marcado TRABALHA, mas tem folga na aba FOLGAS. ","")),"")&amp;IF(AND(ISNUMBER(C240),D240="FOLGA",B240&lt;&gt;"",COUNTIFS($B$2:$B$301,B240,$C$2:$C$301,C240,$D$2:$D$301,"TRABALHA")=0),"⚠ Ninguém do setor trabalhando nesta data. ","")))</f>
        <v/>
      </c>
    </row>
    <row r="241" customFormat="false" ht="15" hidden="false" customHeight="true" outlineLevel="0" collapsed="false">
      <c r="A241" s="54"/>
      <c r="B241" s="54"/>
      <c r="C241" s="53"/>
      <c r="D241" s="54"/>
      <c r="E241" s="54"/>
      <c r="F241" s="55" t="str">
        <f aca="false">IF(A241="","",TRIM(IF(NOT(ISNUMBER(C241)),"⚠ Falta a data. ","")&amp;IF(ISNUMBER(C241),IF(AND(MONTH(C241)=12,OR(DAY(C241)=24,DAY(C241)=25)),"","⚠ Data fora do Natal (24 ou 25/12). "),"")&amp;IF(AND(ISNUMBER(C241),COUNTIFS($A$2:$A$301,A241,$C$2:$C$301,C241)&gt;1),"⚠ Nome repetido na mesma data. ","")&amp;IF(AND(ISNUMBER(C241),COUNTIFS(FÉRIAS!$A$2:$A$301,A241,FÉRIAS!$C$2:$C$301,"&lt;="&amp;C241,FÉRIAS!$D$2:$D$301,"&gt;="&amp;C241)&gt;0),IF(D241="TRABALHA","⚠ Está de férias e marcado TRABALHA. ","⚠ Já está de férias nesta data. "),"")&amp;IF(AND(ISNUMBER(C241),COUNTIFS(FOLGAS!$A$2:$A$301,A241,FOLGAS!$C$2:$C$301,C241)&gt;0),IF(D241="FOLGA","⚠ Folga também lançada na aba FOLGAS. ",IF(D241="TRABALHA","⚠ Marcado TRABALHA, mas tem folga na aba FOLGAS. ","")),"")&amp;IF(AND(ISNUMBER(C241),D241="FOLGA",B241&lt;&gt;"",COUNTIFS($B$2:$B$301,B241,$C$2:$C$301,C241,$D$2:$D$301,"TRABALHA")=0),"⚠ Ninguém do setor trabalhando nesta data. ","")))</f>
        <v/>
      </c>
    </row>
    <row r="242" customFormat="false" ht="15" hidden="false" customHeight="true" outlineLevel="0" collapsed="false">
      <c r="A242" s="54"/>
      <c r="B242" s="54"/>
      <c r="C242" s="53"/>
      <c r="D242" s="54"/>
      <c r="E242" s="54"/>
      <c r="F242" s="55" t="str">
        <f aca="false">IF(A242="","",TRIM(IF(NOT(ISNUMBER(C242)),"⚠ Falta a data. ","")&amp;IF(ISNUMBER(C242),IF(AND(MONTH(C242)=12,OR(DAY(C242)=24,DAY(C242)=25)),"","⚠ Data fora do Natal (24 ou 25/12). "),"")&amp;IF(AND(ISNUMBER(C242),COUNTIFS($A$2:$A$301,A242,$C$2:$C$301,C242)&gt;1),"⚠ Nome repetido na mesma data. ","")&amp;IF(AND(ISNUMBER(C242),COUNTIFS(FÉRIAS!$A$2:$A$301,A242,FÉRIAS!$C$2:$C$301,"&lt;="&amp;C242,FÉRIAS!$D$2:$D$301,"&gt;="&amp;C242)&gt;0),IF(D242="TRABALHA","⚠ Está de férias e marcado TRABALHA. ","⚠ Já está de férias nesta data. "),"")&amp;IF(AND(ISNUMBER(C242),COUNTIFS(FOLGAS!$A$2:$A$301,A242,FOLGAS!$C$2:$C$301,C242)&gt;0),IF(D242="FOLGA","⚠ Folga também lançada na aba FOLGAS. ",IF(D242="TRABALHA","⚠ Marcado TRABALHA, mas tem folga na aba FOLGAS. ","")),"")&amp;IF(AND(ISNUMBER(C242),D242="FOLGA",B242&lt;&gt;"",COUNTIFS($B$2:$B$301,B242,$C$2:$C$301,C242,$D$2:$D$301,"TRABALHA")=0),"⚠ Ninguém do setor trabalhando nesta data. ","")))</f>
        <v/>
      </c>
    </row>
    <row r="243" customFormat="false" ht="15" hidden="false" customHeight="true" outlineLevel="0" collapsed="false">
      <c r="A243" s="54"/>
      <c r="B243" s="54"/>
      <c r="C243" s="53"/>
      <c r="D243" s="54"/>
      <c r="E243" s="54"/>
      <c r="F243" s="55" t="str">
        <f aca="false">IF(A243="","",TRIM(IF(NOT(ISNUMBER(C243)),"⚠ Falta a data. ","")&amp;IF(ISNUMBER(C243),IF(AND(MONTH(C243)=12,OR(DAY(C243)=24,DAY(C243)=25)),"","⚠ Data fora do Natal (24 ou 25/12). "),"")&amp;IF(AND(ISNUMBER(C243),COUNTIFS($A$2:$A$301,A243,$C$2:$C$301,C243)&gt;1),"⚠ Nome repetido na mesma data. ","")&amp;IF(AND(ISNUMBER(C243),COUNTIFS(FÉRIAS!$A$2:$A$301,A243,FÉRIAS!$C$2:$C$301,"&lt;="&amp;C243,FÉRIAS!$D$2:$D$301,"&gt;="&amp;C243)&gt;0),IF(D243="TRABALHA","⚠ Está de férias e marcado TRABALHA. ","⚠ Já está de férias nesta data. "),"")&amp;IF(AND(ISNUMBER(C243),COUNTIFS(FOLGAS!$A$2:$A$301,A243,FOLGAS!$C$2:$C$301,C243)&gt;0),IF(D243="FOLGA","⚠ Folga também lançada na aba FOLGAS. ",IF(D243="TRABALHA","⚠ Marcado TRABALHA, mas tem folga na aba FOLGAS. ","")),"")&amp;IF(AND(ISNUMBER(C243),D243="FOLGA",B243&lt;&gt;"",COUNTIFS($B$2:$B$301,B243,$C$2:$C$301,C243,$D$2:$D$301,"TRABALHA")=0),"⚠ Ninguém do setor trabalhando nesta data. ","")))</f>
        <v/>
      </c>
    </row>
    <row r="244" customFormat="false" ht="15" hidden="false" customHeight="true" outlineLevel="0" collapsed="false">
      <c r="A244" s="54"/>
      <c r="B244" s="54"/>
      <c r="C244" s="53"/>
      <c r="D244" s="54"/>
      <c r="E244" s="54"/>
      <c r="F244" s="55" t="str">
        <f aca="false">IF(A244="","",TRIM(IF(NOT(ISNUMBER(C244)),"⚠ Falta a data. ","")&amp;IF(ISNUMBER(C244),IF(AND(MONTH(C244)=12,OR(DAY(C244)=24,DAY(C244)=25)),"","⚠ Data fora do Natal (24 ou 25/12). "),"")&amp;IF(AND(ISNUMBER(C244),COUNTIFS($A$2:$A$301,A244,$C$2:$C$301,C244)&gt;1),"⚠ Nome repetido na mesma data. ","")&amp;IF(AND(ISNUMBER(C244),COUNTIFS(FÉRIAS!$A$2:$A$301,A244,FÉRIAS!$C$2:$C$301,"&lt;="&amp;C244,FÉRIAS!$D$2:$D$301,"&gt;="&amp;C244)&gt;0),IF(D244="TRABALHA","⚠ Está de férias e marcado TRABALHA. ","⚠ Já está de férias nesta data. "),"")&amp;IF(AND(ISNUMBER(C244),COUNTIFS(FOLGAS!$A$2:$A$301,A244,FOLGAS!$C$2:$C$301,C244)&gt;0),IF(D244="FOLGA","⚠ Folga também lançada na aba FOLGAS. ",IF(D244="TRABALHA","⚠ Marcado TRABALHA, mas tem folga na aba FOLGAS. ","")),"")&amp;IF(AND(ISNUMBER(C244),D244="FOLGA",B244&lt;&gt;"",COUNTIFS($B$2:$B$301,B244,$C$2:$C$301,C244,$D$2:$D$301,"TRABALHA")=0),"⚠ Ninguém do setor trabalhando nesta data. ","")))</f>
        <v/>
      </c>
    </row>
    <row r="245" customFormat="false" ht="15" hidden="false" customHeight="true" outlineLevel="0" collapsed="false">
      <c r="A245" s="54"/>
      <c r="B245" s="54"/>
      <c r="C245" s="53"/>
      <c r="D245" s="54"/>
      <c r="E245" s="54"/>
      <c r="F245" s="55" t="str">
        <f aca="false">IF(A245="","",TRIM(IF(NOT(ISNUMBER(C245)),"⚠ Falta a data. ","")&amp;IF(ISNUMBER(C245),IF(AND(MONTH(C245)=12,OR(DAY(C245)=24,DAY(C245)=25)),"","⚠ Data fora do Natal (24 ou 25/12). "),"")&amp;IF(AND(ISNUMBER(C245),COUNTIFS($A$2:$A$301,A245,$C$2:$C$301,C245)&gt;1),"⚠ Nome repetido na mesma data. ","")&amp;IF(AND(ISNUMBER(C245),COUNTIFS(FÉRIAS!$A$2:$A$301,A245,FÉRIAS!$C$2:$C$301,"&lt;="&amp;C245,FÉRIAS!$D$2:$D$301,"&gt;="&amp;C245)&gt;0),IF(D245="TRABALHA","⚠ Está de férias e marcado TRABALHA. ","⚠ Já está de férias nesta data. "),"")&amp;IF(AND(ISNUMBER(C245),COUNTIFS(FOLGAS!$A$2:$A$301,A245,FOLGAS!$C$2:$C$301,C245)&gt;0),IF(D245="FOLGA","⚠ Folga também lançada na aba FOLGAS. ",IF(D245="TRABALHA","⚠ Marcado TRABALHA, mas tem folga na aba FOLGAS. ","")),"")&amp;IF(AND(ISNUMBER(C245),D245="FOLGA",B245&lt;&gt;"",COUNTIFS($B$2:$B$301,B245,$C$2:$C$301,C245,$D$2:$D$301,"TRABALHA")=0),"⚠ Ninguém do setor trabalhando nesta data. ","")))</f>
        <v/>
      </c>
    </row>
    <row r="246" customFormat="false" ht="15" hidden="false" customHeight="true" outlineLevel="0" collapsed="false">
      <c r="A246" s="54"/>
      <c r="B246" s="54"/>
      <c r="C246" s="53"/>
      <c r="D246" s="54"/>
      <c r="E246" s="54"/>
      <c r="F246" s="55" t="str">
        <f aca="false">IF(A246="","",TRIM(IF(NOT(ISNUMBER(C246)),"⚠ Falta a data. ","")&amp;IF(ISNUMBER(C246),IF(AND(MONTH(C246)=12,OR(DAY(C246)=24,DAY(C246)=25)),"","⚠ Data fora do Natal (24 ou 25/12). "),"")&amp;IF(AND(ISNUMBER(C246),COUNTIFS($A$2:$A$301,A246,$C$2:$C$301,C246)&gt;1),"⚠ Nome repetido na mesma data. ","")&amp;IF(AND(ISNUMBER(C246),COUNTIFS(FÉRIAS!$A$2:$A$301,A246,FÉRIAS!$C$2:$C$301,"&lt;="&amp;C246,FÉRIAS!$D$2:$D$301,"&gt;="&amp;C246)&gt;0),IF(D246="TRABALHA","⚠ Está de férias e marcado TRABALHA. ","⚠ Já está de férias nesta data. "),"")&amp;IF(AND(ISNUMBER(C246),COUNTIFS(FOLGAS!$A$2:$A$301,A246,FOLGAS!$C$2:$C$301,C246)&gt;0),IF(D246="FOLGA","⚠ Folga também lançada na aba FOLGAS. ",IF(D246="TRABALHA","⚠ Marcado TRABALHA, mas tem folga na aba FOLGAS. ","")),"")&amp;IF(AND(ISNUMBER(C246),D246="FOLGA",B246&lt;&gt;"",COUNTIFS($B$2:$B$301,B246,$C$2:$C$301,C246,$D$2:$D$301,"TRABALHA")=0),"⚠ Ninguém do setor trabalhando nesta data. ","")))</f>
        <v/>
      </c>
    </row>
    <row r="247" customFormat="false" ht="15" hidden="false" customHeight="true" outlineLevel="0" collapsed="false">
      <c r="A247" s="54"/>
      <c r="B247" s="54"/>
      <c r="C247" s="53"/>
      <c r="D247" s="54"/>
      <c r="E247" s="54"/>
      <c r="F247" s="55" t="str">
        <f aca="false">IF(A247="","",TRIM(IF(NOT(ISNUMBER(C247)),"⚠ Falta a data. ","")&amp;IF(ISNUMBER(C247),IF(AND(MONTH(C247)=12,OR(DAY(C247)=24,DAY(C247)=25)),"","⚠ Data fora do Natal (24 ou 25/12). "),"")&amp;IF(AND(ISNUMBER(C247),COUNTIFS($A$2:$A$301,A247,$C$2:$C$301,C247)&gt;1),"⚠ Nome repetido na mesma data. ","")&amp;IF(AND(ISNUMBER(C247),COUNTIFS(FÉRIAS!$A$2:$A$301,A247,FÉRIAS!$C$2:$C$301,"&lt;="&amp;C247,FÉRIAS!$D$2:$D$301,"&gt;="&amp;C247)&gt;0),IF(D247="TRABALHA","⚠ Está de férias e marcado TRABALHA. ","⚠ Já está de férias nesta data. "),"")&amp;IF(AND(ISNUMBER(C247),COUNTIFS(FOLGAS!$A$2:$A$301,A247,FOLGAS!$C$2:$C$301,C247)&gt;0),IF(D247="FOLGA","⚠ Folga também lançada na aba FOLGAS. ",IF(D247="TRABALHA","⚠ Marcado TRABALHA, mas tem folga na aba FOLGAS. ","")),"")&amp;IF(AND(ISNUMBER(C247),D247="FOLGA",B247&lt;&gt;"",COUNTIFS($B$2:$B$301,B247,$C$2:$C$301,C247,$D$2:$D$301,"TRABALHA")=0),"⚠ Ninguém do setor trabalhando nesta data. ","")))</f>
        <v/>
      </c>
    </row>
    <row r="248" customFormat="false" ht="15" hidden="false" customHeight="true" outlineLevel="0" collapsed="false">
      <c r="A248" s="54"/>
      <c r="B248" s="54"/>
      <c r="C248" s="53"/>
      <c r="D248" s="54"/>
      <c r="E248" s="54"/>
      <c r="F248" s="55" t="str">
        <f aca="false">IF(A248="","",TRIM(IF(NOT(ISNUMBER(C248)),"⚠ Falta a data. ","")&amp;IF(ISNUMBER(C248),IF(AND(MONTH(C248)=12,OR(DAY(C248)=24,DAY(C248)=25)),"","⚠ Data fora do Natal (24 ou 25/12). "),"")&amp;IF(AND(ISNUMBER(C248),COUNTIFS($A$2:$A$301,A248,$C$2:$C$301,C248)&gt;1),"⚠ Nome repetido na mesma data. ","")&amp;IF(AND(ISNUMBER(C248),COUNTIFS(FÉRIAS!$A$2:$A$301,A248,FÉRIAS!$C$2:$C$301,"&lt;="&amp;C248,FÉRIAS!$D$2:$D$301,"&gt;="&amp;C248)&gt;0),IF(D248="TRABALHA","⚠ Está de férias e marcado TRABALHA. ","⚠ Já está de férias nesta data. "),"")&amp;IF(AND(ISNUMBER(C248),COUNTIFS(FOLGAS!$A$2:$A$301,A248,FOLGAS!$C$2:$C$301,C248)&gt;0),IF(D248="FOLGA","⚠ Folga também lançada na aba FOLGAS. ",IF(D248="TRABALHA","⚠ Marcado TRABALHA, mas tem folga na aba FOLGAS. ","")),"")&amp;IF(AND(ISNUMBER(C248),D248="FOLGA",B248&lt;&gt;"",COUNTIFS($B$2:$B$301,B248,$C$2:$C$301,C248,$D$2:$D$301,"TRABALHA")=0),"⚠ Ninguém do setor trabalhando nesta data. ","")))</f>
        <v/>
      </c>
    </row>
    <row r="249" customFormat="false" ht="15" hidden="false" customHeight="true" outlineLevel="0" collapsed="false">
      <c r="A249" s="54"/>
      <c r="B249" s="54"/>
      <c r="C249" s="53"/>
      <c r="D249" s="54"/>
      <c r="E249" s="54"/>
      <c r="F249" s="55" t="str">
        <f aca="false">IF(A249="","",TRIM(IF(NOT(ISNUMBER(C249)),"⚠ Falta a data. ","")&amp;IF(ISNUMBER(C249),IF(AND(MONTH(C249)=12,OR(DAY(C249)=24,DAY(C249)=25)),"","⚠ Data fora do Natal (24 ou 25/12). "),"")&amp;IF(AND(ISNUMBER(C249),COUNTIFS($A$2:$A$301,A249,$C$2:$C$301,C249)&gt;1),"⚠ Nome repetido na mesma data. ","")&amp;IF(AND(ISNUMBER(C249),COUNTIFS(FÉRIAS!$A$2:$A$301,A249,FÉRIAS!$C$2:$C$301,"&lt;="&amp;C249,FÉRIAS!$D$2:$D$301,"&gt;="&amp;C249)&gt;0),IF(D249="TRABALHA","⚠ Está de férias e marcado TRABALHA. ","⚠ Já está de férias nesta data. "),"")&amp;IF(AND(ISNUMBER(C249),COUNTIFS(FOLGAS!$A$2:$A$301,A249,FOLGAS!$C$2:$C$301,C249)&gt;0),IF(D249="FOLGA","⚠ Folga também lançada na aba FOLGAS. ",IF(D249="TRABALHA","⚠ Marcado TRABALHA, mas tem folga na aba FOLGAS. ","")),"")&amp;IF(AND(ISNUMBER(C249),D249="FOLGA",B249&lt;&gt;"",COUNTIFS($B$2:$B$301,B249,$C$2:$C$301,C249,$D$2:$D$301,"TRABALHA")=0),"⚠ Ninguém do setor trabalhando nesta data. ","")))</f>
        <v/>
      </c>
    </row>
    <row r="250" customFormat="false" ht="15" hidden="false" customHeight="true" outlineLevel="0" collapsed="false">
      <c r="A250" s="54"/>
      <c r="B250" s="54"/>
      <c r="C250" s="53"/>
      <c r="D250" s="54"/>
      <c r="E250" s="54"/>
      <c r="F250" s="55" t="str">
        <f aca="false">IF(A250="","",TRIM(IF(NOT(ISNUMBER(C250)),"⚠ Falta a data. ","")&amp;IF(ISNUMBER(C250),IF(AND(MONTH(C250)=12,OR(DAY(C250)=24,DAY(C250)=25)),"","⚠ Data fora do Natal (24 ou 25/12). "),"")&amp;IF(AND(ISNUMBER(C250),COUNTIFS($A$2:$A$301,A250,$C$2:$C$301,C250)&gt;1),"⚠ Nome repetido na mesma data. ","")&amp;IF(AND(ISNUMBER(C250),COUNTIFS(FÉRIAS!$A$2:$A$301,A250,FÉRIAS!$C$2:$C$301,"&lt;="&amp;C250,FÉRIAS!$D$2:$D$301,"&gt;="&amp;C250)&gt;0),IF(D250="TRABALHA","⚠ Está de férias e marcado TRABALHA. ","⚠ Já está de férias nesta data. "),"")&amp;IF(AND(ISNUMBER(C250),COUNTIFS(FOLGAS!$A$2:$A$301,A250,FOLGAS!$C$2:$C$301,C250)&gt;0),IF(D250="FOLGA","⚠ Folga também lançada na aba FOLGAS. ",IF(D250="TRABALHA","⚠ Marcado TRABALHA, mas tem folga na aba FOLGAS. ","")),"")&amp;IF(AND(ISNUMBER(C250),D250="FOLGA",B250&lt;&gt;"",COUNTIFS($B$2:$B$301,B250,$C$2:$C$301,C250,$D$2:$D$301,"TRABALHA")=0),"⚠ Ninguém do setor trabalhando nesta data. ","")))</f>
        <v/>
      </c>
    </row>
    <row r="251" customFormat="false" ht="15" hidden="false" customHeight="true" outlineLevel="0" collapsed="false">
      <c r="A251" s="54"/>
      <c r="B251" s="54"/>
      <c r="C251" s="53"/>
      <c r="D251" s="54"/>
      <c r="E251" s="54"/>
      <c r="F251" s="55" t="str">
        <f aca="false">IF(A251="","",TRIM(IF(NOT(ISNUMBER(C251)),"⚠ Falta a data. ","")&amp;IF(ISNUMBER(C251),IF(AND(MONTH(C251)=12,OR(DAY(C251)=24,DAY(C251)=25)),"","⚠ Data fora do Natal (24 ou 25/12). "),"")&amp;IF(AND(ISNUMBER(C251),COUNTIFS($A$2:$A$301,A251,$C$2:$C$301,C251)&gt;1),"⚠ Nome repetido na mesma data. ","")&amp;IF(AND(ISNUMBER(C251),COUNTIFS(FÉRIAS!$A$2:$A$301,A251,FÉRIAS!$C$2:$C$301,"&lt;="&amp;C251,FÉRIAS!$D$2:$D$301,"&gt;="&amp;C251)&gt;0),IF(D251="TRABALHA","⚠ Está de férias e marcado TRABALHA. ","⚠ Já está de férias nesta data. "),"")&amp;IF(AND(ISNUMBER(C251),COUNTIFS(FOLGAS!$A$2:$A$301,A251,FOLGAS!$C$2:$C$301,C251)&gt;0),IF(D251="FOLGA","⚠ Folga também lançada na aba FOLGAS. ",IF(D251="TRABALHA","⚠ Marcado TRABALHA, mas tem folga na aba FOLGAS. ","")),"")&amp;IF(AND(ISNUMBER(C251),D251="FOLGA",B251&lt;&gt;"",COUNTIFS($B$2:$B$301,B251,$C$2:$C$301,C251,$D$2:$D$301,"TRABALHA")=0),"⚠ Ninguém do setor trabalhando nesta data. ","")))</f>
        <v/>
      </c>
    </row>
    <row r="252" customFormat="false" ht="15" hidden="false" customHeight="true" outlineLevel="0" collapsed="false">
      <c r="A252" s="54"/>
      <c r="B252" s="54"/>
      <c r="C252" s="53"/>
      <c r="D252" s="54"/>
      <c r="E252" s="54"/>
      <c r="F252" s="55" t="str">
        <f aca="false">IF(A252="","",TRIM(IF(NOT(ISNUMBER(C252)),"⚠ Falta a data. ","")&amp;IF(ISNUMBER(C252),IF(AND(MONTH(C252)=12,OR(DAY(C252)=24,DAY(C252)=25)),"","⚠ Data fora do Natal (24 ou 25/12). "),"")&amp;IF(AND(ISNUMBER(C252),COUNTIFS($A$2:$A$301,A252,$C$2:$C$301,C252)&gt;1),"⚠ Nome repetido na mesma data. ","")&amp;IF(AND(ISNUMBER(C252),COUNTIFS(FÉRIAS!$A$2:$A$301,A252,FÉRIAS!$C$2:$C$301,"&lt;="&amp;C252,FÉRIAS!$D$2:$D$301,"&gt;="&amp;C252)&gt;0),IF(D252="TRABALHA","⚠ Está de férias e marcado TRABALHA. ","⚠ Já está de férias nesta data. "),"")&amp;IF(AND(ISNUMBER(C252),COUNTIFS(FOLGAS!$A$2:$A$301,A252,FOLGAS!$C$2:$C$301,C252)&gt;0),IF(D252="FOLGA","⚠ Folga também lançada na aba FOLGAS. ",IF(D252="TRABALHA","⚠ Marcado TRABALHA, mas tem folga na aba FOLGAS. ","")),"")&amp;IF(AND(ISNUMBER(C252),D252="FOLGA",B252&lt;&gt;"",COUNTIFS($B$2:$B$301,B252,$C$2:$C$301,C252,$D$2:$D$301,"TRABALHA")=0),"⚠ Ninguém do setor trabalhando nesta data. ","")))</f>
        <v/>
      </c>
    </row>
    <row r="253" customFormat="false" ht="15" hidden="false" customHeight="true" outlineLevel="0" collapsed="false">
      <c r="A253" s="54"/>
      <c r="B253" s="54"/>
      <c r="C253" s="53"/>
      <c r="D253" s="54"/>
      <c r="E253" s="54"/>
      <c r="F253" s="55" t="str">
        <f aca="false">IF(A253="","",TRIM(IF(NOT(ISNUMBER(C253)),"⚠ Falta a data. ","")&amp;IF(ISNUMBER(C253),IF(AND(MONTH(C253)=12,OR(DAY(C253)=24,DAY(C253)=25)),"","⚠ Data fora do Natal (24 ou 25/12). "),"")&amp;IF(AND(ISNUMBER(C253),COUNTIFS($A$2:$A$301,A253,$C$2:$C$301,C253)&gt;1),"⚠ Nome repetido na mesma data. ","")&amp;IF(AND(ISNUMBER(C253),COUNTIFS(FÉRIAS!$A$2:$A$301,A253,FÉRIAS!$C$2:$C$301,"&lt;="&amp;C253,FÉRIAS!$D$2:$D$301,"&gt;="&amp;C253)&gt;0),IF(D253="TRABALHA","⚠ Está de férias e marcado TRABALHA. ","⚠ Já está de férias nesta data. "),"")&amp;IF(AND(ISNUMBER(C253),COUNTIFS(FOLGAS!$A$2:$A$301,A253,FOLGAS!$C$2:$C$301,C253)&gt;0),IF(D253="FOLGA","⚠ Folga também lançada na aba FOLGAS. ",IF(D253="TRABALHA","⚠ Marcado TRABALHA, mas tem folga na aba FOLGAS. ","")),"")&amp;IF(AND(ISNUMBER(C253),D253="FOLGA",B253&lt;&gt;"",COUNTIFS($B$2:$B$301,B253,$C$2:$C$301,C253,$D$2:$D$301,"TRABALHA")=0),"⚠ Ninguém do setor trabalhando nesta data. ","")))</f>
        <v/>
      </c>
    </row>
    <row r="254" customFormat="false" ht="15" hidden="false" customHeight="true" outlineLevel="0" collapsed="false">
      <c r="A254" s="54"/>
      <c r="B254" s="54"/>
      <c r="C254" s="53"/>
      <c r="D254" s="54"/>
      <c r="E254" s="54"/>
      <c r="F254" s="55" t="str">
        <f aca="false">IF(A254="","",TRIM(IF(NOT(ISNUMBER(C254)),"⚠ Falta a data. ","")&amp;IF(ISNUMBER(C254),IF(AND(MONTH(C254)=12,OR(DAY(C254)=24,DAY(C254)=25)),"","⚠ Data fora do Natal (24 ou 25/12). "),"")&amp;IF(AND(ISNUMBER(C254),COUNTIFS($A$2:$A$301,A254,$C$2:$C$301,C254)&gt;1),"⚠ Nome repetido na mesma data. ","")&amp;IF(AND(ISNUMBER(C254),COUNTIFS(FÉRIAS!$A$2:$A$301,A254,FÉRIAS!$C$2:$C$301,"&lt;="&amp;C254,FÉRIAS!$D$2:$D$301,"&gt;="&amp;C254)&gt;0),IF(D254="TRABALHA","⚠ Está de férias e marcado TRABALHA. ","⚠ Já está de férias nesta data. "),"")&amp;IF(AND(ISNUMBER(C254),COUNTIFS(FOLGAS!$A$2:$A$301,A254,FOLGAS!$C$2:$C$301,C254)&gt;0),IF(D254="FOLGA","⚠ Folga também lançada na aba FOLGAS. ",IF(D254="TRABALHA","⚠ Marcado TRABALHA, mas tem folga na aba FOLGAS. ","")),"")&amp;IF(AND(ISNUMBER(C254),D254="FOLGA",B254&lt;&gt;"",COUNTIFS($B$2:$B$301,B254,$C$2:$C$301,C254,$D$2:$D$301,"TRABALHA")=0),"⚠ Ninguém do setor trabalhando nesta data. ","")))</f>
        <v/>
      </c>
    </row>
    <row r="255" customFormat="false" ht="15" hidden="false" customHeight="true" outlineLevel="0" collapsed="false">
      <c r="A255" s="54"/>
      <c r="B255" s="54"/>
      <c r="C255" s="53"/>
      <c r="D255" s="54"/>
      <c r="E255" s="54"/>
      <c r="F255" s="55" t="str">
        <f aca="false">IF(A255="","",TRIM(IF(NOT(ISNUMBER(C255)),"⚠ Falta a data. ","")&amp;IF(ISNUMBER(C255),IF(AND(MONTH(C255)=12,OR(DAY(C255)=24,DAY(C255)=25)),"","⚠ Data fora do Natal (24 ou 25/12). "),"")&amp;IF(AND(ISNUMBER(C255),COUNTIFS($A$2:$A$301,A255,$C$2:$C$301,C255)&gt;1),"⚠ Nome repetido na mesma data. ","")&amp;IF(AND(ISNUMBER(C255),COUNTIFS(FÉRIAS!$A$2:$A$301,A255,FÉRIAS!$C$2:$C$301,"&lt;="&amp;C255,FÉRIAS!$D$2:$D$301,"&gt;="&amp;C255)&gt;0),IF(D255="TRABALHA","⚠ Está de férias e marcado TRABALHA. ","⚠ Já está de férias nesta data. "),"")&amp;IF(AND(ISNUMBER(C255),COUNTIFS(FOLGAS!$A$2:$A$301,A255,FOLGAS!$C$2:$C$301,C255)&gt;0),IF(D255="FOLGA","⚠ Folga também lançada na aba FOLGAS. ",IF(D255="TRABALHA","⚠ Marcado TRABALHA, mas tem folga na aba FOLGAS. ","")),"")&amp;IF(AND(ISNUMBER(C255),D255="FOLGA",B255&lt;&gt;"",COUNTIFS($B$2:$B$301,B255,$C$2:$C$301,C255,$D$2:$D$301,"TRABALHA")=0),"⚠ Ninguém do setor trabalhando nesta data. ","")))</f>
        <v/>
      </c>
    </row>
    <row r="256" customFormat="false" ht="15" hidden="false" customHeight="true" outlineLevel="0" collapsed="false">
      <c r="A256" s="54"/>
      <c r="B256" s="54"/>
      <c r="C256" s="53"/>
      <c r="D256" s="54"/>
      <c r="E256" s="54"/>
      <c r="F256" s="55" t="str">
        <f aca="false">IF(A256="","",TRIM(IF(NOT(ISNUMBER(C256)),"⚠ Falta a data. ","")&amp;IF(ISNUMBER(C256),IF(AND(MONTH(C256)=12,OR(DAY(C256)=24,DAY(C256)=25)),"","⚠ Data fora do Natal (24 ou 25/12). "),"")&amp;IF(AND(ISNUMBER(C256),COUNTIFS($A$2:$A$301,A256,$C$2:$C$301,C256)&gt;1),"⚠ Nome repetido na mesma data. ","")&amp;IF(AND(ISNUMBER(C256),COUNTIFS(FÉRIAS!$A$2:$A$301,A256,FÉRIAS!$C$2:$C$301,"&lt;="&amp;C256,FÉRIAS!$D$2:$D$301,"&gt;="&amp;C256)&gt;0),IF(D256="TRABALHA","⚠ Está de férias e marcado TRABALHA. ","⚠ Já está de férias nesta data. "),"")&amp;IF(AND(ISNUMBER(C256),COUNTIFS(FOLGAS!$A$2:$A$301,A256,FOLGAS!$C$2:$C$301,C256)&gt;0),IF(D256="FOLGA","⚠ Folga também lançada na aba FOLGAS. ",IF(D256="TRABALHA","⚠ Marcado TRABALHA, mas tem folga na aba FOLGAS. ","")),"")&amp;IF(AND(ISNUMBER(C256),D256="FOLGA",B256&lt;&gt;"",COUNTIFS($B$2:$B$301,B256,$C$2:$C$301,C256,$D$2:$D$301,"TRABALHA")=0),"⚠ Ninguém do setor trabalhando nesta data. ","")))</f>
        <v/>
      </c>
    </row>
    <row r="257" customFormat="false" ht="15" hidden="false" customHeight="true" outlineLevel="0" collapsed="false">
      <c r="A257" s="54"/>
      <c r="B257" s="54"/>
      <c r="C257" s="53"/>
      <c r="D257" s="54"/>
      <c r="E257" s="54"/>
      <c r="F257" s="55" t="str">
        <f aca="false">IF(A257="","",TRIM(IF(NOT(ISNUMBER(C257)),"⚠ Falta a data. ","")&amp;IF(ISNUMBER(C257),IF(AND(MONTH(C257)=12,OR(DAY(C257)=24,DAY(C257)=25)),"","⚠ Data fora do Natal (24 ou 25/12). "),"")&amp;IF(AND(ISNUMBER(C257),COUNTIFS($A$2:$A$301,A257,$C$2:$C$301,C257)&gt;1),"⚠ Nome repetido na mesma data. ","")&amp;IF(AND(ISNUMBER(C257),COUNTIFS(FÉRIAS!$A$2:$A$301,A257,FÉRIAS!$C$2:$C$301,"&lt;="&amp;C257,FÉRIAS!$D$2:$D$301,"&gt;="&amp;C257)&gt;0),IF(D257="TRABALHA","⚠ Está de férias e marcado TRABALHA. ","⚠ Já está de férias nesta data. "),"")&amp;IF(AND(ISNUMBER(C257),COUNTIFS(FOLGAS!$A$2:$A$301,A257,FOLGAS!$C$2:$C$301,C257)&gt;0),IF(D257="FOLGA","⚠ Folga também lançada na aba FOLGAS. ",IF(D257="TRABALHA","⚠ Marcado TRABALHA, mas tem folga na aba FOLGAS. ","")),"")&amp;IF(AND(ISNUMBER(C257),D257="FOLGA",B257&lt;&gt;"",COUNTIFS($B$2:$B$301,B257,$C$2:$C$301,C257,$D$2:$D$301,"TRABALHA")=0),"⚠ Ninguém do setor trabalhando nesta data. ","")))</f>
        <v/>
      </c>
    </row>
    <row r="258" customFormat="false" ht="15" hidden="false" customHeight="true" outlineLevel="0" collapsed="false">
      <c r="A258" s="54"/>
      <c r="B258" s="54"/>
      <c r="C258" s="53"/>
      <c r="D258" s="54"/>
      <c r="E258" s="54"/>
      <c r="F258" s="55" t="str">
        <f aca="false">IF(A258="","",TRIM(IF(NOT(ISNUMBER(C258)),"⚠ Falta a data. ","")&amp;IF(ISNUMBER(C258),IF(AND(MONTH(C258)=12,OR(DAY(C258)=24,DAY(C258)=25)),"","⚠ Data fora do Natal (24 ou 25/12). "),"")&amp;IF(AND(ISNUMBER(C258),COUNTIFS($A$2:$A$301,A258,$C$2:$C$301,C258)&gt;1),"⚠ Nome repetido na mesma data. ","")&amp;IF(AND(ISNUMBER(C258),COUNTIFS(FÉRIAS!$A$2:$A$301,A258,FÉRIAS!$C$2:$C$301,"&lt;="&amp;C258,FÉRIAS!$D$2:$D$301,"&gt;="&amp;C258)&gt;0),IF(D258="TRABALHA","⚠ Está de férias e marcado TRABALHA. ","⚠ Já está de férias nesta data. "),"")&amp;IF(AND(ISNUMBER(C258),COUNTIFS(FOLGAS!$A$2:$A$301,A258,FOLGAS!$C$2:$C$301,C258)&gt;0),IF(D258="FOLGA","⚠ Folga também lançada na aba FOLGAS. ",IF(D258="TRABALHA","⚠ Marcado TRABALHA, mas tem folga na aba FOLGAS. ","")),"")&amp;IF(AND(ISNUMBER(C258),D258="FOLGA",B258&lt;&gt;"",COUNTIFS($B$2:$B$301,B258,$C$2:$C$301,C258,$D$2:$D$301,"TRABALHA")=0),"⚠ Ninguém do setor trabalhando nesta data. ","")))</f>
        <v/>
      </c>
    </row>
    <row r="259" customFormat="false" ht="15" hidden="false" customHeight="true" outlineLevel="0" collapsed="false">
      <c r="A259" s="54"/>
      <c r="B259" s="54"/>
      <c r="C259" s="53"/>
      <c r="D259" s="54"/>
      <c r="E259" s="54"/>
      <c r="F259" s="55" t="str">
        <f aca="false">IF(A259="","",TRIM(IF(NOT(ISNUMBER(C259)),"⚠ Falta a data. ","")&amp;IF(ISNUMBER(C259),IF(AND(MONTH(C259)=12,OR(DAY(C259)=24,DAY(C259)=25)),"","⚠ Data fora do Natal (24 ou 25/12). "),"")&amp;IF(AND(ISNUMBER(C259),COUNTIFS($A$2:$A$301,A259,$C$2:$C$301,C259)&gt;1),"⚠ Nome repetido na mesma data. ","")&amp;IF(AND(ISNUMBER(C259),COUNTIFS(FÉRIAS!$A$2:$A$301,A259,FÉRIAS!$C$2:$C$301,"&lt;="&amp;C259,FÉRIAS!$D$2:$D$301,"&gt;="&amp;C259)&gt;0),IF(D259="TRABALHA","⚠ Está de férias e marcado TRABALHA. ","⚠ Já está de férias nesta data. "),"")&amp;IF(AND(ISNUMBER(C259),COUNTIFS(FOLGAS!$A$2:$A$301,A259,FOLGAS!$C$2:$C$301,C259)&gt;0),IF(D259="FOLGA","⚠ Folga também lançada na aba FOLGAS. ",IF(D259="TRABALHA","⚠ Marcado TRABALHA, mas tem folga na aba FOLGAS. ","")),"")&amp;IF(AND(ISNUMBER(C259),D259="FOLGA",B259&lt;&gt;"",COUNTIFS($B$2:$B$301,B259,$C$2:$C$301,C259,$D$2:$D$301,"TRABALHA")=0),"⚠ Ninguém do setor trabalhando nesta data. ","")))</f>
        <v/>
      </c>
    </row>
    <row r="260" customFormat="false" ht="15" hidden="false" customHeight="true" outlineLevel="0" collapsed="false">
      <c r="A260" s="54"/>
      <c r="B260" s="54"/>
      <c r="C260" s="53"/>
      <c r="D260" s="54"/>
      <c r="E260" s="54"/>
      <c r="F260" s="55" t="str">
        <f aca="false">IF(A260="","",TRIM(IF(NOT(ISNUMBER(C260)),"⚠ Falta a data. ","")&amp;IF(ISNUMBER(C260),IF(AND(MONTH(C260)=12,OR(DAY(C260)=24,DAY(C260)=25)),"","⚠ Data fora do Natal (24 ou 25/12). "),"")&amp;IF(AND(ISNUMBER(C260),COUNTIFS($A$2:$A$301,A260,$C$2:$C$301,C260)&gt;1),"⚠ Nome repetido na mesma data. ","")&amp;IF(AND(ISNUMBER(C260),COUNTIFS(FÉRIAS!$A$2:$A$301,A260,FÉRIAS!$C$2:$C$301,"&lt;="&amp;C260,FÉRIAS!$D$2:$D$301,"&gt;="&amp;C260)&gt;0),IF(D260="TRABALHA","⚠ Está de férias e marcado TRABALHA. ","⚠ Já está de férias nesta data. "),"")&amp;IF(AND(ISNUMBER(C260),COUNTIFS(FOLGAS!$A$2:$A$301,A260,FOLGAS!$C$2:$C$301,C260)&gt;0),IF(D260="FOLGA","⚠ Folga também lançada na aba FOLGAS. ",IF(D260="TRABALHA","⚠ Marcado TRABALHA, mas tem folga na aba FOLGAS. ","")),"")&amp;IF(AND(ISNUMBER(C260),D260="FOLGA",B260&lt;&gt;"",COUNTIFS($B$2:$B$301,B260,$C$2:$C$301,C260,$D$2:$D$301,"TRABALHA")=0),"⚠ Ninguém do setor trabalhando nesta data. ","")))</f>
        <v/>
      </c>
    </row>
    <row r="261" customFormat="false" ht="15" hidden="false" customHeight="true" outlineLevel="0" collapsed="false">
      <c r="A261" s="54"/>
      <c r="B261" s="54"/>
      <c r="C261" s="53"/>
      <c r="D261" s="54"/>
      <c r="E261" s="54"/>
      <c r="F261" s="55" t="str">
        <f aca="false">IF(A261="","",TRIM(IF(NOT(ISNUMBER(C261)),"⚠ Falta a data. ","")&amp;IF(ISNUMBER(C261),IF(AND(MONTH(C261)=12,OR(DAY(C261)=24,DAY(C261)=25)),"","⚠ Data fora do Natal (24 ou 25/12). "),"")&amp;IF(AND(ISNUMBER(C261),COUNTIFS($A$2:$A$301,A261,$C$2:$C$301,C261)&gt;1),"⚠ Nome repetido na mesma data. ","")&amp;IF(AND(ISNUMBER(C261),COUNTIFS(FÉRIAS!$A$2:$A$301,A261,FÉRIAS!$C$2:$C$301,"&lt;="&amp;C261,FÉRIAS!$D$2:$D$301,"&gt;="&amp;C261)&gt;0),IF(D261="TRABALHA","⚠ Está de férias e marcado TRABALHA. ","⚠ Já está de férias nesta data. "),"")&amp;IF(AND(ISNUMBER(C261),COUNTIFS(FOLGAS!$A$2:$A$301,A261,FOLGAS!$C$2:$C$301,C261)&gt;0),IF(D261="FOLGA","⚠ Folga também lançada na aba FOLGAS. ",IF(D261="TRABALHA","⚠ Marcado TRABALHA, mas tem folga na aba FOLGAS. ","")),"")&amp;IF(AND(ISNUMBER(C261),D261="FOLGA",B261&lt;&gt;"",COUNTIFS($B$2:$B$301,B261,$C$2:$C$301,C261,$D$2:$D$301,"TRABALHA")=0),"⚠ Ninguém do setor trabalhando nesta data. ","")))</f>
        <v/>
      </c>
    </row>
    <row r="262" customFormat="false" ht="15" hidden="false" customHeight="true" outlineLevel="0" collapsed="false">
      <c r="A262" s="54"/>
      <c r="B262" s="54"/>
      <c r="C262" s="53"/>
      <c r="D262" s="54"/>
      <c r="E262" s="54"/>
      <c r="F262" s="55" t="str">
        <f aca="false">IF(A262="","",TRIM(IF(NOT(ISNUMBER(C262)),"⚠ Falta a data. ","")&amp;IF(ISNUMBER(C262),IF(AND(MONTH(C262)=12,OR(DAY(C262)=24,DAY(C262)=25)),"","⚠ Data fora do Natal (24 ou 25/12). "),"")&amp;IF(AND(ISNUMBER(C262),COUNTIFS($A$2:$A$301,A262,$C$2:$C$301,C262)&gt;1),"⚠ Nome repetido na mesma data. ","")&amp;IF(AND(ISNUMBER(C262),COUNTIFS(FÉRIAS!$A$2:$A$301,A262,FÉRIAS!$C$2:$C$301,"&lt;="&amp;C262,FÉRIAS!$D$2:$D$301,"&gt;="&amp;C262)&gt;0),IF(D262="TRABALHA","⚠ Está de férias e marcado TRABALHA. ","⚠ Já está de férias nesta data. "),"")&amp;IF(AND(ISNUMBER(C262),COUNTIFS(FOLGAS!$A$2:$A$301,A262,FOLGAS!$C$2:$C$301,C262)&gt;0),IF(D262="FOLGA","⚠ Folga também lançada na aba FOLGAS. ",IF(D262="TRABALHA","⚠ Marcado TRABALHA, mas tem folga na aba FOLGAS. ","")),"")&amp;IF(AND(ISNUMBER(C262),D262="FOLGA",B262&lt;&gt;"",COUNTIFS($B$2:$B$301,B262,$C$2:$C$301,C262,$D$2:$D$301,"TRABALHA")=0),"⚠ Ninguém do setor trabalhando nesta data. ","")))</f>
        <v/>
      </c>
    </row>
    <row r="263" customFormat="false" ht="15" hidden="false" customHeight="true" outlineLevel="0" collapsed="false">
      <c r="A263" s="54"/>
      <c r="B263" s="54"/>
      <c r="C263" s="53"/>
      <c r="D263" s="54"/>
      <c r="E263" s="54"/>
      <c r="F263" s="55" t="str">
        <f aca="false">IF(A263="","",TRIM(IF(NOT(ISNUMBER(C263)),"⚠ Falta a data. ","")&amp;IF(ISNUMBER(C263),IF(AND(MONTH(C263)=12,OR(DAY(C263)=24,DAY(C263)=25)),"","⚠ Data fora do Natal (24 ou 25/12). "),"")&amp;IF(AND(ISNUMBER(C263),COUNTIFS($A$2:$A$301,A263,$C$2:$C$301,C263)&gt;1),"⚠ Nome repetido na mesma data. ","")&amp;IF(AND(ISNUMBER(C263),COUNTIFS(FÉRIAS!$A$2:$A$301,A263,FÉRIAS!$C$2:$C$301,"&lt;="&amp;C263,FÉRIAS!$D$2:$D$301,"&gt;="&amp;C263)&gt;0),IF(D263="TRABALHA","⚠ Está de férias e marcado TRABALHA. ","⚠ Já está de férias nesta data. "),"")&amp;IF(AND(ISNUMBER(C263),COUNTIFS(FOLGAS!$A$2:$A$301,A263,FOLGAS!$C$2:$C$301,C263)&gt;0),IF(D263="FOLGA","⚠ Folga também lançada na aba FOLGAS. ",IF(D263="TRABALHA","⚠ Marcado TRABALHA, mas tem folga na aba FOLGAS. ","")),"")&amp;IF(AND(ISNUMBER(C263),D263="FOLGA",B263&lt;&gt;"",COUNTIFS($B$2:$B$301,B263,$C$2:$C$301,C263,$D$2:$D$301,"TRABALHA")=0),"⚠ Ninguém do setor trabalhando nesta data. ","")))</f>
        <v/>
      </c>
    </row>
    <row r="264" customFormat="false" ht="15" hidden="false" customHeight="true" outlineLevel="0" collapsed="false">
      <c r="A264" s="54"/>
      <c r="B264" s="54"/>
      <c r="C264" s="53"/>
      <c r="D264" s="54"/>
      <c r="E264" s="54"/>
      <c r="F264" s="55" t="str">
        <f aca="false">IF(A264="","",TRIM(IF(NOT(ISNUMBER(C264)),"⚠ Falta a data. ","")&amp;IF(ISNUMBER(C264),IF(AND(MONTH(C264)=12,OR(DAY(C264)=24,DAY(C264)=25)),"","⚠ Data fora do Natal (24 ou 25/12). "),"")&amp;IF(AND(ISNUMBER(C264),COUNTIFS($A$2:$A$301,A264,$C$2:$C$301,C264)&gt;1),"⚠ Nome repetido na mesma data. ","")&amp;IF(AND(ISNUMBER(C264),COUNTIFS(FÉRIAS!$A$2:$A$301,A264,FÉRIAS!$C$2:$C$301,"&lt;="&amp;C264,FÉRIAS!$D$2:$D$301,"&gt;="&amp;C264)&gt;0),IF(D264="TRABALHA","⚠ Está de férias e marcado TRABALHA. ","⚠ Já está de férias nesta data. "),"")&amp;IF(AND(ISNUMBER(C264),COUNTIFS(FOLGAS!$A$2:$A$301,A264,FOLGAS!$C$2:$C$301,C264)&gt;0),IF(D264="FOLGA","⚠ Folga também lançada na aba FOLGAS. ",IF(D264="TRABALHA","⚠ Marcado TRABALHA, mas tem folga na aba FOLGAS. ","")),"")&amp;IF(AND(ISNUMBER(C264),D264="FOLGA",B264&lt;&gt;"",COUNTIFS($B$2:$B$301,B264,$C$2:$C$301,C264,$D$2:$D$301,"TRABALHA")=0),"⚠ Ninguém do setor trabalhando nesta data. ","")))</f>
        <v/>
      </c>
    </row>
    <row r="265" customFormat="false" ht="15" hidden="false" customHeight="true" outlineLevel="0" collapsed="false">
      <c r="A265" s="54"/>
      <c r="B265" s="54"/>
      <c r="C265" s="53"/>
      <c r="D265" s="54"/>
      <c r="E265" s="54"/>
      <c r="F265" s="55" t="str">
        <f aca="false">IF(A265="","",TRIM(IF(NOT(ISNUMBER(C265)),"⚠ Falta a data. ","")&amp;IF(ISNUMBER(C265),IF(AND(MONTH(C265)=12,OR(DAY(C265)=24,DAY(C265)=25)),"","⚠ Data fora do Natal (24 ou 25/12). "),"")&amp;IF(AND(ISNUMBER(C265),COUNTIFS($A$2:$A$301,A265,$C$2:$C$301,C265)&gt;1),"⚠ Nome repetido na mesma data. ","")&amp;IF(AND(ISNUMBER(C265),COUNTIFS(FÉRIAS!$A$2:$A$301,A265,FÉRIAS!$C$2:$C$301,"&lt;="&amp;C265,FÉRIAS!$D$2:$D$301,"&gt;="&amp;C265)&gt;0),IF(D265="TRABALHA","⚠ Está de férias e marcado TRABALHA. ","⚠ Já está de férias nesta data. "),"")&amp;IF(AND(ISNUMBER(C265),COUNTIFS(FOLGAS!$A$2:$A$301,A265,FOLGAS!$C$2:$C$301,C265)&gt;0),IF(D265="FOLGA","⚠ Folga também lançada na aba FOLGAS. ",IF(D265="TRABALHA","⚠ Marcado TRABALHA, mas tem folga na aba FOLGAS. ","")),"")&amp;IF(AND(ISNUMBER(C265),D265="FOLGA",B265&lt;&gt;"",COUNTIFS($B$2:$B$301,B265,$C$2:$C$301,C265,$D$2:$D$301,"TRABALHA")=0),"⚠ Ninguém do setor trabalhando nesta data. ","")))</f>
        <v/>
      </c>
    </row>
    <row r="266" customFormat="false" ht="15" hidden="false" customHeight="true" outlineLevel="0" collapsed="false">
      <c r="A266" s="54"/>
      <c r="B266" s="54"/>
      <c r="C266" s="53"/>
      <c r="D266" s="54"/>
      <c r="E266" s="54"/>
      <c r="F266" s="55" t="str">
        <f aca="false">IF(A266="","",TRIM(IF(NOT(ISNUMBER(C266)),"⚠ Falta a data. ","")&amp;IF(ISNUMBER(C266),IF(AND(MONTH(C266)=12,OR(DAY(C266)=24,DAY(C266)=25)),"","⚠ Data fora do Natal (24 ou 25/12). "),"")&amp;IF(AND(ISNUMBER(C266),COUNTIFS($A$2:$A$301,A266,$C$2:$C$301,C266)&gt;1),"⚠ Nome repetido na mesma data. ","")&amp;IF(AND(ISNUMBER(C266),COUNTIFS(FÉRIAS!$A$2:$A$301,A266,FÉRIAS!$C$2:$C$301,"&lt;="&amp;C266,FÉRIAS!$D$2:$D$301,"&gt;="&amp;C266)&gt;0),IF(D266="TRABALHA","⚠ Está de férias e marcado TRABALHA. ","⚠ Já está de férias nesta data. "),"")&amp;IF(AND(ISNUMBER(C266),COUNTIFS(FOLGAS!$A$2:$A$301,A266,FOLGAS!$C$2:$C$301,C266)&gt;0),IF(D266="FOLGA","⚠ Folga também lançada na aba FOLGAS. ",IF(D266="TRABALHA","⚠ Marcado TRABALHA, mas tem folga na aba FOLGAS. ","")),"")&amp;IF(AND(ISNUMBER(C266),D266="FOLGA",B266&lt;&gt;"",COUNTIFS($B$2:$B$301,B266,$C$2:$C$301,C266,$D$2:$D$301,"TRABALHA")=0),"⚠ Ninguém do setor trabalhando nesta data. ","")))</f>
        <v/>
      </c>
    </row>
    <row r="267" customFormat="false" ht="15" hidden="false" customHeight="true" outlineLevel="0" collapsed="false">
      <c r="A267" s="54"/>
      <c r="B267" s="54"/>
      <c r="C267" s="53"/>
      <c r="D267" s="54"/>
      <c r="E267" s="54"/>
      <c r="F267" s="55" t="str">
        <f aca="false">IF(A267="","",TRIM(IF(NOT(ISNUMBER(C267)),"⚠ Falta a data. ","")&amp;IF(ISNUMBER(C267),IF(AND(MONTH(C267)=12,OR(DAY(C267)=24,DAY(C267)=25)),"","⚠ Data fora do Natal (24 ou 25/12). "),"")&amp;IF(AND(ISNUMBER(C267),COUNTIFS($A$2:$A$301,A267,$C$2:$C$301,C267)&gt;1),"⚠ Nome repetido na mesma data. ","")&amp;IF(AND(ISNUMBER(C267),COUNTIFS(FÉRIAS!$A$2:$A$301,A267,FÉRIAS!$C$2:$C$301,"&lt;="&amp;C267,FÉRIAS!$D$2:$D$301,"&gt;="&amp;C267)&gt;0),IF(D267="TRABALHA","⚠ Está de férias e marcado TRABALHA. ","⚠ Já está de férias nesta data. "),"")&amp;IF(AND(ISNUMBER(C267),COUNTIFS(FOLGAS!$A$2:$A$301,A267,FOLGAS!$C$2:$C$301,C267)&gt;0),IF(D267="FOLGA","⚠ Folga também lançada na aba FOLGAS. ",IF(D267="TRABALHA","⚠ Marcado TRABALHA, mas tem folga na aba FOLGAS. ","")),"")&amp;IF(AND(ISNUMBER(C267),D267="FOLGA",B267&lt;&gt;"",COUNTIFS($B$2:$B$301,B267,$C$2:$C$301,C267,$D$2:$D$301,"TRABALHA")=0),"⚠ Ninguém do setor trabalhando nesta data. ","")))</f>
        <v/>
      </c>
    </row>
    <row r="268" customFormat="false" ht="15" hidden="false" customHeight="true" outlineLevel="0" collapsed="false">
      <c r="A268" s="54"/>
      <c r="B268" s="54"/>
      <c r="C268" s="53"/>
      <c r="D268" s="54"/>
      <c r="E268" s="54"/>
      <c r="F268" s="55" t="str">
        <f aca="false">IF(A268="","",TRIM(IF(NOT(ISNUMBER(C268)),"⚠ Falta a data. ","")&amp;IF(ISNUMBER(C268),IF(AND(MONTH(C268)=12,OR(DAY(C268)=24,DAY(C268)=25)),"","⚠ Data fora do Natal (24 ou 25/12). "),"")&amp;IF(AND(ISNUMBER(C268),COUNTIFS($A$2:$A$301,A268,$C$2:$C$301,C268)&gt;1),"⚠ Nome repetido na mesma data. ","")&amp;IF(AND(ISNUMBER(C268),COUNTIFS(FÉRIAS!$A$2:$A$301,A268,FÉRIAS!$C$2:$C$301,"&lt;="&amp;C268,FÉRIAS!$D$2:$D$301,"&gt;="&amp;C268)&gt;0),IF(D268="TRABALHA","⚠ Está de férias e marcado TRABALHA. ","⚠ Já está de férias nesta data. "),"")&amp;IF(AND(ISNUMBER(C268),COUNTIFS(FOLGAS!$A$2:$A$301,A268,FOLGAS!$C$2:$C$301,C268)&gt;0),IF(D268="FOLGA","⚠ Folga também lançada na aba FOLGAS. ",IF(D268="TRABALHA","⚠ Marcado TRABALHA, mas tem folga na aba FOLGAS. ","")),"")&amp;IF(AND(ISNUMBER(C268),D268="FOLGA",B268&lt;&gt;"",COUNTIFS($B$2:$B$301,B268,$C$2:$C$301,C268,$D$2:$D$301,"TRABALHA")=0),"⚠ Ninguém do setor trabalhando nesta data. ","")))</f>
        <v/>
      </c>
    </row>
    <row r="269" customFormat="false" ht="15" hidden="false" customHeight="true" outlineLevel="0" collapsed="false">
      <c r="A269" s="54"/>
      <c r="B269" s="54"/>
      <c r="C269" s="53"/>
      <c r="D269" s="54"/>
      <c r="E269" s="54"/>
      <c r="F269" s="55" t="str">
        <f aca="false">IF(A269="","",TRIM(IF(NOT(ISNUMBER(C269)),"⚠ Falta a data. ","")&amp;IF(ISNUMBER(C269),IF(AND(MONTH(C269)=12,OR(DAY(C269)=24,DAY(C269)=25)),"","⚠ Data fora do Natal (24 ou 25/12). "),"")&amp;IF(AND(ISNUMBER(C269),COUNTIFS($A$2:$A$301,A269,$C$2:$C$301,C269)&gt;1),"⚠ Nome repetido na mesma data. ","")&amp;IF(AND(ISNUMBER(C269),COUNTIFS(FÉRIAS!$A$2:$A$301,A269,FÉRIAS!$C$2:$C$301,"&lt;="&amp;C269,FÉRIAS!$D$2:$D$301,"&gt;="&amp;C269)&gt;0),IF(D269="TRABALHA","⚠ Está de férias e marcado TRABALHA. ","⚠ Já está de férias nesta data. "),"")&amp;IF(AND(ISNUMBER(C269),COUNTIFS(FOLGAS!$A$2:$A$301,A269,FOLGAS!$C$2:$C$301,C269)&gt;0),IF(D269="FOLGA","⚠ Folga também lançada na aba FOLGAS. ",IF(D269="TRABALHA","⚠ Marcado TRABALHA, mas tem folga na aba FOLGAS. ","")),"")&amp;IF(AND(ISNUMBER(C269),D269="FOLGA",B269&lt;&gt;"",COUNTIFS($B$2:$B$301,B269,$C$2:$C$301,C269,$D$2:$D$301,"TRABALHA")=0),"⚠ Ninguém do setor trabalhando nesta data. ","")))</f>
        <v/>
      </c>
    </row>
    <row r="270" customFormat="false" ht="15" hidden="false" customHeight="true" outlineLevel="0" collapsed="false">
      <c r="A270" s="54"/>
      <c r="B270" s="54"/>
      <c r="C270" s="53"/>
      <c r="D270" s="54"/>
      <c r="E270" s="54"/>
      <c r="F270" s="55" t="str">
        <f aca="false">IF(A270="","",TRIM(IF(NOT(ISNUMBER(C270)),"⚠ Falta a data. ","")&amp;IF(ISNUMBER(C270),IF(AND(MONTH(C270)=12,OR(DAY(C270)=24,DAY(C270)=25)),"","⚠ Data fora do Natal (24 ou 25/12). "),"")&amp;IF(AND(ISNUMBER(C270),COUNTIFS($A$2:$A$301,A270,$C$2:$C$301,C270)&gt;1),"⚠ Nome repetido na mesma data. ","")&amp;IF(AND(ISNUMBER(C270),COUNTIFS(FÉRIAS!$A$2:$A$301,A270,FÉRIAS!$C$2:$C$301,"&lt;="&amp;C270,FÉRIAS!$D$2:$D$301,"&gt;="&amp;C270)&gt;0),IF(D270="TRABALHA","⚠ Está de férias e marcado TRABALHA. ","⚠ Já está de férias nesta data. "),"")&amp;IF(AND(ISNUMBER(C270),COUNTIFS(FOLGAS!$A$2:$A$301,A270,FOLGAS!$C$2:$C$301,C270)&gt;0),IF(D270="FOLGA","⚠ Folga também lançada na aba FOLGAS. ",IF(D270="TRABALHA","⚠ Marcado TRABALHA, mas tem folga na aba FOLGAS. ","")),"")&amp;IF(AND(ISNUMBER(C270),D270="FOLGA",B270&lt;&gt;"",COUNTIFS($B$2:$B$301,B270,$C$2:$C$301,C270,$D$2:$D$301,"TRABALHA")=0),"⚠ Ninguém do setor trabalhando nesta data. ","")))</f>
        <v/>
      </c>
    </row>
    <row r="271" customFormat="false" ht="15" hidden="false" customHeight="true" outlineLevel="0" collapsed="false">
      <c r="A271" s="54"/>
      <c r="B271" s="54"/>
      <c r="C271" s="53"/>
      <c r="D271" s="54"/>
      <c r="E271" s="54"/>
      <c r="F271" s="55" t="str">
        <f aca="false">IF(A271="","",TRIM(IF(NOT(ISNUMBER(C271)),"⚠ Falta a data. ","")&amp;IF(ISNUMBER(C271),IF(AND(MONTH(C271)=12,OR(DAY(C271)=24,DAY(C271)=25)),"","⚠ Data fora do Natal (24 ou 25/12). "),"")&amp;IF(AND(ISNUMBER(C271),COUNTIFS($A$2:$A$301,A271,$C$2:$C$301,C271)&gt;1),"⚠ Nome repetido na mesma data. ","")&amp;IF(AND(ISNUMBER(C271),COUNTIFS(FÉRIAS!$A$2:$A$301,A271,FÉRIAS!$C$2:$C$301,"&lt;="&amp;C271,FÉRIAS!$D$2:$D$301,"&gt;="&amp;C271)&gt;0),IF(D271="TRABALHA","⚠ Está de férias e marcado TRABALHA. ","⚠ Já está de férias nesta data. "),"")&amp;IF(AND(ISNUMBER(C271),COUNTIFS(FOLGAS!$A$2:$A$301,A271,FOLGAS!$C$2:$C$301,C271)&gt;0),IF(D271="FOLGA","⚠ Folga também lançada na aba FOLGAS. ",IF(D271="TRABALHA","⚠ Marcado TRABALHA, mas tem folga na aba FOLGAS. ","")),"")&amp;IF(AND(ISNUMBER(C271),D271="FOLGA",B271&lt;&gt;"",COUNTIFS($B$2:$B$301,B271,$C$2:$C$301,C271,$D$2:$D$301,"TRABALHA")=0),"⚠ Ninguém do setor trabalhando nesta data. ","")))</f>
        <v/>
      </c>
    </row>
    <row r="272" customFormat="false" ht="15" hidden="false" customHeight="true" outlineLevel="0" collapsed="false">
      <c r="A272" s="54"/>
      <c r="B272" s="54"/>
      <c r="C272" s="53"/>
      <c r="D272" s="54"/>
      <c r="E272" s="54"/>
      <c r="F272" s="55" t="str">
        <f aca="false">IF(A272="","",TRIM(IF(NOT(ISNUMBER(C272)),"⚠ Falta a data. ","")&amp;IF(ISNUMBER(C272),IF(AND(MONTH(C272)=12,OR(DAY(C272)=24,DAY(C272)=25)),"","⚠ Data fora do Natal (24 ou 25/12). "),"")&amp;IF(AND(ISNUMBER(C272),COUNTIFS($A$2:$A$301,A272,$C$2:$C$301,C272)&gt;1),"⚠ Nome repetido na mesma data. ","")&amp;IF(AND(ISNUMBER(C272),COUNTIFS(FÉRIAS!$A$2:$A$301,A272,FÉRIAS!$C$2:$C$301,"&lt;="&amp;C272,FÉRIAS!$D$2:$D$301,"&gt;="&amp;C272)&gt;0),IF(D272="TRABALHA","⚠ Está de férias e marcado TRABALHA. ","⚠ Já está de férias nesta data. "),"")&amp;IF(AND(ISNUMBER(C272),COUNTIFS(FOLGAS!$A$2:$A$301,A272,FOLGAS!$C$2:$C$301,C272)&gt;0),IF(D272="FOLGA","⚠ Folga também lançada na aba FOLGAS. ",IF(D272="TRABALHA","⚠ Marcado TRABALHA, mas tem folga na aba FOLGAS. ","")),"")&amp;IF(AND(ISNUMBER(C272),D272="FOLGA",B272&lt;&gt;"",COUNTIFS($B$2:$B$301,B272,$C$2:$C$301,C272,$D$2:$D$301,"TRABALHA")=0),"⚠ Ninguém do setor trabalhando nesta data. ","")))</f>
        <v/>
      </c>
    </row>
    <row r="273" customFormat="false" ht="15" hidden="false" customHeight="true" outlineLevel="0" collapsed="false">
      <c r="A273" s="54"/>
      <c r="B273" s="54"/>
      <c r="C273" s="53"/>
      <c r="D273" s="54"/>
      <c r="E273" s="54"/>
      <c r="F273" s="55" t="str">
        <f aca="false">IF(A273="","",TRIM(IF(NOT(ISNUMBER(C273)),"⚠ Falta a data. ","")&amp;IF(ISNUMBER(C273),IF(AND(MONTH(C273)=12,OR(DAY(C273)=24,DAY(C273)=25)),"","⚠ Data fora do Natal (24 ou 25/12). "),"")&amp;IF(AND(ISNUMBER(C273),COUNTIFS($A$2:$A$301,A273,$C$2:$C$301,C273)&gt;1),"⚠ Nome repetido na mesma data. ","")&amp;IF(AND(ISNUMBER(C273),COUNTIFS(FÉRIAS!$A$2:$A$301,A273,FÉRIAS!$C$2:$C$301,"&lt;="&amp;C273,FÉRIAS!$D$2:$D$301,"&gt;="&amp;C273)&gt;0),IF(D273="TRABALHA","⚠ Está de férias e marcado TRABALHA. ","⚠ Já está de férias nesta data. "),"")&amp;IF(AND(ISNUMBER(C273),COUNTIFS(FOLGAS!$A$2:$A$301,A273,FOLGAS!$C$2:$C$301,C273)&gt;0),IF(D273="FOLGA","⚠ Folga também lançada na aba FOLGAS. ",IF(D273="TRABALHA","⚠ Marcado TRABALHA, mas tem folga na aba FOLGAS. ","")),"")&amp;IF(AND(ISNUMBER(C273),D273="FOLGA",B273&lt;&gt;"",COUNTIFS($B$2:$B$301,B273,$C$2:$C$301,C273,$D$2:$D$301,"TRABALHA")=0),"⚠ Ninguém do setor trabalhando nesta data. ","")))</f>
        <v/>
      </c>
    </row>
    <row r="274" customFormat="false" ht="15" hidden="false" customHeight="true" outlineLevel="0" collapsed="false">
      <c r="A274" s="54"/>
      <c r="B274" s="54"/>
      <c r="C274" s="53"/>
      <c r="D274" s="54"/>
      <c r="E274" s="54"/>
      <c r="F274" s="55" t="str">
        <f aca="false">IF(A274="","",TRIM(IF(NOT(ISNUMBER(C274)),"⚠ Falta a data. ","")&amp;IF(ISNUMBER(C274),IF(AND(MONTH(C274)=12,OR(DAY(C274)=24,DAY(C274)=25)),"","⚠ Data fora do Natal (24 ou 25/12). "),"")&amp;IF(AND(ISNUMBER(C274),COUNTIFS($A$2:$A$301,A274,$C$2:$C$301,C274)&gt;1),"⚠ Nome repetido na mesma data. ","")&amp;IF(AND(ISNUMBER(C274),COUNTIFS(FÉRIAS!$A$2:$A$301,A274,FÉRIAS!$C$2:$C$301,"&lt;="&amp;C274,FÉRIAS!$D$2:$D$301,"&gt;="&amp;C274)&gt;0),IF(D274="TRABALHA","⚠ Está de férias e marcado TRABALHA. ","⚠ Já está de férias nesta data. "),"")&amp;IF(AND(ISNUMBER(C274),COUNTIFS(FOLGAS!$A$2:$A$301,A274,FOLGAS!$C$2:$C$301,C274)&gt;0),IF(D274="FOLGA","⚠ Folga também lançada na aba FOLGAS. ",IF(D274="TRABALHA","⚠ Marcado TRABALHA, mas tem folga na aba FOLGAS. ","")),"")&amp;IF(AND(ISNUMBER(C274),D274="FOLGA",B274&lt;&gt;"",COUNTIFS($B$2:$B$301,B274,$C$2:$C$301,C274,$D$2:$D$301,"TRABALHA")=0),"⚠ Ninguém do setor trabalhando nesta data. ","")))</f>
        <v/>
      </c>
    </row>
    <row r="275" customFormat="false" ht="15" hidden="false" customHeight="true" outlineLevel="0" collapsed="false">
      <c r="A275" s="54"/>
      <c r="B275" s="54"/>
      <c r="C275" s="53"/>
      <c r="D275" s="54"/>
      <c r="E275" s="54"/>
      <c r="F275" s="55" t="str">
        <f aca="false">IF(A275="","",TRIM(IF(NOT(ISNUMBER(C275)),"⚠ Falta a data. ","")&amp;IF(ISNUMBER(C275),IF(AND(MONTH(C275)=12,OR(DAY(C275)=24,DAY(C275)=25)),"","⚠ Data fora do Natal (24 ou 25/12). "),"")&amp;IF(AND(ISNUMBER(C275),COUNTIFS($A$2:$A$301,A275,$C$2:$C$301,C275)&gt;1),"⚠ Nome repetido na mesma data. ","")&amp;IF(AND(ISNUMBER(C275),COUNTIFS(FÉRIAS!$A$2:$A$301,A275,FÉRIAS!$C$2:$C$301,"&lt;="&amp;C275,FÉRIAS!$D$2:$D$301,"&gt;="&amp;C275)&gt;0),IF(D275="TRABALHA","⚠ Está de férias e marcado TRABALHA. ","⚠ Já está de férias nesta data. "),"")&amp;IF(AND(ISNUMBER(C275),COUNTIFS(FOLGAS!$A$2:$A$301,A275,FOLGAS!$C$2:$C$301,C275)&gt;0),IF(D275="FOLGA","⚠ Folga também lançada na aba FOLGAS. ",IF(D275="TRABALHA","⚠ Marcado TRABALHA, mas tem folga na aba FOLGAS. ","")),"")&amp;IF(AND(ISNUMBER(C275),D275="FOLGA",B275&lt;&gt;"",COUNTIFS($B$2:$B$301,B275,$C$2:$C$301,C275,$D$2:$D$301,"TRABALHA")=0),"⚠ Ninguém do setor trabalhando nesta data. ","")))</f>
        <v/>
      </c>
    </row>
    <row r="276" customFormat="false" ht="15" hidden="false" customHeight="true" outlineLevel="0" collapsed="false">
      <c r="A276" s="54"/>
      <c r="B276" s="54"/>
      <c r="C276" s="53"/>
      <c r="D276" s="54"/>
      <c r="E276" s="54"/>
      <c r="F276" s="55" t="str">
        <f aca="false">IF(A276="","",TRIM(IF(NOT(ISNUMBER(C276)),"⚠ Falta a data. ","")&amp;IF(ISNUMBER(C276),IF(AND(MONTH(C276)=12,OR(DAY(C276)=24,DAY(C276)=25)),"","⚠ Data fora do Natal (24 ou 25/12). "),"")&amp;IF(AND(ISNUMBER(C276),COUNTIFS($A$2:$A$301,A276,$C$2:$C$301,C276)&gt;1),"⚠ Nome repetido na mesma data. ","")&amp;IF(AND(ISNUMBER(C276),COUNTIFS(FÉRIAS!$A$2:$A$301,A276,FÉRIAS!$C$2:$C$301,"&lt;="&amp;C276,FÉRIAS!$D$2:$D$301,"&gt;="&amp;C276)&gt;0),IF(D276="TRABALHA","⚠ Está de férias e marcado TRABALHA. ","⚠ Já está de férias nesta data. "),"")&amp;IF(AND(ISNUMBER(C276),COUNTIFS(FOLGAS!$A$2:$A$301,A276,FOLGAS!$C$2:$C$301,C276)&gt;0),IF(D276="FOLGA","⚠ Folga também lançada na aba FOLGAS. ",IF(D276="TRABALHA","⚠ Marcado TRABALHA, mas tem folga na aba FOLGAS. ","")),"")&amp;IF(AND(ISNUMBER(C276),D276="FOLGA",B276&lt;&gt;"",COUNTIFS($B$2:$B$301,B276,$C$2:$C$301,C276,$D$2:$D$301,"TRABALHA")=0),"⚠ Ninguém do setor trabalhando nesta data. ","")))</f>
        <v/>
      </c>
    </row>
    <row r="277" customFormat="false" ht="15" hidden="false" customHeight="true" outlineLevel="0" collapsed="false">
      <c r="A277" s="54"/>
      <c r="B277" s="54"/>
      <c r="C277" s="53"/>
      <c r="D277" s="54"/>
      <c r="E277" s="54"/>
      <c r="F277" s="55" t="str">
        <f aca="false">IF(A277="","",TRIM(IF(NOT(ISNUMBER(C277)),"⚠ Falta a data. ","")&amp;IF(ISNUMBER(C277),IF(AND(MONTH(C277)=12,OR(DAY(C277)=24,DAY(C277)=25)),"","⚠ Data fora do Natal (24 ou 25/12). "),"")&amp;IF(AND(ISNUMBER(C277),COUNTIFS($A$2:$A$301,A277,$C$2:$C$301,C277)&gt;1),"⚠ Nome repetido na mesma data. ","")&amp;IF(AND(ISNUMBER(C277),COUNTIFS(FÉRIAS!$A$2:$A$301,A277,FÉRIAS!$C$2:$C$301,"&lt;="&amp;C277,FÉRIAS!$D$2:$D$301,"&gt;="&amp;C277)&gt;0),IF(D277="TRABALHA","⚠ Está de férias e marcado TRABALHA. ","⚠ Já está de férias nesta data. "),"")&amp;IF(AND(ISNUMBER(C277),COUNTIFS(FOLGAS!$A$2:$A$301,A277,FOLGAS!$C$2:$C$301,C277)&gt;0),IF(D277="FOLGA","⚠ Folga também lançada na aba FOLGAS. ",IF(D277="TRABALHA","⚠ Marcado TRABALHA, mas tem folga na aba FOLGAS. ","")),"")&amp;IF(AND(ISNUMBER(C277),D277="FOLGA",B277&lt;&gt;"",COUNTIFS($B$2:$B$301,B277,$C$2:$C$301,C277,$D$2:$D$301,"TRABALHA")=0),"⚠ Ninguém do setor trabalhando nesta data. ","")))</f>
        <v/>
      </c>
    </row>
    <row r="278" customFormat="false" ht="15" hidden="false" customHeight="true" outlineLevel="0" collapsed="false">
      <c r="A278" s="54"/>
      <c r="B278" s="54"/>
      <c r="C278" s="53"/>
      <c r="D278" s="54"/>
      <c r="E278" s="54"/>
      <c r="F278" s="55" t="str">
        <f aca="false">IF(A278="","",TRIM(IF(NOT(ISNUMBER(C278)),"⚠ Falta a data. ","")&amp;IF(ISNUMBER(C278),IF(AND(MONTH(C278)=12,OR(DAY(C278)=24,DAY(C278)=25)),"","⚠ Data fora do Natal (24 ou 25/12). "),"")&amp;IF(AND(ISNUMBER(C278),COUNTIFS($A$2:$A$301,A278,$C$2:$C$301,C278)&gt;1),"⚠ Nome repetido na mesma data. ","")&amp;IF(AND(ISNUMBER(C278),COUNTIFS(FÉRIAS!$A$2:$A$301,A278,FÉRIAS!$C$2:$C$301,"&lt;="&amp;C278,FÉRIAS!$D$2:$D$301,"&gt;="&amp;C278)&gt;0),IF(D278="TRABALHA","⚠ Está de férias e marcado TRABALHA. ","⚠ Já está de férias nesta data. "),"")&amp;IF(AND(ISNUMBER(C278),COUNTIFS(FOLGAS!$A$2:$A$301,A278,FOLGAS!$C$2:$C$301,C278)&gt;0),IF(D278="FOLGA","⚠ Folga também lançada na aba FOLGAS. ",IF(D278="TRABALHA","⚠ Marcado TRABALHA, mas tem folga na aba FOLGAS. ","")),"")&amp;IF(AND(ISNUMBER(C278),D278="FOLGA",B278&lt;&gt;"",COUNTIFS($B$2:$B$301,B278,$C$2:$C$301,C278,$D$2:$D$301,"TRABALHA")=0),"⚠ Ninguém do setor trabalhando nesta data. ","")))</f>
        <v/>
      </c>
    </row>
    <row r="279" customFormat="false" ht="15" hidden="false" customHeight="true" outlineLevel="0" collapsed="false">
      <c r="A279" s="54"/>
      <c r="B279" s="54"/>
      <c r="C279" s="53"/>
      <c r="D279" s="54"/>
      <c r="E279" s="54"/>
      <c r="F279" s="55" t="str">
        <f aca="false">IF(A279="","",TRIM(IF(NOT(ISNUMBER(C279)),"⚠ Falta a data. ","")&amp;IF(ISNUMBER(C279),IF(AND(MONTH(C279)=12,OR(DAY(C279)=24,DAY(C279)=25)),"","⚠ Data fora do Natal (24 ou 25/12). "),"")&amp;IF(AND(ISNUMBER(C279),COUNTIFS($A$2:$A$301,A279,$C$2:$C$301,C279)&gt;1),"⚠ Nome repetido na mesma data. ","")&amp;IF(AND(ISNUMBER(C279),COUNTIFS(FÉRIAS!$A$2:$A$301,A279,FÉRIAS!$C$2:$C$301,"&lt;="&amp;C279,FÉRIAS!$D$2:$D$301,"&gt;="&amp;C279)&gt;0),IF(D279="TRABALHA","⚠ Está de férias e marcado TRABALHA. ","⚠ Já está de férias nesta data. "),"")&amp;IF(AND(ISNUMBER(C279),COUNTIFS(FOLGAS!$A$2:$A$301,A279,FOLGAS!$C$2:$C$301,C279)&gt;0),IF(D279="FOLGA","⚠ Folga também lançada na aba FOLGAS. ",IF(D279="TRABALHA","⚠ Marcado TRABALHA, mas tem folga na aba FOLGAS. ","")),"")&amp;IF(AND(ISNUMBER(C279),D279="FOLGA",B279&lt;&gt;"",COUNTIFS($B$2:$B$301,B279,$C$2:$C$301,C279,$D$2:$D$301,"TRABALHA")=0),"⚠ Ninguém do setor trabalhando nesta data. ","")))</f>
        <v/>
      </c>
    </row>
    <row r="280" customFormat="false" ht="15" hidden="false" customHeight="true" outlineLevel="0" collapsed="false">
      <c r="A280" s="54"/>
      <c r="B280" s="54"/>
      <c r="C280" s="53"/>
      <c r="D280" s="54"/>
      <c r="E280" s="54"/>
      <c r="F280" s="55" t="str">
        <f aca="false">IF(A280="","",TRIM(IF(NOT(ISNUMBER(C280)),"⚠ Falta a data. ","")&amp;IF(ISNUMBER(C280),IF(AND(MONTH(C280)=12,OR(DAY(C280)=24,DAY(C280)=25)),"","⚠ Data fora do Natal (24 ou 25/12). "),"")&amp;IF(AND(ISNUMBER(C280),COUNTIFS($A$2:$A$301,A280,$C$2:$C$301,C280)&gt;1),"⚠ Nome repetido na mesma data. ","")&amp;IF(AND(ISNUMBER(C280),COUNTIFS(FÉRIAS!$A$2:$A$301,A280,FÉRIAS!$C$2:$C$301,"&lt;="&amp;C280,FÉRIAS!$D$2:$D$301,"&gt;="&amp;C280)&gt;0),IF(D280="TRABALHA","⚠ Está de férias e marcado TRABALHA. ","⚠ Já está de férias nesta data. "),"")&amp;IF(AND(ISNUMBER(C280),COUNTIFS(FOLGAS!$A$2:$A$301,A280,FOLGAS!$C$2:$C$301,C280)&gt;0),IF(D280="FOLGA","⚠ Folga também lançada na aba FOLGAS. ",IF(D280="TRABALHA","⚠ Marcado TRABALHA, mas tem folga na aba FOLGAS. ","")),"")&amp;IF(AND(ISNUMBER(C280),D280="FOLGA",B280&lt;&gt;"",COUNTIFS($B$2:$B$301,B280,$C$2:$C$301,C280,$D$2:$D$301,"TRABALHA")=0),"⚠ Ninguém do setor trabalhando nesta data. ","")))</f>
        <v/>
      </c>
    </row>
    <row r="281" customFormat="false" ht="15" hidden="false" customHeight="true" outlineLevel="0" collapsed="false">
      <c r="A281" s="54"/>
      <c r="B281" s="54"/>
      <c r="C281" s="53"/>
      <c r="D281" s="54"/>
      <c r="E281" s="54"/>
      <c r="F281" s="55" t="str">
        <f aca="false">IF(A281="","",TRIM(IF(NOT(ISNUMBER(C281)),"⚠ Falta a data. ","")&amp;IF(ISNUMBER(C281),IF(AND(MONTH(C281)=12,OR(DAY(C281)=24,DAY(C281)=25)),"","⚠ Data fora do Natal (24 ou 25/12). "),"")&amp;IF(AND(ISNUMBER(C281),COUNTIFS($A$2:$A$301,A281,$C$2:$C$301,C281)&gt;1),"⚠ Nome repetido na mesma data. ","")&amp;IF(AND(ISNUMBER(C281),COUNTIFS(FÉRIAS!$A$2:$A$301,A281,FÉRIAS!$C$2:$C$301,"&lt;="&amp;C281,FÉRIAS!$D$2:$D$301,"&gt;="&amp;C281)&gt;0),IF(D281="TRABALHA","⚠ Está de férias e marcado TRABALHA. ","⚠ Já está de férias nesta data. "),"")&amp;IF(AND(ISNUMBER(C281),COUNTIFS(FOLGAS!$A$2:$A$301,A281,FOLGAS!$C$2:$C$301,C281)&gt;0),IF(D281="FOLGA","⚠ Folga também lançada na aba FOLGAS. ",IF(D281="TRABALHA","⚠ Marcado TRABALHA, mas tem folga na aba FOLGAS. ","")),"")&amp;IF(AND(ISNUMBER(C281),D281="FOLGA",B281&lt;&gt;"",COUNTIFS($B$2:$B$301,B281,$C$2:$C$301,C281,$D$2:$D$301,"TRABALHA")=0),"⚠ Ninguém do setor trabalhando nesta data. ","")))</f>
        <v/>
      </c>
    </row>
    <row r="282" customFormat="false" ht="15" hidden="false" customHeight="true" outlineLevel="0" collapsed="false">
      <c r="A282" s="54"/>
      <c r="B282" s="54"/>
      <c r="C282" s="53"/>
      <c r="D282" s="54"/>
      <c r="E282" s="54"/>
      <c r="F282" s="55" t="str">
        <f aca="false">IF(A282="","",TRIM(IF(NOT(ISNUMBER(C282)),"⚠ Falta a data. ","")&amp;IF(ISNUMBER(C282),IF(AND(MONTH(C282)=12,OR(DAY(C282)=24,DAY(C282)=25)),"","⚠ Data fora do Natal (24 ou 25/12). "),"")&amp;IF(AND(ISNUMBER(C282),COUNTIFS($A$2:$A$301,A282,$C$2:$C$301,C282)&gt;1),"⚠ Nome repetido na mesma data. ","")&amp;IF(AND(ISNUMBER(C282),COUNTIFS(FÉRIAS!$A$2:$A$301,A282,FÉRIAS!$C$2:$C$301,"&lt;="&amp;C282,FÉRIAS!$D$2:$D$301,"&gt;="&amp;C282)&gt;0),IF(D282="TRABALHA","⚠ Está de férias e marcado TRABALHA. ","⚠ Já está de férias nesta data. "),"")&amp;IF(AND(ISNUMBER(C282),COUNTIFS(FOLGAS!$A$2:$A$301,A282,FOLGAS!$C$2:$C$301,C282)&gt;0),IF(D282="FOLGA","⚠ Folga também lançada na aba FOLGAS. ",IF(D282="TRABALHA","⚠ Marcado TRABALHA, mas tem folga na aba FOLGAS. ","")),"")&amp;IF(AND(ISNUMBER(C282),D282="FOLGA",B282&lt;&gt;"",COUNTIFS($B$2:$B$301,B282,$C$2:$C$301,C282,$D$2:$D$301,"TRABALHA")=0),"⚠ Ninguém do setor trabalhando nesta data. ","")))</f>
        <v/>
      </c>
    </row>
    <row r="283" customFormat="false" ht="15" hidden="false" customHeight="true" outlineLevel="0" collapsed="false">
      <c r="A283" s="54"/>
      <c r="B283" s="54"/>
      <c r="C283" s="53"/>
      <c r="D283" s="54"/>
      <c r="E283" s="54"/>
      <c r="F283" s="55" t="str">
        <f aca="false">IF(A283="","",TRIM(IF(NOT(ISNUMBER(C283)),"⚠ Falta a data. ","")&amp;IF(ISNUMBER(C283),IF(AND(MONTH(C283)=12,OR(DAY(C283)=24,DAY(C283)=25)),"","⚠ Data fora do Natal (24 ou 25/12). "),"")&amp;IF(AND(ISNUMBER(C283),COUNTIFS($A$2:$A$301,A283,$C$2:$C$301,C283)&gt;1),"⚠ Nome repetido na mesma data. ","")&amp;IF(AND(ISNUMBER(C283),COUNTIFS(FÉRIAS!$A$2:$A$301,A283,FÉRIAS!$C$2:$C$301,"&lt;="&amp;C283,FÉRIAS!$D$2:$D$301,"&gt;="&amp;C283)&gt;0),IF(D283="TRABALHA","⚠ Está de férias e marcado TRABALHA. ","⚠ Já está de férias nesta data. "),"")&amp;IF(AND(ISNUMBER(C283),COUNTIFS(FOLGAS!$A$2:$A$301,A283,FOLGAS!$C$2:$C$301,C283)&gt;0),IF(D283="FOLGA","⚠ Folga também lançada na aba FOLGAS. ",IF(D283="TRABALHA","⚠ Marcado TRABALHA, mas tem folga na aba FOLGAS. ","")),"")&amp;IF(AND(ISNUMBER(C283),D283="FOLGA",B283&lt;&gt;"",COUNTIFS($B$2:$B$301,B283,$C$2:$C$301,C283,$D$2:$D$301,"TRABALHA")=0),"⚠ Ninguém do setor trabalhando nesta data. ","")))</f>
        <v/>
      </c>
    </row>
    <row r="284" customFormat="false" ht="15" hidden="false" customHeight="true" outlineLevel="0" collapsed="false">
      <c r="A284" s="54"/>
      <c r="B284" s="54"/>
      <c r="C284" s="53"/>
      <c r="D284" s="54"/>
      <c r="E284" s="54"/>
      <c r="F284" s="55" t="str">
        <f aca="false">IF(A284="","",TRIM(IF(NOT(ISNUMBER(C284)),"⚠ Falta a data. ","")&amp;IF(ISNUMBER(C284),IF(AND(MONTH(C284)=12,OR(DAY(C284)=24,DAY(C284)=25)),"","⚠ Data fora do Natal (24 ou 25/12). "),"")&amp;IF(AND(ISNUMBER(C284),COUNTIFS($A$2:$A$301,A284,$C$2:$C$301,C284)&gt;1),"⚠ Nome repetido na mesma data. ","")&amp;IF(AND(ISNUMBER(C284),COUNTIFS(FÉRIAS!$A$2:$A$301,A284,FÉRIAS!$C$2:$C$301,"&lt;="&amp;C284,FÉRIAS!$D$2:$D$301,"&gt;="&amp;C284)&gt;0),IF(D284="TRABALHA","⚠ Está de férias e marcado TRABALHA. ","⚠ Já está de férias nesta data. "),"")&amp;IF(AND(ISNUMBER(C284),COUNTIFS(FOLGAS!$A$2:$A$301,A284,FOLGAS!$C$2:$C$301,C284)&gt;0),IF(D284="FOLGA","⚠ Folga também lançada na aba FOLGAS. ",IF(D284="TRABALHA","⚠ Marcado TRABALHA, mas tem folga na aba FOLGAS. ","")),"")&amp;IF(AND(ISNUMBER(C284),D284="FOLGA",B284&lt;&gt;"",COUNTIFS($B$2:$B$301,B284,$C$2:$C$301,C284,$D$2:$D$301,"TRABALHA")=0),"⚠ Ninguém do setor trabalhando nesta data. ","")))</f>
        <v/>
      </c>
    </row>
    <row r="285" customFormat="false" ht="15" hidden="false" customHeight="true" outlineLevel="0" collapsed="false">
      <c r="A285" s="54"/>
      <c r="B285" s="54"/>
      <c r="C285" s="53"/>
      <c r="D285" s="54"/>
      <c r="E285" s="54"/>
      <c r="F285" s="55" t="str">
        <f aca="false">IF(A285="","",TRIM(IF(NOT(ISNUMBER(C285)),"⚠ Falta a data. ","")&amp;IF(ISNUMBER(C285),IF(AND(MONTH(C285)=12,OR(DAY(C285)=24,DAY(C285)=25)),"","⚠ Data fora do Natal (24 ou 25/12). "),"")&amp;IF(AND(ISNUMBER(C285),COUNTIFS($A$2:$A$301,A285,$C$2:$C$301,C285)&gt;1),"⚠ Nome repetido na mesma data. ","")&amp;IF(AND(ISNUMBER(C285),COUNTIFS(FÉRIAS!$A$2:$A$301,A285,FÉRIAS!$C$2:$C$301,"&lt;="&amp;C285,FÉRIAS!$D$2:$D$301,"&gt;="&amp;C285)&gt;0),IF(D285="TRABALHA","⚠ Está de férias e marcado TRABALHA. ","⚠ Já está de férias nesta data. "),"")&amp;IF(AND(ISNUMBER(C285),COUNTIFS(FOLGAS!$A$2:$A$301,A285,FOLGAS!$C$2:$C$301,C285)&gt;0),IF(D285="FOLGA","⚠ Folga também lançada na aba FOLGAS. ",IF(D285="TRABALHA","⚠ Marcado TRABALHA, mas tem folga na aba FOLGAS. ","")),"")&amp;IF(AND(ISNUMBER(C285),D285="FOLGA",B285&lt;&gt;"",COUNTIFS($B$2:$B$301,B285,$C$2:$C$301,C285,$D$2:$D$301,"TRABALHA")=0),"⚠ Ninguém do setor trabalhando nesta data. ","")))</f>
        <v/>
      </c>
    </row>
    <row r="286" customFormat="false" ht="15" hidden="false" customHeight="true" outlineLevel="0" collapsed="false">
      <c r="A286" s="54"/>
      <c r="B286" s="54"/>
      <c r="C286" s="53"/>
      <c r="D286" s="54"/>
      <c r="E286" s="54"/>
      <c r="F286" s="55" t="str">
        <f aca="false">IF(A286="","",TRIM(IF(NOT(ISNUMBER(C286)),"⚠ Falta a data. ","")&amp;IF(ISNUMBER(C286),IF(AND(MONTH(C286)=12,OR(DAY(C286)=24,DAY(C286)=25)),"","⚠ Data fora do Natal (24 ou 25/12). "),"")&amp;IF(AND(ISNUMBER(C286),COUNTIFS($A$2:$A$301,A286,$C$2:$C$301,C286)&gt;1),"⚠ Nome repetido na mesma data. ","")&amp;IF(AND(ISNUMBER(C286),COUNTIFS(FÉRIAS!$A$2:$A$301,A286,FÉRIAS!$C$2:$C$301,"&lt;="&amp;C286,FÉRIAS!$D$2:$D$301,"&gt;="&amp;C286)&gt;0),IF(D286="TRABALHA","⚠ Está de férias e marcado TRABALHA. ","⚠ Já está de férias nesta data. "),"")&amp;IF(AND(ISNUMBER(C286),COUNTIFS(FOLGAS!$A$2:$A$301,A286,FOLGAS!$C$2:$C$301,C286)&gt;0),IF(D286="FOLGA","⚠ Folga também lançada na aba FOLGAS. ",IF(D286="TRABALHA","⚠ Marcado TRABALHA, mas tem folga na aba FOLGAS. ","")),"")&amp;IF(AND(ISNUMBER(C286),D286="FOLGA",B286&lt;&gt;"",COUNTIFS($B$2:$B$301,B286,$C$2:$C$301,C286,$D$2:$D$301,"TRABALHA")=0),"⚠ Ninguém do setor trabalhando nesta data. ","")))</f>
        <v/>
      </c>
    </row>
    <row r="287" customFormat="false" ht="15" hidden="false" customHeight="true" outlineLevel="0" collapsed="false">
      <c r="A287" s="54"/>
      <c r="B287" s="54"/>
      <c r="C287" s="53"/>
      <c r="D287" s="54"/>
      <c r="E287" s="54"/>
      <c r="F287" s="55" t="str">
        <f aca="false">IF(A287="","",TRIM(IF(NOT(ISNUMBER(C287)),"⚠ Falta a data. ","")&amp;IF(ISNUMBER(C287),IF(AND(MONTH(C287)=12,OR(DAY(C287)=24,DAY(C287)=25)),"","⚠ Data fora do Natal (24 ou 25/12). "),"")&amp;IF(AND(ISNUMBER(C287),COUNTIFS($A$2:$A$301,A287,$C$2:$C$301,C287)&gt;1),"⚠ Nome repetido na mesma data. ","")&amp;IF(AND(ISNUMBER(C287),COUNTIFS(FÉRIAS!$A$2:$A$301,A287,FÉRIAS!$C$2:$C$301,"&lt;="&amp;C287,FÉRIAS!$D$2:$D$301,"&gt;="&amp;C287)&gt;0),IF(D287="TRABALHA","⚠ Está de férias e marcado TRABALHA. ","⚠ Já está de férias nesta data. "),"")&amp;IF(AND(ISNUMBER(C287),COUNTIFS(FOLGAS!$A$2:$A$301,A287,FOLGAS!$C$2:$C$301,C287)&gt;0),IF(D287="FOLGA","⚠ Folga também lançada na aba FOLGAS. ",IF(D287="TRABALHA","⚠ Marcado TRABALHA, mas tem folga na aba FOLGAS. ","")),"")&amp;IF(AND(ISNUMBER(C287),D287="FOLGA",B287&lt;&gt;"",COUNTIFS($B$2:$B$301,B287,$C$2:$C$301,C287,$D$2:$D$301,"TRABALHA")=0),"⚠ Ninguém do setor trabalhando nesta data. ","")))</f>
        <v/>
      </c>
    </row>
    <row r="288" customFormat="false" ht="15" hidden="false" customHeight="true" outlineLevel="0" collapsed="false">
      <c r="A288" s="54"/>
      <c r="B288" s="54"/>
      <c r="C288" s="53"/>
      <c r="D288" s="54"/>
      <c r="E288" s="54"/>
      <c r="F288" s="55" t="str">
        <f aca="false">IF(A288="","",TRIM(IF(NOT(ISNUMBER(C288)),"⚠ Falta a data. ","")&amp;IF(ISNUMBER(C288),IF(AND(MONTH(C288)=12,OR(DAY(C288)=24,DAY(C288)=25)),"","⚠ Data fora do Natal (24 ou 25/12). "),"")&amp;IF(AND(ISNUMBER(C288),COUNTIFS($A$2:$A$301,A288,$C$2:$C$301,C288)&gt;1),"⚠ Nome repetido na mesma data. ","")&amp;IF(AND(ISNUMBER(C288),COUNTIFS(FÉRIAS!$A$2:$A$301,A288,FÉRIAS!$C$2:$C$301,"&lt;="&amp;C288,FÉRIAS!$D$2:$D$301,"&gt;="&amp;C288)&gt;0),IF(D288="TRABALHA","⚠ Está de férias e marcado TRABALHA. ","⚠ Já está de férias nesta data. "),"")&amp;IF(AND(ISNUMBER(C288),COUNTIFS(FOLGAS!$A$2:$A$301,A288,FOLGAS!$C$2:$C$301,C288)&gt;0),IF(D288="FOLGA","⚠ Folga também lançada na aba FOLGAS. ",IF(D288="TRABALHA","⚠ Marcado TRABALHA, mas tem folga na aba FOLGAS. ","")),"")&amp;IF(AND(ISNUMBER(C288),D288="FOLGA",B288&lt;&gt;"",COUNTIFS($B$2:$B$301,B288,$C$2:$C$301,C288,$D$2:$D$301,"TRABALHA")=0),"⚠ Ninguém do setor trabalhando nesta data. ","")))</f>
        <v/>
      </c>
    </row>
    <row r="289" customFormat="false" ht="15" hidden="false" customHeight="true" outlineLevel="0" collapsed="false">
      <c r="A289" s="54"/>
      <c r="B289" s="54"/>
      <c r="C289" s="53"/>
      <c r="D289" s="54"/>
      <c r="E289" s="54"/>
      <c r="F289" s="55" t="str">
        <f aca="false">IF(A289="","",TRIM(IF(NOT(ISNUMBER(C289)),"⚠ Falta a data. ","")&amp;IF(ISNUMBER(C289),IF(AND(MONTH(C289)=12,OR(DAY(C289)=24,DAY(C289)=25)),"","⚠ Data fora do Natal (24 ou 25/12). "),"")&amp;IF(AND(ISNUMBER(C289),COUNTIFS($A$2:$A$301,A289,$C$2:$C$301,C289)&gt;1),"⚠ Nome repetido na mesma data. ","")&amp;IF(AND(ISNUMBER(C289),COUNTIFS(FÉRIAS!$A$2:$A$301,A289,FÉRIAS!$C$2:$C$301,"&lt;="&amp;C289,FÉRIAS!$D$2:$D$301,"&gt;="&amp;C289)&gt;0),IF(D289="TRABALHA","⚠ Está de férias e marcado TRABALHA. ","⚠ Já está de férias nesta data. "),"")&amp;IF(AND(ISNUMBER(C289),COUNTIFS(FOLGAS!$A$2:$A$301,A289,FOLGAS!$C$2:$C$301,C289)&gt;0),IF(D289="FOLGA","⚠ Folga também lançada na aba FOLGAS. ",IF(D289="TRABALHA","⚠ Marcado TRABALHA, mas tem folga na aba FOLGAS. ","")),"")&amp;IF(AND(ISNUMBER(C289),D289="FOLGA",B289&lt;&gt;"",COUNTIFS($B$2:$B$301,B289,$C$2:$C$301,C289,$D$2:$D$301,"TRABALHA")=0),"⚠ Ninguém do setor trabalhando nesta data. ","")))</f>
        <v/>
      </c>
    </row>
    <row r="290" customFormat="false" ht="15" hidden="false" customHeight="true" outlineLevel="0" collapsed="false">
      <c r="A290" s="54"/>
      <c r="B290" s="54"/>
      <c r="C290" s="53"/>
      <c r="D290" s="54"/>
      <c r="E290" s="54"/>
      <c r="F290" s="55" t="str">
        <f aca="false">IF(A290="","",TRIM(IF(NOT(ISNUMBER(C290)),"⚠ Falta a data. ","")&amp;IF(ISNUMBER(C290),IF(AND(MONTH(C290)=12,OR(DAY(C290)=24,DAY(C290)=25)),"","⚠ Data fora do Natal (24 ou 25/12). "),"")&amp;IF(AND(ISNUMBER(C290),COUNTIFS($A$2:$A$301,A290,$C$2:$C$301,C290)&gt;1),"⚠ Nome repetido na mesma data. ","")&amp;IF(AND(ISNUMBER(C290),COUNTIFS(FÉRIAS!$A$2:$A$301,A290,FÉRIAS!$C$2:$C$301,"&lt;="&amp;C290,FÉRIAS!$D$2:$D$301,"&gt;="&amp;C290)&gt;0),IF(D290="TRABALHA","⚠ Está de férias e marcado TRABALHA. ","⚠ Já está de férias nesta data. "),"")&amp;IF(AND(ISNUMBER(C290),COUNTIFS(FOLGAS!$A$2:$A$301,A290,FOLGAS!$C$2:$C$301,C290)&gt;0),IF(D290="FOLGA","⚠ Folga também lançada na aba FOLGAS. ",IF(D290="TRABALHA","⚠ Marcado TRABALHA, mas tem folga na aba FOLGAS. ","")),"")&amp;IF(AND(ISNUMBER(C290),D290="FOLGA",B290&lt;&gt;"",COUNTIFS($B$2:$B$301,B290,$C$2:$C$301,C290,$D$2:$D$301,"TRABALHA")=0),"⚠ Ninguém do setor trabalhando nesta data. ","")))</f>
        <v/>
      </c>
    </row>
    <row r="291" customFormat="false" ht="15" hidden="false" customHeight="true" outlineLevel="0" collapsed="false">
      <c r="A291" s="54"/>
      <c r="B291" s="54"/>
      <c r="C291" s="53"/>
      <c r="D291" s="54"/>
      <c r="E291" s="54"/>
      <c r="F291" s="55" t="str">
        <f aca="false">IF(A291="","",TRIM(IF(NOT(ISNUMBER(C291)),"⚠ Falta a data. ","")&amp;IF(ISNUMBER(C291),IF(AND(MONTH(C291)=12,OR(DAY(C291)=24,DAY(C291)=25)),"","⚠ Data fora do Natal (24 ou 25/12). "),"")&amp;IF(AND(ISNUMBER(C291),COUNTIFS($A$2:$A$301,A291,$C$2:$C$301,C291)&gt;1),"⚠ Nome repetido na mesma data. ","")&amp;IF(AND(ISNUMBER(C291),COUNTIFS(FÉRIAS!$A$2:$A$301,A291,FÉRIAS!$C$2:$C$301,"&lt;="&amp;C291,FÉRIAS!$D$2:$D$301,"&gt;="&amp;C291)&gt;0),IF(D291="TRABALHA","⚠ Está de férias e marcado TRABALHA. ","⚠ Já está de férias nesta data. "),"")&amp;IF(AND(ISNUMBER(C291),COUNTIFS(FOLGAS!$A$2:$A$301,A291,FOLGAS!$C$2:$C$301,C291)&gt;0),IF(D291="FOLGA","⚠ Folga também lançada na aba FOLGAS. ",IF(D291="TRABALHA","⚠ Marcado TRABALHA, mas tem folga na aba FOLGAS. ","")),"")&amp;IF(AND(ISNUMBER(C291),D291="FOLGA",B291&lt;&gt;"",COUNTIFS($B$2:$B$301,B291,$C$2:$C$301,C291,$D$2:$D$301,"TRABALHA")=0),"⚠ Ninguém do setor trabalhando nesta data. ","")))</f>
        <v/>
      </c>
    </row>
    <row r="292" customFormat="false" ht="15" hidden="false" customHeight="true" outlineLevel="0" collapsed="false">
      <c r="A292" s="54"/>
      <c r="B292" s="54"/>
      <c r="C292" s="53"/>
      <c r="D292" s="54"/>
      <c r="E292" s="54"/>
      <c r="F292" s="55" t="str">
        <f aca="false">IF(A292="","",TRIM(IF(NOT(ISNUMBER(C292)),"⚠ Falta a data. ","")&amp;IF(ISNUMBER(C292),IF(AND(MONTH(C292)=12,OR(DAY(C292)=24,DAY(C292)=25)),"","⚠ Data fora do Natal (24 ou 25/12). "),"")&amp;IF(AND(ISNUMBER(C292),COUNTIFS($A$2:$A$301,A292,$C$2:$C$301,C292)&gt;1),"⚠ Nome repetido na mesma data. ","")&amp;IF(AND(ISNUMBER(C292),COUNTIFS(FÉRIAS!$A$2:$A$301,A292,FÉRIAS!$C$2:$C$301,"&lt;="&amp;C292,FÉRIAS!$D$2:$D$301,"&gt;="&amp;C292)&gt;0),IF(D292="TRABALHA","⚠ Está de férias e marcado TRABALHA. ","⚠ Já está de férias nesta data. "),"")&amp;IF(AND(ISNUMBER(C292),COUNTIFS(FOLGAS!$A$2:$A$301,A292,FOLGAS!$C$2:$C$301,C292)&gt;0),IF(D292="FOLGA","⚠ Folga também lançada na aba FOLGAS. ",IF(D292="TRABALHA","⚠ Marcado TRABALHA, mas tem folga na aba FOLGAS. ","")),"")&amp;IF(AND(ISNUMBER(C292),D292="FOLGA",B292&lt;&gt;"",COUNTIFS($B$2:$B$301,B292,$C$2:$C$301,C292,$D$2:$D$301,"TRABALHA")=0),"⚠ Ninguém do setor trabalhando nesta data. ","")))</f>
        <v/>
      </c>
    </row>
    <row r="293" customFormat="false" ht="15" hidden="false" customHeight="true" outlineLevel="0" collapsed="false">
      <c r="A293" s="54"/>
      <c r="B293" s="54"/>
      <c r="C293" s="53"/>
      <c r="D293" s="54"/>
      <c r="E293" s="54"/>
      <c r="F293" s="55" t="str">
        <f aca="false">IF(A293="","",TRIM(IF(NOT(ISNUMBER(C293)),"⚠ Falta a data. ","")&amp;IF(ISNUMBER(C293),IF(AND(MONTH(C293)=12,OR(DAY(C293)=24,DAY(C293)=25)),"","⚠ Data fora do Natal (24 ou 25/12). "),"")&amp;IF(AND(ISNUMBER(C293),COUNTIFS($A$2:$A$301,A293,$C$2:$C$301,C293)&gt;1),"⚠ Nome repetido na mesma data. ","")&amp;IF(AND(ISNUMBER(C293),COUNTIFS(FÉRIAS!$A$2:$A$301,A293,FÉRIAS!$C$2:$C$301,"&lt;="&amp;C293,FÉRIAS!$D$2:$D$301,"&gt;="&amp;C293)&gt;0),IF(D293="TRABALHA","⚠ Está de férias e marcado TRABALHA. ","⚠ Já está de férias nesta data. "),"")&amp;IF(AND(ISNUMBER(C293),COUNTIFS(FOLGAS!$A$2:$A$301,A293,FOLGAS!$C$2:$C$301,C293)&gt;0),IF(D293="FOLGA","⚠ Folga também lançada na aba FOLGAS. ",IF(D293="TRABALHA","⚠ Marcado TRABALHA, mas tem folga na aba FOLGAS. ","")),"")&amp;IF(AND(ISNUMBER(C293),D293="FOLGA",B293&lt;&gt;"",COUNTIFS($B$2:$B$301,B293,$C$2:$C$301,C293,$D$2:$D$301,"TRABALHA")=0),"⚠ Ninguém do setor trabalhando nesta data. ","")))</f>
        <v/>
      </c>
    </row>
    <row r="294" customFormat="false" ht="15" hidden="false" customHeight="true" outlineLevel="0" collapsed="false">
      <c r="A294" s="54"/>
      <c r="B294" s="54"/>
      <c r="C294" s="53"/>
      <c r="D294" s="54"/>
      <c r="E294" s="54"/>
      <c r="F294" s="55" t="str">
        <f aca="false">IF(A294="","",TRIM(IF(NOT(ISNUMBER(C294)),"⚠ Falta a data. ","")&amp;IF(ISNUMBER(C294),IF(AND(MONTH(C294)=12,OR(DAY(C294)=24,DAY(C294)=25)),"","⚠ Data fora do Natal (24 ou 25/12). "),"")&amp;IF(AND(ISNUMBER(C294),COUNTIFS($A$2:$A$301,A294,$C$2:$C$301,C294)&gt;1),"⚠ Nome repetido na mesma data. ","")&amp;IF(AND(ISNUMBER(C294),COUNTIFS(FÉRIAS!$A$2:$A$301,A294,FÉRIAS!$C$2:$C$301,"&lt;="&amp;C294,FÉRIAS!$D$2:$D$301,"&gt;="&amp;C294)&gt;0),IF(D294="TRABALHA","⚠ Está de férias e marcado TRABALHA. ","⚠ Já está de férias nesta data. "),"")&amp;IF(AND(ISNUMBER(C294),COUNTIFS(FOLGAS!$A$2:$A$301,A294,FOLGAS!$C$2:$C$301,C294)&gt;0),IF(D294="FOLGA","⚠ Folga também lançada na aba FOLGAS. ",IF(D294="TRABALHA","⚠ Marcado TRABALHA, mas tem folga na aba FOLGAS. ","")),"")&amp;IF(AND(ISNUMBER(C294),D294="FOLGA",B294&lt;&gt;"",COUNTIFS($B$2:$B$301,B294,$C$2:$C$301,C294,$D$2:$D$301,"TRABALHA")=0),"⚠ Ninguém do setor trabalhando nesta data. ","")))</f>
        <v/>
      </c>
    </row>
    <row r="295" customFormat="false" ht="15" hidden="false" customHeight="true" outlineLevel="0" collapsed="false">
      <c r="A295" s="54"/>
      <c r="B295" s="54"/>
      <c r="C295" s="53"/>
      <c r="D295" s="54"/>
      <c r="E295" s="54"/>
      <c r="F295" s="55" t="str">
        <f aca="false">IF(A295="","",TRIM(IF(NOT(ISNUMBER(C295)),"⚠ Falta a data. ","")&amp;IF(ISNUMBER(C295),IF(AND(MONTH(C295)=12,OR(DAY(C295)=24,DAY(C295)=25)),"","⚠ Data fora do Natal (24 ou 25/12). "),"")&amp;IF(AND(ISNUMBER(C295),COUNTIFS($A$2:$A$301,A295,$C$2:$C$301,C295)&gt;1),"⚠ Nome repetido na mesma data. ","")&amp;IF(AND(ISNUMBER(C295),COUNTIFS(FÉRIAS!$A$2:$A$301,A295,FÉRIAS!$C$2:$C$301,"&lt;="&amp;C295,FÉRIAS!$D$2:$D$301,"&gt;="&amp;C295)&gt;0),IF(D295="TRABALHA","⚠ Está de férias e marcado TRABALHA. ","⚠ Já está de férias nesta data. "),"")&amp;IF(AND(ISNUMBER(C295),COUNTIFS(FOLGAS!$A$2:$A$301,A295,FOLGAS!$C$2:$C$301,C295)&gt;0),IF(D295="FOLGA","⚠ Folga também lançada na aba FOLGAS. ",IF(D295="TRABALHA","⚠ Marcado TRABALHA, mas tem folga na aba FOLGAS. ","")),"")&amp;IF(AND(ISNUMBER(C295),D295="FOLGA",B295&lt;&gt;"",COUNTIFS($B$2:$B$301,B295,$C$2:$C$301,C295,$D$2:$D$301,"TRABALHA")=0),"⚠ Ninguém do setor trabalhando nesta data. ","")))</f>
        <v/>
      </c>
    </row>
    <row r="296" customFormat="false" ht="15" hidden="false" customHeight="true" outlineLevel="0" collapsed="false">
      <c r="A296" s="54"/>
      <c r="B296" s="54"/>
      <c r="C296" s="53"/>
      <c r="D296" s="54"/>
      <c r="E296" s="54"/>
      <c r="F296" s="55" t="str">
        <f aca="false">IF(A296="","",TRIM(IF(NOT(ISNUMBER(C296)),"⚠ Falta a data. ","")&amp;IF(ISNUMBER(C296),IF(AND(MONTH(C296)=12,OR(DAY(C296)=24,DAY(C296)=25)),"","⚠ Data fora do Natal (24 ou 25/12). "),"")&amp;IF(AND(ISNUMBER(C296),COUNTIFS($A$2:$A$301,A296,$C$2:$C$301,C296)&gt;1),"⚠ Nome repetido na mesma data. ","")&amp;IF(AND(ISNUMBER(C296),COUNTIFS(FÉRIAS!$A$2:$A$301,A296,FÉRIAS!$C$2:$C$301,"&lt;="&amp;C296,FÉRIAS!$D$2:$D$301,"&gt;="&amp;C296)&gt;0),IF(D296="TRABALHA","⚠ Está de férias e marcado TRABALHA. ","⚠ Já está de férias nesta data. "),"")&amp;IF(AND(ISNUMBER(C296),COUNTIFS(FOLGAS!$A$2:$A$301,A296,FOLGAS!$C$2:$C$301,C296)&gt;0),IF(D296="FOLGA","⚠ Folga também lançada na aba FOLGAS. ",IF(D296="TRABALHA","⚠ Marcado TRABALHA, mas tem folga na aba FOLGAS. ","")),"")&amp;IF(AND(ISNUMBER(C296),D296="FOLGA",B296&lt;&gt;"",COUNTIFS($B$2:$B$301,B296,$C$2:$C$301,C296,$D$2:$D$301,"TRABALHA")=0),"⚠ Ninguém do setor trabalhando nesta data. ","")))</f>
        <v/>
      </c>
    </row>
    <row r="297" customFormat="false" ht="15" hidden="false" customHeight="true" outlineLevel="0" collapsed="false">
      <c r="A297" s="54"/>
      <c r="B297" s="54"/>
      <c r="C297" s="53"/>
      <c r="D297" s="54"/>
      <c r="E297" s="54"/>
      <c r="F297" s="55" t="str">
        <f aca="false">IF(A297="","",TRIM(IF(NOT(ISNUMBER(C297)),"⚠ Falta a data. ","")&amp;IF(ISNUMBER(C297),IF(AND(MONTH(C297)=12,OR(DAY(C297)=24,DAY(C297)=25)),"","⚠ Data fora do Natal (24 ou 25/12). "),"")&amp;IF(AND(ISNUMBER(C297),COUNTIFS($A$2:$A$301,A297,$C$2:$C$301,C297)&gt;1),"⚠ Nome repetido na mesma data. ","")&amp;IF(AND(ISNUMBER(C297),COUNTIFS(FÉRIAS!$A$2:$A$301,A297,FÉRIAS!$C$2:$C$301,"&lt;="&amp;C297,FÉRIAS!$D$2:$D$301,"&gt;="&amp;C297)&gt;0),IF(D297="TRABALHA","⚠ Está de férias e marcado TRABALHA. ","⚠ Já está de férias nesta data. "),"")&amp;IF(AND(ISNUMBER(C297),COUNTIFS(FOLGAS!$A$2:$A$301,A297,FOLGAS!$C$2:$C$301,C297)&gt;0),IF(D297="FOLGA","⚠ Folga também lançada na aba FOLGAS. ",IF(D297="TRABALHA","⚠ Marcado TRABALHA, mas tem folga na aba FOLGAS. ","")),"")&amp;IF(AND(ISNUMBER(C297),D297="FOLGA",B297&lt;&gt;"",COUNTIFS($B$2:$B$301,B297,$C$2:$C$301,C297,$D$2:$D$301,"TRABALHA")=0),"⚠ Ninguém do setor trabalhando nesta data. ","")))</f>
        <v/>
      </c>
    </row>
    <row r="298" customFormat="false" ht="15" hidden="false" customHeight="true" outlineLevel="0" collapsed="false">
      <c r="A298" s="54"/>
      <c r="B298" s="54"/>
      <c r="C298" s="53"/>
      <c r="D298" s="54"/>
      <c r="E298" s="54"/>
      <c r="F298" s="55" t="str">
        <f aca="false">IF(A298="","",TRIM(IF(NOT(ISNUMBER(C298)),"⚠ Falta a data. ","")&amp;IF(ISNUMBER(C298),IF(AND(MONTH(C298)=12,OR(DAY(C298)=24,DAY(C298)=25)),"","⚠ Data fora do Natal (24 ou 25/12). "),"")&amp;IF(AND(ISNUMBER(C298),COUNTIFS($A$2:$A$301,A298,$C$2:$C$301,C298)&gt;1),"⚠ Nome repetido na mesma data. ","")&amp;IF(AND(ISNUMBER(C298),COUNTIFS(FÉRIAS!$A$2:$A$301,A298,FÉRIAS!$C$2:$C$301,"&lt;="&amp;C298,FÉRIAS!$D$2:$D$301,"&gt;="&amp;C298)&gt;0),IF(D298="TRABALHA","⚠ Está de férias e marcado TRABALHA. ","⚠ Já está de férias nesta data. "),"")&amp;IF(AND(ISNUMBER(C298),COUNTIFS(FOLGAS!$A$2:$A$301,A298,FOLGAS!$C$2:$C$301,C298)&gt;0),IF(D298="FOLGA","⚠ Folga também lançada na aba FOLGAS. ",IF(D298="TRABALHA","⚠ Marcado TRABALHA, mas tem folga na aba FOLGAS. ","")),"")&amp;IF(AND(ISNUMBER(C298),D298="FOLGA",B298&lt;&gt;"",COUNTIFS($B$2:$B$301,B298,$C$2:$C$301,C298,$D$2:$D$301,"TRABALHA")=0),"⚠ Ninguém do setor trabalhando nesta data. ","")))</f>
        <v/>
      </c>
    </row>
    <row r="299" customFormat="false" ht="15" hidden="false" customHeight="true" outlineLevel="0" collapsed="false">
      <c r="A299" s="54"/>
      <c r="B299" s="54"/>
      <c r="C299" s="53"/>
      <c r="D299" s="54"/>
      <c r="E299" s="54"/>
      <c r="F299" s="55" t="str">
        <f aca="false">IF(A299="","",TRIM(IF(NOT(ISNUMBER(C299)),"⚠ Falta a data. ","")&amp;IF(ISNUMBER(C299),IF(AND(MONTH(C299)=12,OR(DAY(C299)=24,DAY(C299)=25)),"","⚠ Data fora do Natal (24 ou 25/12). "),"")&amp;IF(AND(ISNUMBER(C299),COUNTIFS($A$2:$A$301,A299,$C$2:$C$301,C299)&gt;1),"⚠ Nome repetido na mesma data. ","")&amp;IF(AND(ISNUMBER(C299),COUNTIFS(FÉRIAS!$A$2:$A$301,A299,FÉRIAS!$C$2:$C$301,"&lt;="&amp;C299,FÉRIAS!$D$2:$D$301,"&gt;="&amp;C299)&gt;0),IF(D299="TRABALHA","⚠ Está de férias e marcado TRABALHA. ","⚠ Já está de férias nesta data. "),"")&amp;IF(AND(ISNUMBER(C299),COUNTIFS(FOLGAS!$A$2:$A$301,A299,FOLGAS!$C$2:$C$301,C299)&gt;0),IF(D299="FOLGA","⚠ Folga também lançada na aba FOLGAS. ",IF(D299="TRABALHA","⚠ Marcado TRABALHA, mas tem folga na aba FOLGAS. ","")),"")&amp;IF(AND(ISNUMBER(C299),D299="FOLGA",B299&lt;&gt;"",COUNTIFS($B$2:$B$301,B299,$C$2:$C$301,C299,$D$2:$D$301,"TRABALHA")=0),"⚠ Ninguém do setor trabalhando nesta data. ","")))</f>
        <v/>
      </c>
    </row>
    <row r="300" customFormat="false" ht="15" hidden="false" customHeight="true" outlineLevel="0" collapsed="false">
      <c r="A300" s="54"/>
      <c r="B300" s="54"/>
      <c r="C300" s="53"/>
      <c r="D300" s="54"/>
      <c r="E300" s="54"/>
      <c r="F300" s="55" t="str">
        <f aca="false">IF(A300="","",TRIM(IF(NOT(ISNUMBER(C300)),"⚠ Falta a data. ","")&amp;IF(ISNUMBER(C300),IF(AND(MONTH(C300)=12,OR(DAY(C300)=24,DAY(C300)=25)),"","⚠ Data fora do Natal (24 ou 25/12). "),"")&amp;IF(AND(ISNUMBER(C300),COUNTIFS($A$2:$A$301,A300,$C$2:$C$301,C300)&gt;1),"⚠ Nome repetido na mesma data. ","")&amp;IF(AND(ISNUMBER(C300),COUNTIFS(FÉRIAS!$A$2:$A$301,A300,FÉRIAS!$C$2:$C$301,"&lt;="&amp;C300,FÉRIAS!$D$2:$D$301,"&gt;="&amp;C300)&gt;0),IF(D300="TRABALHA","⚠ Está de férias e marcado TRABALHA. ","⚠ Já está de férias nesta data. "),"")&amp;IF(AND(ISNUMBER(C300),COUNTIFS(FOLGAS!$A$2:$A$301,A300,FOLGAS!$C$2:$C$301,C300)&gt;0),IF(D300="FOLGA","⚠ Folga também lançada na aba FOLGAS. ",IF(D300="TRABALHA","⚠ Marcado TRABALHA, mas tem folga na aba FOLGAS. ","")),"")&amp;IF(AND(ISNUMBER(C300),D300="FOLGA",B300&lt;&gt;"",COUNTIFS($B$2:$B$301,B300,$C$2:$C$301,C300,$D$2:$D$301,"TRABALHA")=0),"⚠ Ninguém do setor trabalhando nesta data. ","")))</f>
        <v/>
      </c>
    </row>
    <row r="301" customFormat="false" ht="15" hidden="false" customHeight="true" outlineLevel="0" collapsed="false">
      <c r="A301" s="54"/>
      <c r="B301" s="54"/>
      <c r="C301" s="53"/>
      <c r="D301" s="54"/>
      <c r="E301" s="54"/>
      <c r="F301" s="55" t="str">
        <f aca="false">IF(A301="","",TRIM(IF(NOT(ISNUMBER(C301)),"⚠ Falta a data. ","")&amp;IF(ISNUMBER(C301),IF(AND(MONTH(C301)=12,OR(DAY(C301)=24,DAY(C301)=25)),"","⚠ Data fora do Natal (24 ou 25/12). "),"")&amp;IF(AND(ISNUMBER(C301),COUNTIFS($A$2:$A$301,A301,$C$2:$C$301,C301)&gt;1),"⚠ Nome repetido na mesma data. ","")&amp;IF(AND(ISNUMBER(C301),COUNTIFS(FÉRIAS!$A$2:$A$301,A301,FÉRIAS!$C$2:$C$301,"&lt;="&amp;C301,FÉRIAS!$D$2:$D$301,"&gt;="&amp;C301)&gt;0),IF(D301="TRABALHA","⚠ Está de férias e marcado TRABALHA. ","⚠ Já está de férias nesta data. "),"")&amp;IF(AND(ISNUMBER(C301),COUNTIFS(FOLGAS!$A$2:$A$301,A301,FOLGAS!$C$2:$C$301,C301)&gt;0),IF(D301="FOLGA","⚠ Folga também lançada na aba FOLGAS. ",IF(D301="TRABALHA","⚠ Marcado TRABALHA, mas tem folga na aba FOLGAS. ","")),"")&amp;IF(AND(ISNUMBER(C301),D301="FOLGA",B301&lt;&gt;"",COUNTIFS($B$2:$B$301,B301,$C$2:$C$301,C301,$D$2:$D$301,"TRABALHA")=0),"⚠ Ninguém do setor trabalhando nesta data. ","")))</f>
        <v/>
      </c>
    </row>
  </sheetData>
  <autoFilter ref="A1:F301"/>
  <conditionalFormatting sqref="F2:F301">
    <cfRule type="expression" priority="2" aboveAverage="0" equalAverage="0" bottom="0" percent="0" rank="0" text="" dxfId="13">
      <formula>LEFT($F2,1)="⚠"</formula>
    </cfRule>
  </conditionalFormatting>
  <conditionalFormatting sqref="A2:F301">
    <cfRule type="expression" priority="3" aboveAverage="0" equalAverage="0" bottom="0" percent="0" rank="0" text="" dxfId="1">
      <formula>$D2="FOLGA"</formula>
    </cfRule>
    <cfRule type="expression" priority="4" aboveAverage="0" equalAverage="0" bottom="0" percent="0" rank="0" text="" dxfId="15">
      <formula>$D2="TRABALHA"</formula>
    </cfRule>
    <cfRule type="expression" priority="5" aboveAverage="0" equalAverage="0" bottom="0" percent="0" rank="0" text="" dxfId="16">
      <formula>AND($A2&lt;&gt;"",$D2="")</formula>
    </cfRule>
  </conditionalFormatting>
  <dataValidations count="4">
    <dataValidation allowBlank="true" error="Escolha TRABALHA ou FOLGA na lista." errorStyle="stop" errorTitle="Situação inválida" operator="between" showDropDown="false" showErrorMessage="true" showInputMessage="false" sqref="D2:D301" type="list">
      <formula1>LISTAS!$A$2:$A$3</formula1>
      <formula2>0</formula2>
    </dataValidation>
    <dataValidation allowBlank="true" error="Digite uma data válida no formato dd/mm/aaaa." errorStyle="stop" errorTitle="Data inválida" operator="between" showDropDown="false" showErrorMessage="true" showInputMessage="false" sqref="C2:C301" type="date">
      <formula1>DATE(2020,1,1)</formula1>
      <formula2>DATE(2100,12,31)</formula2>
    </dataValidation>
    <dataValidation allowBlank="true" error="Este setor não está na aba LISTAS. Deseja manter mesmo assim?" errorStyle="warning" errorTitle="Setor fora da lista" operator="between" showDropDown="false" showErrorMessage="true" showInputMessage="false" sqref="B2:B301" type="list">
      <formula1>LISTAS!$B$2:$B$20</formula1>
      <formula2>0</formula2>
    </dataValidation>
    <dataValidation allowBlank="true" error="Este nome não está na lista de Funcionários (aba LISTAS, coluna F). Nomes escritos de forma diferente impedem os alertas entre abas. Manter mesmo assim?" errorStyle="warning" errorTitle="Nome fora da lista" operator="between" showDropDown="false" showErrorMessage="true" showInputMessage="false" sqref="A2:A301" type="list">
      <formula1>LISTAS!$F$2:$F$300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49" width="32"/>
    <col collapsed="false" customWidth="true" hidden="false" outlineLevel="0" max="2" min="2" style="49" width="24"/>
    <col collapsed="false" customWidth="true" hidden="false" outlineLevel="0" max="4" min="3" style="49" width="18"/>
    <col collapsed="false" customWidth="true" hidden="false" outlineLevel="0" max="5" min="5" style="49" width="44.99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0" t="s">
        <v>11</v>
      </c>
      <c r="B1" s="50" t="s">
        <v>12</v>
      </c>
      <c r="C1" s="50" t="s">
        <v>22</v>
      </c>
      <c r="D1" s="50" t="s">
        <v>72</v>
      </c>
      <c r="E1" s="50" t="s">
        <v>14</v>
      </c>
      <c r="F1" s="50" t="s">
        <v>25</v>
      </c>
    </row>
    <row r="2" customFormat="false" ht="15" hidden="false" customHeight="true" outlineLevel="0" collapsed="false">
      <c r="A2" s="54"/>
      <c r="B2" s="54"/>
      <c r="C2" s="53"/>
      <c r="D2" s="54"/>
      <c r="E2" s="54"/>
      <c r="F2" s="55" t="str">
        <f aca="false">IF(A2="","",TRIM(IF(NOT(ISNUMBER(C2)),"⚠ Falta a data. ","")&amp;IF(ISNUMBER(C2),IF(OR(AND(MONTH(C2)=12,DAY(C2)=31),AND(MONTH(C2)=1,DAY(C2)=1)),"","⚠ Data fora do Ano Novo (31/12 ou 01/01). "),"")&amp;IF(AND(ISNUMBER(C2),COUNTIFS($A$2:$A$301,A2,$C$2:$C$301,C2)&gt;1),"⚠ Nome repetido na mesma data. ","")&amp;IF(AND(ISNUMBER(C2),COUNTIFS(FÉRIAS!$A$2:$A$301,A2,FÉRIAS!$C$2:$C$301,"&lt;="&amp;C2,FÉRIAS!$D$2:$D$301,"&gt;="&amp;C2)&gt;0),IF(D2="TRABALHA","⚠ Está de férias e marcado TRABALHA. ","⚠ Já está de férias nesta data. "),"")&amp;IF(AND(ISNUMBER(C2),COUNTIFS(FOLGAS!$A$2:$A$301,A2,FOLGAS!$C$2:$C$301,C2)&gt;0),IF(D2="FOLGA","⚠ Folga também lançada na aba FOLGAS. ",IF(D2="TRABALHA","⚠ Marcado TRABALHA, mas tem folga na aba FOLGAS. ","")),"")&amp;IF(AND(ISNUMBER(C2),D2="FOLGA",B2&lt;&gt;"",COUNTIFS($B$2:$B$301,B2,$C$2:$C$301,C2,$D$2:$D$301,"TRABALHA")=0),"⚠ Ninguém do setor trabalhando nesta data. ","")))</f>
        <v/>
      </c>
    </row>
    <row r="3" customFormat="false" ht="15" hidden="false" customHeight="true" outlineLevel="0" collapsed="false">
      <c r="A3" s="54"/>
      <c r="B3" s="54"/>
      <c r="C3" s="53"/>
      <c r="D3" s="54"/>
      <c r="E3" s="54"/>
      <c r="F3" s="55" t="str">
        <f aca="false">IF(A3="","",TRIM(IF(NOT(ISNUMBER(C3)),"⚠ Falta a data. ","")&amp;IF(ISNUMBER(C3),IF(OR(AND(MONTH(C3)=12,DAY(C3)=31),AND(MONTH(C3)=1,DAY(C3)=1)),"","⚠ Data fora do Ano Novo (31/12 ou 01/01). "),"")&amp;IF(AND(ISNUMBER(C3),COUNTIFS($A$2:$A$301,A3,$C$2:$C$301,C3)&gt;1),"⚠ Nome repetido na mesma data. ","")&amp;IF(AND(ISNUMBER(C3),COUNTIFS(FÉRIAS!$A$2:$A$301,A3,FÉRIAS!$C$2:$C$301,"&lt;="&amp;C3,FÉRIAS!$D$2:$D$301,"&gt;="&amp;C3)&gt;0),IF(D3="TRABALHA","⚠ Está de férias e marcado TRABALHA. ","⚠ Já está de férias nesta data. "),"")&amp;IF(AND(ISNUMBER(C3),COUNTIFS(FOLGAS!$A$2:$A$301,A3,FOLGAS!$C$2:$C$301,C3)&gt;0),IF(D3="FOLGA","⚠ Folga também lançada na aba FOLGAS. ",IF(D3="TRABALHA","⚠ Marcado TRABALHA, mas tem folga na aba FOLGAS. ","")),"")&amp;IF(AND(ISNUMBER(C3),D3="FOLGA",B3&lt;&gt;"",COUNTIFS($B$2:$B$301,B3,$C$2:$C$301,C3,$D$2:$D$301,"TRABALHA")=0),"⚠ Ninguém do setor trabalhando nesta data. ","")))</f>
        <v/>
      </c>
    </row>
    <row r="4" customFormat="false" ht="15" hidden="false" customHeight="true" outlineLevel="0" collapsed="false">
      <c r="A4" s="54"/>
      <c r="B4" s="54"/>
      <c r="C4" s="53"/>
      <c r="D4" s="54"/>
      <c r="E4" s="54"/>
      <c r="F4" s="55" t="str">
        <f aca="false">IF(A4="","",TRIM(IF(NOT(ISNUMBER(C4)),"⚠ Falta a data. ","")&amp;IF(ISNUMBER(C4),IF(OR(AND(MONTH(C4)=12,DAY(C4)=31),AND(MONTH(C4)=1,DAY(C4)=1)),"","⚠ Data fora do Ano Novo (31/12 ou 01/01). "),"")&amp;IF(AND(ISNUMBER(C4),COUNTIFS($A$2:$A$301,A4,$C$2:$C$301,C4)&gt;1),"⚠ Nome repetido na mesma data. ","")&amp;IF(AND(ISNUMBER(C4),COUNTIFS(FÉRIAS!$A$2:$A$301,A4,FÉRIAS!$C$2:$C$301,"&lt;="&amp;C4,FÉRIAS!$D$2:$D$301,"&gt;="&amp;C4)&gt;0),IF(D4="TRABALHA","⚠ Está de férias e marcado TRABALHA. ","⚠ Já está de férias nesta data. "),"")&amp;IF(AND(ISNUMBER(C4),COUNTIFS(FOLGAS!$A$2:$A$301,A4,FOLGAS!$C$2:$C$301,C4)&gt;0),IF(D4="FOLGA","⚠ Folga também lançada na aba FOLGAS. ",IF(D4="TRABALHA","⚠ Marcado TRABALHA, mas tem folga na aba FOLGAS. ","")),"")&amp;IF(AND(ISNUMBER(C4),D4="FOLGA",B4&lt;&gt;"",COUNTIFS($B$2:$B$301,B4,$C$2:$C$301,C4,$D$2:$D$301,"TRABALHA")=0),"⚠ Ninguém do setor trabalhando nesta data. ","")))</f>
        <v/>
      </c>
    </row>
    <row r="5" customFormat="false" ht="15" hidden="false" customHeight="true" outlineLevel="0" collapsed="false">
      <c r="A5" s="54"/>
      <c r="B5" s="54"/>
      <c r="C5" s="53"/>
      <c r="D5" s="54"/>
      <c r="E5" s="54"/>
      <c r="F5" s="55" t="str">
        <f aca="false">IF(A5="","",TRIM(IF(NOT(ISNUMBER(C5)),"⚠ Falta a data. ","")&amp;IF(ISNUMBER(C5),IF(OR(AND(MONTH(C5)=12,DAY(C5)=31),AND(MONTH(C5)=1,DAY(C5)=1)),"","⚠ Data fora do Ano Novo (31/12 ou 01/01). "),"")&amp;IF(AND(ISNUMBER(C5),COUNTIFS($A$2:$A$301,A5,$C$2:$C$301,C5)&gt;1),"⚠ Nome repetido na mesma data. ","")&amp;IF(AND(ISNUMBER(C5),COUNTIFS(FÉRIAS!$A$2:$A$301,A5,FÉRIAS!$C$2:$C$301,"&lt;="&amp;C5,FÉRIAS!$D$2:$D$301,"&gt;="&amp;C5)&gt;0),IF(D5="TRABALHA","⚠ Está de férias e marcado TRABALHA. ","⚠ Já está de férias nesta data. "),"")&amp;IF(AND(ISNUMBER(C5),COUNTIFS(FOLGAS!$A$2:$A$301,A5,FOLGAS!$C$2:$C$301,C5)&gt;0),IF(D5="FOLGA","⚠ Folga também lançada na aba FOLGAS. ",IF(D5="TRABALHA","⚠ Marcado TRABALHA, mas tem folga na aba FOLGAS. ","")),"")&amp;IF(AND(ISNUMBER(C5),D5="FOLGA",B5&lt;&gt;"",COUNTIFS($B$2:$B$301,B5,$C$2:$C$301,C5,$D$2:$D$301,"TRABALHA")=0),"⚠ Ninguém do setor trabalhando nesta data. ","")))</f>
        <v/>
      </c>
    </row>
    <row r="6" customFormat="false" ht="15" hidden="false" customHeight="true" outlineLevel="0" collapsed="false">
      <c r="A6" s="54"/>
      <c r="B6" s="54"/>
      <c r="C6" s="53"/>
      <c r="D6" s="54"/>
      <c r="E6" s="54"/>
      <c r="F6" s="55" t="str">
        <f aca="false">IF(A6="","",TRIM(IF(NOT(ISNUMBER(C6)),"⚠ Falta a data. ","")&amp;IF(ISNUMBER(C6),IF(OR(AND(MONTH(C6)=12,DAY(C6)=31),AND(MONTH(C6)=1,DAY(C6)=1)),"","⚠ Data fora do Ano Novo (31/12 ou 01/01). "),"")&amp;IF(AND(ISNUMBER(C6),COUNTIFS($A$2:$A$301,A6,$C$2:$C$301,C6)&gt;1),"⚠ Nome repetido na mesma data. ","")&amp;IF(AND(ISNUMBER(C6),COUNTIFS(FÉRIAS!$A$2:$A$301,A6,FÉRIAS!$C$2:$C$301,"&lt;="&amp;C6,FÉRIAS!$D$2:$D$301,"&gt;="&amp;C6)&gt;0),IF(D6="TRABALHA","⚠ Está de férias e marcado TRABALHA. ","⚠ Já está de férias nesta data. "),"")&amp;IF(AND(ISNUMBER(C6),COUNTIFS(FOLGAS!$A$2:$A$301,A6,FOLGAS!$C$2:$C$301,C6)&gt;0),IF(D6="FOLGA","⚠ Folga também lançada na aba FOLGAS. ",IF(D6="TRABALHA","⚠ Marcado TRABALHA, mas tem folga na aba FOLGAS. ","")),"")&amp;IF(AND(ISNUMBER(C6),D6="FOLGA",B6&lt;&gt;"",COUNTIFS($B$2:$B$301,B6,$C$2:$C$301,C6,$D$2:$D$301,"TRABALHA")=0),"⚠ Ninguém do setor trabalhando nesta data. ","")))</f>
        <v/>
      </c>
    </row>
    <row r="7" customFormat="false" ht="15" hidden="false" customHeight="true" outlineLevel="0" collapsed="false">
      <c r="A7" s="54"/>
      <c r="B7" s="54"/>
      <c r="C7" s="53"/>
      <c r="D7" s="54"/>
      <c r="E7" s="54"/>
      <c r="F7" s="55" t="str">
        <f aca="false">IF(A7="","",TRIM(IF(NOT(ISNUMBER(C7)),"⚠ Falta a data. ","")&amp;IF(ISNUMBER(C7),IF(OR(AND(MONTH(C7)=12,DAY(C7)=31),AND(MONTH(C7)=1,DAY(C7)=1)),"","⚠ Data fora do Ano Novo (31/12 ou 01/01). "),"")&amp;IF(AND(ISNUMBER(C7),COUNTIFS($A$2:$A$301,A7,$C$2:$C$301,C7)&gt;1),"⚠ Nome repetido na mesma data. ","")&amp;IF(AND(ISNUMBER(C7),COUNTIFS(FÉRIAS!$A$2:$A$301,A7,FÉRIAS!$C$2:$C$301,"&lt;="&amp;C7,FÉRIAS!$D$2:$D$301,"&gt;="&amp;C7)&gt;0),IF(D7="TRABALHA","⚠ Está de férias e marcado TRABALHA. ","⚠ Já está de férias nesta data. "),"")&amp;IF(AND(ISNUMBER(C7),COUNTIFS(FOLGAS!$A$2:$A$301,A7,FOLGAS!$C$2:$C$301,C7)&gt;0),IF(D7="FOLGA","⚠ Folga também lançada na aba FOLGAS. ",IF(D7="TRABALHA","⚠ Marcado TRABALHA, mas tem folga na aba FOLGAS. ","")),"")&amp;IF(AND(ISNUMBER(C7),D7="FOLGA",B7&lt;&gt;"",COUNTIFS($B$2:$B$301,B7,$C$2:$C$301,C7,$D$2:$D$301,"TRABALHA")=0),"⚠ Ninguém do setor trabalhando nesta data. ","")))</f>
        <v/>
      </c>
    </row>
    <row r="8" customFormat="false" ht="15" hidden="false" customHeight="true" outlineLevel="0" collapsed="false">
      <c r="A8" s="54"/>
      <c r="B8" s="54"/>
      <c r="C8" s="53"/>
      <c r="D8" s="54"/>
      <c r="E8" s="54"/>
      <c r="F8" s="55" t="str">
        <f aca="false">IF(A8="","",TRIM(IF(NOT(ISNUMBER(C8)),"⚠ Falta a data. ","")&amp;IF(ISNUMBER(C8),IF(OR(AND(MONTH(C8)=12,DAY(C8)=31),AND(MONTH(C8)=1,DAY(C8)=1)),"","⚠ Data fora do Ano Novo (31/12 ou 01/01). "),"")&amp;IF(AND(ISNUMBER(C8),COUNTIFS($A$2:$A$301,A8,$C$2:$C$301,C8)&gt;1),"⚠ Nome repetido na mesma data. ","")&amp;IF(AND(ISNUMBER(C8),COUNTIFS(FÉRIAS!$A$2:$A$301,A8,FÉRIAS!$C$2:$C$301,"&lt;="&amp;C8,FÉRIAS!$D$2:$D$301,"&gt;="&amp;C8)&gt;0),IF(D8="TRABALHA","⚠ Está de férias e marcado TRABALHA. ","⚠ Já está de férias nesta data. "),"")&amp;IF(AND(ISNUMBER(C8),COUNTIFS(FOLGAS!$A$2:$A$301,A8,FOLGAS!$C$2:$C$301,C8)&gt;0),IF(D8="FOLGA","⚠ Folga também lançada na aba FOLGAS. ",IF(D8="TRABALHA","⚠ Marcado TRABALHA, mas tem folga na aba FOLGAS. ","")),"")&amp;IF(AND(ISNUMBER(C8),D8="FOLGA",B8&lt;&gt;"",COUNTIFS($B$2:$B$301,B8,$C$2:$C$301,C8,$D$2:$D$301,"TRABALHA")=0),"⚠ Ninguém do setor trabalhando nesta data. ","")))</f>
        <v/>
      </c>
    </row>
    <row r="9" customFormat="false" ht="15" hidden="false" customHeight="true" outlineLevel="0" collapsed="false">
      <c r="A9" s="54"/>
      <c r="B9" s="54"/>
      <c r="C9" s="53"/>
      <c r="D9" s="54"/>
      <c r="E9" s="54"/>
      <c r="F9" s="55" t="str">
        <f aca="false">IF(A9="","",TRIM(IF(NOT(ISNUMBER(C9)),"⚠ Falta a data. ","")&amp;IF(ISNUMBER(C9),IF(OR(AND(MONTH(C9)=12,DAY(C9)=31),AND(MONTH(C9)=1,DAY(C9)=1)),"","⚠ Data fora do Ano Novo (31/12 ou 01/01). "),"")&amp;IF(AND(ISNUMBER(C9),COUNTIFS($A$2:$A$301,A9,$C$2:$C$301,C9)&gt;1),"⚠ Nome repetido na mesma data. ","")&amp;IF(AND(ISNUMBER(C9),COUNTIFS(FÉRIAS!$A$2:$A$301,A9,FÉRIAS!$C$2:$C$301,"&lt;="&amp;C9,FÉRIAS!$D$2:$D$301,"&gt;="&amp;C9)&gt;0),IF(D9="TRABALHA","⚠ Está de férias e marcado TRABALHA. ","⚠ Já está de férias nesta data. "),"")&amp;IF(AND(ISNUMBER(C9),COUNTIFS(FOLGAS!$A$2:$A$301,A9,FOLGAS!$C$2:$C$301,C9)&gt;0),IF(D9="FOLGA","⚠ Folga também lançada na aba FOLGAS. ",IF(D9="TRABALHA","⚠ Marcado TRABALHA, mas tem folga na aba FOLGAS. ","")),"")&amp;IF(AND(ISNUMBER(C9),D9="FOLGA",B9&lt;&gt;"",COUNTIFS($B$2:$B$301,B9,$C$2:$C$301,C9,$D$2:$D$301,"TRABALHA")=0),"⚠ Ninguém do setor trabalhando nesta data. ","")))</f>
        <v/>
      </c>
    </row>
    <row r="10" customFormat="false" ht="15" hidden="false" customHeight="true" outlineLevel="0" collapsed="false">
      <c r="A10" s="54"/>
      <c r="B10" s="54"/>
      <c r="C10" s="53"/>
      <c r="D10" s="54"/>
      <c r="E10" s="54"/>
      <c r="F10" s="55" t="str">
        <f aca="false">IF(A10="","",TRIM(IF(NOT(ISNUMBER(C10)),"⚠ Falta a data. ","")&amp;IF(ISNUMBER(C10),IF(OR(AND(MONTH(C10)=12,DAY(C10)=31),AND(MONTH(C10)=1,DAY(C10)=1)),"","⚠ Data fora do Ano Novo (31/12 ou 01/01). "),"")&amp;IF(AND(ISNUMBER(C10),COUNTIFS($A$2:$A$301,A10,$C$2:$C$301,C10)&gt;1),"⚠ Nome repetido na mesma data. ","")&amp;IF(AND(ISNUMBER(C10),COUNTIFS(FÉRIAS!$A$2:$A$301,A10,FÉRIAS!$C$2:$C$301,"&lt;="&amp;C10,FÉRIAS!$D$2:$D$301,"&gt;="&amp;C10)&gt;0),IF(D10="TRABALHA","⚠ Está de férias e marcado TRABALHA. ","⚠ Já está de férias nesta data. "),"")&amp;IF(AND(ISNUMBER(C10),COUNTIFS(FOLGAS!$A$2:$A$301,A10,FOLGAS!$C$2:$C$301,C10)&gt;0),IF(D10="FOLGA","⚠ Folga também lançada na aba FOLGAS. ",IF(D10="TRABALHA","⚠ Marcado TRABALHA, mas tem folga na aba FOLGAS. ","")),"")&amp;IF(AND(ISNUMBER(C10),D10="FOLGA",B10&lt;&gt;"",COUNTIFS($B$2:$B$301,B10,$C$2:$C$301,C10,$D$2:$D$301,"TRABALHA")=0),"⚠ Ninguém do setor trabalhando nesta data. ","")))</f>
        <v/>
      </c>
    </row>
    <row r="11" customFormat="false" ht="15" hidden="false" customHeight="true" outlineLevel="0" collapsed="false">
      <c r="A11" s="54"/>
      <c r="B11" s="54"/>
      <c r="C11" s="53"/>
      <c r="D11" s="54"/>
      <c r="E11" s="54"/>
      <c r="F11" s="55" t="str">
        <f aca="false">IF(A11="","",TRIM(IF(NOT(ISNUMBER(C11)),"⚠ Falta a data. ","")&amp;IF(ISNUMBER(C11),IF(OR(AND(MONTH(C11)=12,DAY(C11)=31),AND(MONTH(C11)=1,DAY(C11)=1)),"","⚠ Data fora do Ano Novo (31/12 ou 01/01). "),"")&amp;IF(AND(ISNUMBER(C11),COUNTIFS($A$2:$A$301,A11,$C$2:$C$301,C11)&gt;1),"⚠ Nome repetido na mesma data. ","")&amp;IF(AND(ISNUMBER(C11),COUNTIFS(FÉRIAS!$A$2:$A$301,A11,FÉRIAS!$C$2:$C$301,"&lt;="&amp;C11,FÉRIAS!$D$2:$D$301,"&gt;="&amp;C11)&gt;0),IF(D11="TRABALHA","⚠ Está de férias e marcado TRABALHA. ","⚠ Já está de férias nesta data. "),"")&amp;IF(AND(ISNUMBER(C11),COUNTIFS(FOLGAS!$A$2:$A$301,A11,FOLGAS!$C$2:$C$301,C11)&gt;0),IF(D11="FOLGA","⚠ Folga também lançada na aba FOLGAS. ",IF(D11="TRABALHA","⚠ Marcado TRABALHA, mas tem folga na aba FOLGAS. ","")),"")&amp;IF(AND(ISNUMBER(C11),D11="FOLGA",B11&lt;&gt;"",COUNTIFS($B$2:$B$301,B11,$C$2:$C$301,C11,$D$2:$D$301,"TRABALHA")=0),"⚠ Ninguém do setor trabalhando nesta data. ","")))</f>
        <v/>
      </c>
    </row>
    <row r="12" customFormat="false" ht="15" hidden="false" customHeight="true" outlineLevel="0" collapsed="false">
      <c r="A12" s="54"/>
      <c r="B12" s="54"/>
      <c r="C12" s="53"/>
      <c r="D12" s="54"/>
      <c r="E12" s="54"/>
      <c r="F12" s="55" t="str">
        <f aca="false">IF(A12="","",TRIM(IF(NOT(ISNUMBER(C12)),"⚠ Falta a data. ","")&amp;IF(ISNUMBER(C12),IF(OR(AND(MONTH(C12)=12,DAY(C12)=31),AND(MONTH(C12)=1,DAY(C12)=1)),"","⚠ Data fora do Ano Novo (31/12 ou 01/01). "),"")&amp;IF(AND(ISNUMBER(C12),COUNTIFS($A$2:$A$301,A12,$C$2:$C$301,C12)&gt;1),"⚠ Nome repetido na mesma data. ","")&amp;IF(AND(ISNUMBER(C12),COUNTIFS(FÉRIAS!$A$2:$A$301,A12,FÉRIAS!$C$2:$C$301,"&lt;="&amp;C12,FÉRIAS!$D$2:$D$301,"&gt;="&amp;C12)&gt;0),IF(D12="TRABALHA","⚠ Está de férias e marcado TRABALHA. ","⚠ Já está de férias nesta data. "),"")&amp;IF(AND(ISNUMBER(C12),COUNTIFS(FOLGAS!$A$2:$A$301,A12,FOLGAS!$C$2:$C$301,C12)&gt;0),IF(D12="FOLGA","⚠ Folga também lançada na aba FOLGAS. ",IF(D12="TRABALHA","⚠ Marcado TRABALHA, mas tem folga na aba FOLGAS. ","")),"")&amp;IF(AND(ISNUMBER(C12),D12="FOLGA",B12&lt;&gt;"",COUNTIFS($B$2:$B$301,B12,$C$2:$C$301,C12,$D$2:$D$301,"TRABALHA")=0),"⚠ Ninguém do setor trabalhando nesta data. ","")))</f>
        <v/>
      </c>
    </row>
    <row r="13" customFormat="false" ht="15" hidden="false" customHeight="true" outlineLevel="0" collapsed="false">
      <c r="A13" s="54"/>
      <c r="B13" s="54"/>
      <c r="C13" s="53"/>
      <c r="D13" s="54"/>
      <c r="E13" s="54"/>
      <c r="F13" s="55" t="str">
        <f aca="false">IF(A13="","",TRIM(IF(NOT(ISNUMBER(C13)),"⚠ Falta a data. ","")&amp;IF(ISNUMBER(C13),IF(OR(AND(MONTH(C13)=12,DAY(C13)=31),AND(MONTH(C13)=1,DAY(C13)=1)),"","⚠ Data fora do Ano Novo (31/12 ou 01/01). "),"")&amp;IF(AND(ISNUMBER(C13),COUNTIFS($A$2:$A$301,A13,$C$2:$C$301,C13)&gt;1),"⚠ Nome repetido na mesma data. ","")&amp;IF(AND(ISNUMBER(C13),COUNTIFS(FÉRIAS!$A$2:$A$301,A13,FÉRIAS!$C$2:$C$301,"&lt;="&amp;C13,FÉRIAS!$D$2:$D$301,"&gt;="&amp;C13)&gt;0),IF(D13="TRABALHA","⚠ Está de férias e marcado TRABALHA. ","⚠ Já está de férias nesta data. "),"")&amp;IF(AND(ISNUMBER(C13),COUNTIFS(FOLGAS!$A$2:$A$301,A13,FOLGAS!$C$2:$C$301,C13)&gt;0),IF(D13="FOLGA","⚠ Folga também lançada na aba FOLGAS. ",IF(D13="TRABALHA","⚠ Marcado TRABALHA, mas tem folga na aba FOLGAS. ","")),"")&amp;IF(AND(ISNUMBER(C13),D13="FOLGA",B13&lt;&gt;"",COUNTIFS($B$2:$B$301,B13,$C$2:$C$301,C13,$D$2:$D$301,"TRABALHA")=0),"⚠ Ninguém do setor trabalhando nesta data. ","")))</f>
        <v/>
      </c>
    </row>
    <row r="14" customFormat="false" ht="15" hidden="false" customHeight="true" outlineLevel="0" collapsed="false">
      <c r="A14" s="54"/>
      <c r="B14" s="54"/>
      <c r="C14" s="53"/>
      <c r="D14" s="54"/>
      <c r="E14" s="54"/>
      <c r="F14" s="55" t="str">
        <f aca="false">IF(A14="","",TRIM(IF(NOT(ISNUMBER(C14)),"⚠ Falta a data. ","")&amp;IF(ISNUMBER(C14),IF(OR(AND(MONTH(C14)=12,DAY(C14)=31),AND(MONTH(C14)=1,DAY(C14)=1)),"","⚠ Data fora do Ano Novo (31/12 ou 01/01). "),"")&amp;IF(AND(ISNUMBER(C14),COUNTIFS($A$2:$A$301,A14,$C$2:$C$301,C14)&gt;1),"⚠ Nome repetido na mesma data. ","")&amp;IF(AND(ISNUMBER(C14),COUNTIFS(FÉRIAS!$A$2:$A$301,A14,FÉRIAS!$C$2:$C$301,"&lt;="&amp;C14,FÉRIAS!$D$2:$D$301,"&gt;="&amp;C14)&gt;0),IF(D14="TRABALHA","⚠ Está de férias e marcado TRABALHA. ","⚠ Já está de férias nesta data. "),"")&amp;IF(AND(ISNUMBER(C14),COUNTIFS(FOLGAS!$A$2:$A$301,A14,FOLGAS!$C$2:$C$301,C14)&gt;0),IF(D14="FOLGA","⚠ Folga também lançada na aba FOLGAS. ",IF(D14="TRABALHA","⚠ Marcado TRABALHA, mas tem folga na aba FOLGAS. ","")),"")&amp;IF(AND(ISNUMBER(C14),D14="FOLGA",B14&lt;&gt;"",COUNTIFS($B$2:$B$301,B14,$C$2:$C$301,C14,$D$2:$D$301,"TRABALHA")=0),"⚠ Ninguém do setor trabalhando nesta data. ","")))</f>
        <v/>
      </c>
    </row>
    <row r="15" customFormat="false" ht="15" hidden="false" customHeight="true" outlineLevel="0" collapsed="false">
      <c r="A15" s="54"/>
      <c r="B15" s="54"/>
      <c r="C15" s="53"/>
      <c r="D15" s="54"/>
      <c r="E15" s="54"/>
      <c r="F15" s="55" t="str">
        <f aca="false">IF(A15="","",TRIM(IF(NOT(ISNUMBER(C15)),"⚠ Falta a data. ","")&amp;IF(ISNUMBER(C15),IF(OR(AND(MONTH(C15)=12,DAY(C15)=31),AND(MONTH(C15)=1,DAY(C15)=1)),"","⚠ Data fora do Ano Novo (31/12 ou 01/01). "),"")&amp;IF(AND(ISNUMBER(C15),COUNTIFS($A$2:$A$301,A15,$C$2:$C$301,C15)&gt;1),"⚠ Nome repetido na mesma data. ","")&amp;IF(AND(ISNUMBER(C15),COUNTIFS(FÉRIAS!$A$2:$A$301,A15,FÉRIAS!$C$2:$C$301,"&lt;="&amp;C15,FÉRIAS!$D$2:$D$301,"&gt;="&amp;C15)&gt;0),IF(D15="TRABALHA","⚠ Está de férias e marcado TRABALHA. ","⚠ Já está de férias nesta data. "),"")&amp;IF(AND(ISNUMBER(C15),COUNTIFS(FOLGAS!$A$2:$A$301,A15,FOLGAS!$C$2:$C$301,C15)&gt;0),IF(D15="FOLGA","⚠ Folga também lançada na aba FOLGAS. ",IF(D15="TRABALHA","⚠ Marcado TRABALHA, mas tem folga na aba FOLGAS. ","")),"")&amp;IF(AND(ISNUMBER(C15),D15="FOLGA",B15&lt;&gt;"",COUNTIFS($B$2:$B$301,B15,$C$2:$C$301,C15,$D$2:$D$301,"TRABALHA")=0),"⚠ Ninguém do setor trabalhando nesta data. ","")))</f>
        <v/>
      </c>
    </row>
    <row r="16" customFormat="false" ht="15" hidden="false" customHeight="true" outlineLevel="0" collapsed="false">
      <c r="A16" s="54"/>
      <c r="B16" s="54"/>
      <c r="C16" s="53"/>
      <c r="D16" s="54"/>
      <c r="E16" s="54"/>
      <c r="F16" s="55" t="str">
        <f aca="false">IF(A16="","",TRIM(IF(NOT(ISNUMBER(C16)),"⚠ Falta a data. ","")&amp;IF(ISNUMBER(C16),IF(OR(AND(MONTH(C16)=12,DAY(C16)=31),AND(MONTH(C16)=1,DAY(C16)=1)),"","⚠ Data fora do Ano Novo (31/12 ou 01/01). "),"")&amp;IF(AND(ISNUMBER(C16),COUNTIFS($A$2:$A$301,A16,$C$2:$C$301,C16)&gt;1),"⚠ Nome repetido na mesma data. ","")&amp;IF(AND(ISNUMBER(C16),COUNTIFS(FÉRIAS!$A$2:$A$301,A16,FÉRIAS!$C$2:$C$301,"&lt;="&amp;C16,FÉRIAS!$D$2:$D$301,"&gt;="&amp;C16)&gt;0),IF(D16="TRABALHA","⚠ Está de férias e marcado TRABALHA. ","⚠ Já está de férias nesta data. "),"")&amp;IF(AND(ISNUMBER(C16),COUNTIFS(FOLGAS!$A$2:$A$301,A16,FOLGAS!$C$2:$C$301,C16)&gt;0),IF(D16="FOLGA","⚠ Folga também lançada na aba FOLGAS. ",IF(D16="TRABALHA","⚠ Marcado TRABALHA, mas tem folga na aba FOLGAS. ","")),"")&amp;IF(AND(ISNUMBER(C16),D16="FOLGA",B16&lt;&gt;"",COUNTIFS($B$2:$B$301,B16,$C$2:$C$301,C16,$D$2:$D$301,"TRABALHA")=0),"⚠ Ninguém do setor trabalhando nesta data. ","")))</f>
        <v/>
      </c>
    </row>
    <row r="17" customFormat="false" ht="15" hidden="false" customHeight="true" outlineLevel="0" collapsed="false">
      <c r="A17" s="54"/>
      <c r="B17" s="54"/>
      <c r="C17" s="53"/>
      <c r="D17" s="54"/>
      <c r="E17" s="54"/>
      <c r="F17" s="55" t="str">
        <f aca="false">IF(A17="","",TRIM(IF(NOT(ISNUMBER(C17)),"⚠ Falta a data. ","")&amp;IF(ISNUMBER(C17),IF(OR(AND(MONTH(C17)=12,DAY(C17)=31),AND(MONTH(C17)=1,DAY(C17)=1)),"","⚠ Data fora do Ano Novo (31/12 ou 01/01). "),"")&amp;IF(AND(ISNUMBER(C17),COUNTIFS($A$2:$A$301,A17,$C$2:$C$301,C17)&gt;1),"⚠ Nome repetido na mesma data. ","")&amp;IF(AND(ISNUMBER(C17),COUNTIFS(FÉRIAS!$A$2:$A$301,A17,FÉRIAS!$C$2:$C$301,"&lt;="&amp;C17,FÉRIAS!$D$2:$D$301,"&gt;="&amp;C17)&gt;0),IF(D17="TRABALHA","⚠ Está de férias e marcado TRABALHA. ","⚠ Já está de férias nesta data. "),"")&amp;IF(AND(ISNUMBER(C17),COUNTIFS(FOLGAS!$A$2:$A$301,A17,FOLGAS!$C$2:$C$301,C17)&gt;0),IF(D17="FOLGA","⚠ Folga também lançada na aba FOLGAS. ",IF(D17="TRABALHA","⚠ Marcado TRABALHA, mas tem folga na aba FOLGAS. ","")),"")&amp;IF(AND(ISNUMBER(C17),D17="FOLGA",B17&lt;&gt;"",COUNTIFS($B$2:$B$301,B17,$C$2:$C$301,C17,$D$2:$D$301,"TRABALHA")=0),"⚠ Ninguém do setor trabalhando nesta data. ","")))</f>
        <v/>
      </c>
    </row>
    <row r="18" customFormat="false" ht="15" hidden="false" customHeight="true" outlineLevel="0" collapsed="false">
      <c r="A18" s="54"/>
      <c r="B18" s="54"/>
      <c r="C18" s="53"/>
      <c r="D18" s="54"/>
      <c r="E18" s="54"/>
      <c r="F18" s="55" t="str">
        <f aca="false">IF(A18="","",TRIM(IF(NOT(ISNUMBER(C18)),"⚠ Falta a data. ","")&amp;IF(ISNUMBER(C18),IF(OR(AND(MONTH(C18)=12,DAY(C18)=31),AND(MONTH(C18)=1,DAY(C18)=1)),"","⚠ Data fora do Ano Novo (31/12 ou 01/01). "),"")&amp;IF(AND(ISNUMBER(C18),COUNTIFS($A$2:$A$301,A18,$C$2:$C$301,C18)&gt;1),"⚠ Nome repetido na mesma data. ","")&amp;IF(AND(ISNUMBER(C18),COUNTIFS(FÉRIAS!$A$2:$A$301,A18,FÉRIAS!$C$2:$C$301,"&lt;="&amp;C18,FÉRIAS!$D$2:$D$301,"&gt;="&amp;C18)&gt;0),IF(D18="TRABALHA","⚠ Está de férias e marcado TRABALHA. ","⚠ Já está de férias nesta data. "),"")&amp;IF(AND(ISNUMBER(C18),COUNTIFS(FOLGAS!$A$2:$A$301,A18,FOLGAS!$C$2:$C$301,C18)&gt;0),IF(D18="FOLGA","⚠ Folga também lançada na aba FOLGAS. ",IF(D18="TRABALHA","⚠ Marcado TRABALHA, mas tem folga na aba FOLGAS. ","")),"")&amp;IF(AND(ISNUMBER(C18),D18="FOLGA",B18&lt;&gt;"",COUNTIFS($B$2:$B$301,B18,$C$2:$C$301,C18,$D$2:$D$301,"TRABALHA")=0),"⚠ Ninguém do setor trabalhando nesta data. ","")))</f>
        <v/>
      </c>
    </row>
    <row r="19" customFormat="false" ht="15" hidden="false" customHeight="true" outlineLevel="0" collapsed="false">
      <c r="A19" s="54"/>
      <c r="B19" s="54"/>
      <c r="C19" s="53"/>
      <c r="D19" s="54"/>
      <c r="E19" s="54"/>
      <c r="F19" s="55" t="str">
        <f aca="false">IF(A19="","",TRIM(IF(NOT(ISNUMBER(C19)),"⚠ Falta a data. ","")&amp;IF(ISNUMBER(C19),IF(OR(AND(MONTH(C19)=12,DAY(C19)=31),AND(MONTH(C19)=1,DAY(C19)=1)),"","⚠ Data fora do Ano Novo (31/12 ou 01/01). "),"")&amp;IF(AND(ISNUMBER(C19),COUNTIFS($A$2:$A$301,A19,$C$2:$C$301,C19)&gt;1),"⚠ Nome repetido na mesma data. ","")&amp;IF(AND(ISNUMBER(C19),COUNTIFS(FÉRIAS!$A$2:$A$301,A19,FÉRIAS!$C$2:$C$301,"&lt;="&amp;C19,FÉRIAS!$D$2:$D$301,"&gt;="&amp;C19)&gt;0),IF(D19="TRABALHA","⚠ Está de férias e marcado TRABALHA. ","⚠ Já está de férias nesta data. "),"")&amp;IF(AND(ISNUMBER(C19),COUNTIFS(FOLGAS!$A$2:$A$301,A19,FOLGAS!$C$2:$C$301,C19)&gt;0),IF(D19="FOLGA","⚠ Folga também lançada na aba FOLGAS. ",IF(D19="TRABALHA","⚠ Marcado TRABALHA, mas tem folga na aba FOLGAS. ","")),"")&amp;IF(AND(ISNUMBER(C19),D19="FOLGA",B19&lt;&gt;"",COUNTIFS($B$2:$B$301,B19,$C$2:$C$301,C19,$D$2:$D$301,"TRABALHA")=0),"⚠ Ninguém do setor trabalhando nesta data. ","")))</f>
        <v/>
      </c>
    </row>
    <row r="20" customFormat="false" ht="15" hidden="false" customHeight="true" outlineLevel="0" collapsed="false">
      <c r="A20" s="54"/>
      <c r="B20" s="54"/>
      <c r="C20" s="53"/>
      <c r="D20" s="54"/>
      <c r="E20" s="54"/>
      <c r="F20" s="55" t="str">
        <f aca="false">IF(A20="","",TRIM(IF(NOT(ISNUMBER(C20)),"⚠ Falta a data. ","")&amp;IF(ISNUMBER(C20),IF(OR(AND(MONTH(C20)=12,DAY(C20)=31),AND(MONTH(C20)=1,DAY(C20)=1)),"","⚠ Data fora do Ano Novo (31/12 ou 01/01). "),"")&amp;IF(AND(ISNUMBER(C20),COUNTIFS($A$2:$A$301,A20,$C$2:$C$301,C20)&gt;1),"⚠ Nome repetido na mesma data. ","")&amp;IF(AND(ISNUMBER(C20),COUNTIFS(FÉRIAS!$A$2:$A$301,A20,FÉRIAS!$C$2:$C$301,"&lt;="&amp;C20,FÉRIAS!$D$2:$D$301,"&gt;="&amp;C20)&gt;0),IF(D20="TRABALHA","⚠ Está de férias e marcado TRABALHA. ","⚠ Já está de férias nesta data. "),"")&amp;IF(AND(ISNUMBER(C20),COUNTIFS(FOLGAS!$A$2:$A$301,A20,FOLGAS!$C$2:$C$301,C20)&gt;0),IF(D20="FOLGA","⚠ Folga também lançada na aba FOLGAS. ",IF(D20="TRABALHA","⚠ Marcado TRABALHA, mas tem folga na aba FOLGAS. ","")),"")&amp;IF(AND(ISNUMBER(C20),D20="FOLGA",B20&lt;&gt;"",COUNTIFS($B$2:$B$301,B20,$C$2:$C$301,C20,$D$2:$D$301,"TRABALHA")=0),"⚠ Ninguém do setor trabalhando nesta data. ","")))</f>
        <v/>
      </c>
    </row>
    <row r="21" customFormat="false" ht="15" hidden="false" customHeight="true" outlineLevel="0" collapsed="false">
      <c r="A21" s="54"/>
      <c r="B21" s="54"/>
      <c r="C21" s="53"/>
      <c r="D21" s="54"/>
      <c r="E21" s="54"/>
      <c r="F21" s="55" t="str">
        <f aca="false">IF(A21="","",TRIM(IF(NOT(ISNUMBER(C21)),"⚠ Falta a data. ","")&amp;IF(ISNUMBER(C21),IF(OR(AND(MONTH(C21)=12,DAY(C21)=31),AND(MONTH(C21)=1,DAY(C21)=1)),"","⚠ Data fora do Ano Novo (31/12 ou 01/01). "),"")&amp;IF(AND(ISNUMBER(C21),COUNTIFS($A$2:$A$301,A21,$C$2:$C$301,C21)&gt;1),"⚠ Nome repetido na mesma data. ","")&amp;IF(AND(ISNUMBER(C21),COUNTIFS(FÉRIAS!$A$2:$A$301,A21,FÉRIAS!$C$2:$C$301,"&lt;="&amp;C21,FÉRIAS!$D$2:$D$301,"&gt;="&amp;C21)&gt;0),IF(D21="TRABALHA","⚠ Está de férias e marcado TRABALHA. ","⚠ Já está de férias nesta data. "),"")&amp;IF(AND(ISNUMBER(C21),COUNTIFS(FOLGAS!$A$2:$A$301,A21,FOLGAS!$C$2:$C$301,C21)&gt;0),IF(D21="FOLGA","⚠ Folga também lançada na aba FOLGAS. ",IF(D21="TRABALHA","⚠ Marcado TRABALHA, mas tem folga na aba FOLGAS. ","")),"")&amp;IF(AND(ISNUMBER(C21),D21="FOLGA",B21&lt;&gt;"",COUNTIFS($B$2:$B$301,B21,$C$2:$C$301,C21,$D$2:$D$301,"TRABALHA")=0),"⚠ Ninguém do setor trabalhando nesta data. ","")))</f>
        <v/>
      </c>
    </row>
    <row r="22" customFormat="false" ht="15" hidden="false" customHeight="true" outlineLevel="0" collapsed="false">
      <c r="A22" s="54"/>
      <c r="B22" s="54"/>
      <c r="C22" s="53"/>
      <c r="D22" s="54"/>
      <c r="E22" s="54"/>
      <c r="F22" s="55" t="str">
        <f aca="false">IF(A22="","",TRIM(IF(NOT(ISNUMBER(C22)),"⚠ Falta a data. ","")&amp;IF(ISNUMBER(C22),IF(OR(AND(MONTH(C22)=12,DAY(C22)=31),AND(MONTH(C22)=1,DAY(C22)=1)),"","⚠ Data fora do Ano Novo (31/12 ou 01/01). "),"")&amp;IF(AND(ISNUMBER(C22),COUNTIFS($A$2:$A$301,A22,$C$2:$C$301,C22)&gt;1),"⚠ Nome repetido na mesma data. ","")&amp;IF(AND(ISNUMBER(C22),COUNTIFS(FÉRIAS!$A$2:$A$301,A22,FÉRIAS!$C$2:$C$301,"&lt;="&amp;C22,FÉRIAS!$D$2:$D$301,"&gt;="&amp;C22)&gt;0),IF(D22="TRABALHA","⚠ Está de férias e marcado TRABALHA. ","⚠ Já está de férias nesta data. "),"")&amp;IF(AND(ISNUMBER(C22),COUNTIFS(FOLGAS!$A$2:$A$301,A22,FOLGAS!$C$2:$C$301,C22)&gt;0),IF(D22="FOLGA","⚠ Folga também lançada na aba FOLGAS. ",IF(D22="TRABALHA","⚠ Marcado TRABALHA, mas tem folga na aba FOLGAS. ","")),"")&amp;IF(AND(ISNUMBER(C22),D22="FOLGA",B22&lt;&gt;"",COUNTIFS($B$2:$B$301,B22,$C$2:$C$301,C22,$D$2:$D$301,"TRABALHA")=0),"⚠ Ninguém do setor trabalhando nesta data. ","")))</f>
        <v/>
      </c>
    </row>
    <row r="23" customFormat="false" ht="15" hidden="false" customHeight="true" outlineLevel="0" collapsed="false">
      <c r="A23" s="54"/>
      <c r="B23" s="54"/>
      <c r="C23" s="53"/>
      <c r="D23" s="54"/>
      <c r="E23" s="54"/>
      <c r="F23" s="55" t="str">
        <f aca="false">IF(A23="","",TRIM(IF(NOT(ISNUMBER(C23)),"⚠ Falta a data. ","")&amp;IF(ISNUMBER(C23),IF(OR(AND(MONTH(C23)=12,DAY(C23)=31),AND(MONTH(C23)=1,DAY(C23)=1)),"","⚠ Data fora do Ano Novo (31/12 ou 01/01). "),"")&amp;IF(AND(ISNUMBER(C23),COUNTIFS($A$2:$A$301,A23,$C$2:$C$301,C23)&gt;1),"⚠ Nome repetido na mesma data. ","")&amp;IF(AND(ISNUMBER(C23),COUNTIFS(FÉRIAS!$A$2:$A$301,A23,FÉRIAS!$C$2:$C$301,"&lt;="&amp;C23,FÉRIAS!$D$2:$D$301,"&gt;="&amp;C23)&gt;0),IF(D23="TRABALHA","⚠ Está de férias e marcado TRABALHA. ","⚠ Já está de férias nesta data. "),"")&amp;IF(AND(ISNUMBER(C23),COUNTIFS(FOLGAS!$A$2:$A$301,A23,FOLGAS!$C$2:$C$301,C23)&gt;0),IF(D23="FOLGA","⚠ Folga também lançada na aba FOLGAS. ",IF(D23="TRABALHA","⚠ Marcado TRABALHA, mas tem folga na aba FOLGAS. ","")),"")&amp;IF(AND(ISNUMBER(C23),D23="FOLGA",B23&lt;&gt;"",COUNTIFS($B$2:$B$301,B23,$C$2:$C$301,C23,$D$2:$D$301,"TRABALHA")=0),"⚠ Ninguém do setor trabalhando nesta data. ","")))</f>
        <v/>
      </c>
    </row>
    <row r="24" customFormat="false" ht="15" hidden="false" customHeight="true" outlineLevel="0" collapsed="false">
      <c r="A24" s="54"/>
      <c r="B24" s="54"/>
      <c r="C24" s="53"/>
      <c r="D24" s="54"/>
      <c r="E24" s="54"/>
      <c r="F24" s="55" t="str">
        <f aca="false">IF(A24="","",TRIM(IF(NOT(ISNUMBER(C24)),"⚠ Falta a data. ","")&amp;IF(ISNUMBER(C24),IF(OR(AND(MONTH(C24)=12,DAY(C24)=31),AND(MONTH(C24)=1,DAY(C24)=1)),"","⚠ Data fora do Ano Novo (31/12 ou 01/01). "),"")&amp;IF(AND(ISNUMBER(C24),COUNTIFS($A$2:$A$301,A24,$C$2:$C$301,C24)&gt;1),"⚠ Nome repetido na mesma data. ","")&amp;IF(AND(ISNUMBER(C24),COUNTIFS(FÉRIAS!$A$2:$A$301,A24,FÉRIAS!$C$2:$C$301,"&lt;="&amp;C24,FÉRIAS!$D$2:$D$301,"&gt;="&amp;C24)&gt;0),IF(D24="TRABALHA","⚠ Está de férias e marcado TRABALHA. ","⚠ Já está de férias nesta data. "),"")&amp;IF(AND(ISNUMBER(C24),COUNTIFS(FOLGAS!$A$2:$A$301,A24,FOLGAS!$C$2:$C$301,C24)&gt;0),IF(D24="FOLGA","⚠ Folga também lançada na aba FOLGAS. ",IF(D24="TRABALHA","⚠ Marcado TRABALHA, mas tem folga na aba FOLGAS. ","")),"")&amp;IF(AND(ISNUMBER(C24),D24="FOLGA",B24&lt;&gt;"",COUNTIFS($B$2:$B$301,B24,$C$2:$C$301,C24,$D$2:$D$301,"TRABALHA")=0),"⚠ Ninguém do setor trabalhando nesta data. ","")))</f>
        <v/>
      </c>
    </row>
    <row r="25" customFormat="false" ht="15" hidden="false" customHeight="true" outlineLevel="0" collapsed="false">
      <c r="A25" s="54"/>
      <c r="B25" s="54"/>
      <c r="C25" s="53"/>
      <c r="D25" s="54"/>
      <c r="E25" s="54"/>
      <c r="F25" s="55" t="str">
        <f aca="false">IF(A25="","",TRIM(IF(NOT(ISNUMBER(C25)),"⚠ Falta a data. ","")&amp;IF(ISNUMBER(C25),IF(OR(AND(MONTH(C25)=12,DAY(C25)=31),AND(MONTH(C25)=1,DAY(C25)=1)),"","⚠ Data fora do Ano Novo (31/12 ou 01/01). "),"")&amp;IF(AND(ISNUMBER(C25),COUNTIFS($A$2:$A$301,A25,$C$2:$C$301,C25)&gt;1),"⚠ Nome repetido na mesma data. ","")&amp;IF(AND(ISNUMBER(C25),COUNTIFS(FÉRIAS!$A$2:$A$301,A25,FÉRIAS!$C$2:$C$301,"&lt;="&amp;C25,FÉRIAS!$D$2:$D$301,"&gt;="&amp;C25)&gt;0),IF(D25="TRABALHA","⚠ Está de férias e marcado TRABALHA. ","⚠ Já está de férias nesta data. "),"")&amp;IF(AND(ISNUMBER(C25),COUNTIFS(FOLGAS!$A$2:$A$301,A25,FOLGAS!$C$2:$C$301,C25)&gt;0),IF(D25="FOLGA","⚠ Folga também lançada na aba FOLGAS. ",IF(D25="TRABALHA","⚠ Marcado TRABALHA, mas tem folga na aba FOLGAS. ","")),"")&amp;IF(AND(ISNUMBER(C25),D25="FOLGA",B25&lt;&gt;"",COUNTIFS($B$2:$B$301,B25,$C$2:$C$301,C25,$D$2:$D$301,"TRABALHA")=0),"⚠ Ninguém do setor trabalhando nesta data. ","")))</f>
        <v/>
      </c>
    </row>
    <row r="26" customFormat="false" ht="15" hidden="false" customHeight="true" outlineLevel="0" collapsed="false">
      <c r="A26" s="54"/>
      <c r="B26" s="54"/>
      <c r="C26" s="53"/>
      <c r="D26" s="54"/>
      <c r="E26" s="54"/>
      <c r="F26" s="55" t="str">
        <f aca="false">IF(A26="","",TRIM(IF(NOT(ISNUMBER(C26)),"⚠ Falta a data. ","")&amp;IF(ISNUMBER(C26),IF(OR(AND(MONTH(C26)=12,DAY(C26)=31),AND(MONTH(C26)=1,DAY(C26)=1)),"","⚠ Data fora do Ano Novo (31/12 ou 01/01). "),"")&amp;IF(AND(ISNUMBER(C26),COUNTIFS($A$2:$A$301,A26,$C$2:$C$301,C26)&gt;1),"⚠ Nome repetido na mesma data. ","")&amp;IF(AND(ISNUMBER(C26),COUNTIFS(FÉRIAS!$A$2:$A$301,A26,FÉRIAS!$C$2:$C$301,"&lt;="&amp;C26,FÉRIAS!$D$2:$D$301,"&gt;="&amp;C26)&gt;0),IF(D26="TRABALHA","⚠ Está de férias e marcado TRABALHA. ","⚠ Já está de férias nesta data. "),"")&amp;IF(AND(ISNUMBER(C26),COUNTIFS(FOLGAS!$A$2:$A$301,A26,FOLGAS!$C$2:$C$301,C26)&gt;0),IF(D26="FOLGA","⚠ Folga também lançada na aba FOLGAS. ",IF(D26="TRABALHA","⚠ Marcado TRABALHA, mas tem folga na aba FOLGAS. ","")),"")&amp;IF(AND(ISNUMBER(C26),D26="FOLGA",B26&lt;&gt;"",COUNTIFS($B$2:$B$301,B26,$C$2:$C$301,C26,$D$2:$D$301,"TRABALHA")=0),"⚠ Ninguém do setor trabalhando nesta data. ","")))</f>
        <v/>
      </c>
    </row>
    <row r="27" customFormat="false" ht="15" hidden="false" customHeight="true" outlineLevel="0" collapsed="false">
      <c r="A27" s="54"/>
      <c r="B27" s="54"/>
      <c r="C27" s="53"/>
      <c r="D27" s="54"/>
      <c r="E27" s="54"/>
      <c r="F27" s="55" t="str">
        <f aca="false">IF(A27="","",TRIM(IF(NOT(ISNUMBER(C27)),"⚠ Falta a data. ","")&amp;IF(ISNUMBER(C27),IF(OR(AND(MONTH(C27)=12,DAY(C27)=31),AND(MONTH(C27)=1,DAY(C27)=1)),"","⚠ Data fora do Ano Novo (31/12 ou 01/01). "),"")&amp;IF(AND(ISNUMBER(C27),COUNTIFS($A$2:$A$301,A27,$C$2:$C$301,C27)&gt;1),"⚠ Nome repetido na mesma data. ","")&amp;IF(AND(ISNUMBER(C27),COUNTIFS(FÉRIAS!$A$2:$A$301,A27,FÉRIAS!$C$2:$C$301,"&lt;="&amp;C27,FÉRIAS!$D$2:$D$301,"&gt;="&amp;C27)&gt;0),IF(D27="TRABALHA","⚠ Está de férias e marcado TRABALHA. ","⚠ Já está de férias nesta data. "),"")&amp;IF(AND(ISNUMBER(C27),COUNTIFS(FOLGAS!$A$2:$A$301,A27,FOLGAS!$C$2:$C$301,C27)&gt;0),IF(D27="FOLGA","⚠ Folga também lançada na aba FOLGAS. ",IF(D27="TRABALHA","⚠ Marcado TRABALHA, mas tem folga na aba FOLGAS. ","")),"")&amp;IF(AND(ISNUMBER(C27),D27="FOLGA",B27&lt;&gt;"",COUNTIFS($B$2:$B$301,B27,$C$2:$C$301,C27,$D$2:$D$301,"TRABALHA")=0),"⚠ Ninguém do setor trabalhando nesta data. ","")))</f>
        <v/>
      </c>
    </row>
    <row r="28" customFormat="false" ht="15" hidden="false" customHeight="true" outlineLevel="0" collapsed="false">
      <c r="A28" s="54"/>
      <c r="B28" s="54"/>
      <c r="C28" s="53"/>
      <c r="D28" s="54"/>
      <c r="E28" s="54"/>
      <c r="F28" s="55" t="str">
        <f aca="false">IF(A28="","",TRIM(IF(NOT(ISNUMBER(C28)),"⚠ Falta a data. ","")&amp;IF(ISNUMBER(C28),IF(OR(AND(MONTH(C28)=12,DAY(C28)=31),AND(MONTH(C28)=1,DAY(C28)=1)),"","⚠ Data fora do Ano Novo (31/12 ou 01/01). "),"")&amp;IF(AND(ISNUMBER(C28),COUNTIFS($A$2:$A$301,A28,$C$2:$C$301,C28)&gt;1),"⚠ Nome repetido na mesma data. ","")&amp;IF(AND(ISNUMBER(C28),COUNTIFS(FÉRIAS!$A$2:$A$301,A28,FÉRIAS!$C$2:$C$301,"&lt;="&amp;C28,FÉRIAS!$D$2:$D$301,"&gt;="&amp;C28)&gt;0),IF(D28="TRABALHA","⚠ Está de férias e marcado TRABALHA. ","⚠ Já está de férias nesta data. "),"")&amp;IF(AND(ISNUMBER(C28),COUNTIFS(FOLGAS!$A$2:$A$301,A28,FOLGAS!$C$2:$C$301,C28)&gt;0),IF(D28="FOLGA","⚠ Folga também lançada na aba FOLGAS. ",IF(D28="TRABALHA","⚠ Marcado TRABALHA, mas tem folga na aba FOLGAS. ","")),"")&amp;IF(AND(ISNUMBER(C28),D28="FOLGA",B28&lt;&gt;"",COUNTIFS($B$2:$B$301,B28,$C$2:$C$301,C28,$D$2:$D$301,"TRABALHA")=0),"⚠ Ninguém do setor trabalhando nesta data. ","")))</f>
        <v/>
      </c>
    </row>
    <row r="29" customFormat="false" ht="15" hidden="false" customHeight="true" outlineLevel="0" collapsed="false">
      <c r="A29" s="54"/>
      <c r="B29" s="54"/>
      <c r="C29" s="53"/>
      <c r="D29" s="54"/>
      <c r="E29" s="54"/>
      <c r="F29" s="55" t="str">
        <f aca="false">IF(A29="","",TRIM(IF(NOT(ISNUMBER(C29)),"⚠ Falta a data. ","")&amp;IF(ISNUMBER(C29),IF(OR(AND(MONTH(C29)=12,DAY(C29)=31),AND(MONTH(C29)=1,DAY(C29)=1)),"","⚠ Data fora do Ano Novo (31/12 ou 01/01). "),"")&amp;IF(AND(ISNUMBER(C29),COUNTIFS($A$2:$A$301,A29,$C$2:$C$301,C29)&gt;1),"⚠ Nome repetido na mesma data. ","")&amp;IF(AND(ISNUMBER(C29),COUNTIFS(FÉRIAS!$A$2:$A$301,A29,FÉRIAS!$C$2:$C$301,"&lt;="&amp;C29,FÉRIAS!$D$2:$D$301,"&gt;="&amp;C29)&gt;0),IF(D29="TRABALHA","⚠ Está de férias e marcado TRABALHA. ","⚠ Já está de férias nesta data. "),"")&amp;IF(AND(ISNUMBER(C29),COUNTIFS(FOLGAS!$A$2:$A$301,A29,FOLGAS!$C$2:$C$301,C29)&gt;0),IF(D29="FOLGA","⚠ Folga também lançada na aba FOLGAS. ",IF(D29="TRABALHA","⚠ Marcado TRABALHA, mas tem folga na aba FOLGAS. ","")),"")&amp;IF(AND(ISNUMBER(C29),D29="FOLGA",B29&lt;&gt;"",COUNTIFS($B$2:$B$301,B29,$C$2:$C$301,C29,$D$2:$D$301,"TRABALHA")=0),"⚠ Ninguém do setor trabalhando nesta data. ","")))</f>
        <v/>
      </c>
    </row>
    <row r="30" customFormat="false" ht="15" hidden="false" customHeight="true" outlineLevel="0" collapsed="false">
      <c r="A30" s="54"/>
      <c r="B30" s="54"/>
      <c r="C30" s="53"/>
      <c r="D30" s="54"/>
      <c r="E30" s="54"/>
      <c r="F30" s="55" t="str">
        <f aca="false">IF(A30="","",TRIM(IF(NOT(ISNUMBER(C30)),"⚠ Falta a data. ","")&amp;IF(ISNUMBER(C30),IF(OR(AND(MONTH(C30)=12,DAY(C30)=31),AND(MONTH(C30)=1,DAY(C30)=1)),"","⚠ Data fora do Ano Novo (31/12 ou 01/01). "),"")&amp;IF(AND(ISNUMBER(C30),COUNTIFS($A$2:$A$301,A30,$C$2:$C$301,C30)&gt;1),"⚠ Nome repetido na mesma data. ","")&amp;IF(AND(ISNUMBER(C30),COUNTIFS(FÉRIAS!$A$2:$A$301,A30,FÉRIAS!$C$2:$C$301,"&lt;="&amp;C30,FÉRIAS!$D$2:$D$301,"&gt;="&amp;C30)&gt;0),IF(D30="TRABALHA","⚠ Está de férias e marcado TRABALHA. ","⚠ Já está de férias nesta data. "),"")&amp;IF(AND(ISNUMBER(C30),COUNTIFS(FOLGAS!$A$2:$A$301,A30,FOLGAS!$C$2:$C$301,C30)&gt;0),IF(D30="FOLGA","⚠ Folga também lançada na aba FOLGAS. ",IF(D30="TRABALHA","⚠ Marcado TRABALHA, mas tem folga na aba FOLGAS. ","")),"")&amp;IF(AND(ISNUMBER(C30),D30="FOLGA",B30&lt;&gt;"",COUNTIFS($B$2:$B$301,B30,$C$2:$C$301,C30,$D$2:$D$301,"TRABALHA")=0),"⚠ Ninguém do setor trabalhando nesta data. ","")))</f>
        <v/>
      </c>
    </row>
    <row r="31" customFormat="false" ht="15" hidden="false" customHeight="true" outlineLevel="0" collapsed="false">
      <c r="A31" s="54"/>
      <c r="B31" s="54"/>
      <c r="C31" s="53"/>
      <c r="D31" s="54"/>
      <c r="E31" s="54"/>
      <c r="F31" s="55" t="str">
        <f aca="false">IF(A31="","",TRIM(IF(NOT(ISNUMBER(C31)),"⚠ Falta a data. ","")&amp;IF(ISNUMBER(C31),IF(OR(AND(MONTH(C31)=12,DAY(C31)=31),AND(MONTH(C31)=1,DAY(C31)=1)),"","⚠ Data fora do Ano Novo (31/12 ou 01/01). "),"")&amp;IF(AND(ISNUMBER(C31),COUNTIFS($A$2:$A$301,A31,$C$2:$C$301,C31)&gt;1),"⚠ Nome repetido na mesma data. ","")&amp;IF(AND(ISNUMBER(C31),COUNTIFS(FÉRIAS!$A$2:$A$301,A31,FÉRIAS!$C$2:$C$301,"&lt;="&amp;C31,FÉRIAS!$D$2:$D$301,"&gt;="&amp;C31)&gt;0),IF(D31="TRABALHA","⚠ Está de férias e marcado TRABALHA. ","⚠ Já está de férias nesta data. "),"")&amp;IF(AND(ISNUMBER(C31),COUNTIFS(FOLGAS!$A$2:$A$301,A31,FOLGAS!$C$2:$C$301,C31)&gt;0),IF(D31="FOLGA","⚠ Folga também lançada na aba FOLGAS. ",IF(D31="TRABALHA","⚠ Marcado TRABALHA, mas tem folga na aba FOLGAS. ","")),"")&amp;IF(AND(ISNUMBER(C31),D31="FOLGA",B31&lt;&gt;"",COUNTIFS($B$2:$B$301,B31,$C$2:$C$301,C31,$D$2:$D$301,"TRABALHA")=0),"⚠ Ninguém do setor trabalhando nesta data. ","")))</f>
        <v/>
      </c>
    </row>
    <row r="32" customFormat="false" ht="15" hidden="false" customHeight="true" outlineLevel="0" collapsed="false">
      <c r="A32" s="54"/>
      <c r="B32" s="54"/>
      <c r="C32" s="53"/>
      <c r="D32" s="54"/>
      <c r="E32" s="54"/>
      <c r="F32" s="55" t="str">
        <f aca="false">IF(A32="","",TRIM(IF(NOT(ISNUMBER(C32)),"⚠ Falta a data. ","")&amp;IF(ISNUMBER(C32),IF(OR(AND(MONTH(C32)=12,DAY(C32)=31),AND(MONTH(C32)=1,DAY(C32)=1)),"","⚠ Data fora do Ano Novo (31/12 ou 01/01). "),"")&amp;IF(AND(ISNUMBER(C32),COUNTIFS($A$2:$A$301,A32,$C$2:$C$301,C32)&gt;1),"⚠ Nome repetido na mesma data. ","")&amp;IF(AND(ISNUMBER(C32),COUNTIFS(FÉRIAS!$A$2:$A$301,A32,FÉRIAS!$C$2:$C$301,"&lt;="&amp;C32,FÉRIAS!$D$2:$D$301,"&gt;="&amp;C32)&gt;0),IF(D32="TRABALHA","⚠ Está de férias e marcado TRABALHA. ","⚠ Já está de férias nesta data. "),"")&amp;IF(AND(ISNUMBER(C32),COUNTIFS(FOLGAS!$A$2:$A$301,A32,FOLGAS!$C$2:$C$301,C32)&gt;0),IF(D32="FOLGA","⚠ Folga também lançada na aba FOLGAS. ",IF(D32="TRABALHA","⚠ Marcado TRABALHA, mas tem folga na aba FOLGAS. ","")),"")&amp;IF(AND(ISNUMBER(C32),D32="FOLGA",B32&lt;&gt;"",COUNTIFS($B$2:$B$301,B32,$C$2:$C$301,C32,$D$2:$D$301,"TRABALHA")=0),"⚠ Ninguém do setor trabalhando nesta data. ","")))</f>
        <v/>
      </c>
    </row>
    <row r="33" customFormat="false" ht="15" hidden="false" customHeight="true" outlineLevel="0" collapsed="false">
      <c r="A33" s="54"/>
      <c r="B33" s="54"/>
      <c r="C33" s="53"/>
      <c r="D33" s="54"/>
      <c r="E33" s="54"/>
      <c r="F33" s="55" t="str">
        <f aca="false">IF(A33="","",TRIM(IF(NOT(ISNUMBER(C33)),"⚠ Falta a data. ","")&amp;IF(ISNUMBER(C33),IF(OR(AND(MONTH(C33)=12,DAY(C33)=31),AND(MONTH(C33)=1,DAY(C33)=1)),"","⚠ Data fora do Ano Novo (31/12 ou 01/01). "),"")&amp;IF(AND(ISNUMBER(C33),COUNTIFS($A$2:$A$301,A33,$C$2:$C$301,C33)&gt;1),"⚠ Nome repetido na mesma data. ","")&amp;IF(AND(ISNUMBER(C33),COUNTIFS(FÉRIAS!$A$2:$A$301,A33,FÉRIAS!$C$2:$C$301,"&lt;="&amp;C33,FÉRIAS!$D$2:$D$301,"&gt;="&amp;C33)&gt;0),IF(D33="TRABALHA","⚠ Está de férias e marcado TRABALHA. ","⚠ Já está de férias nesta data. "),"")&amp;IF(AND(ISNUMBER(C33),COUNTIFS(FOLGAS!$A$2:$A$301,A33,FOLGAS!$C$2:$C$301,C33)&gt;0),IF(D33="FOLGA","⚠ Folga também lançada na aba FOLGAS. ",IF(D33="TRABALHA","⚠ Marcado TRABALHA, mas tem folga na aba FOLGAS. ","")),"")&amp;IF(AND(ISNUMBER(C33),D33="FOLGA",B33&lt;&gt;"",COUNTIFS($B$2:$B$301,B33,$C$2:$C$301,C33,$D$2:$D$301,"TRABALHA")=0),"⚠ Ninguém do setor trabalhando nesta data. ","")))</f>
        <v/>
      </c>
    </row>
    <row r="34" customFormat="false" ht="15" hidden="false" customHeight="true" outlineLevel="0" collapsed="false">
      <c r="A34" s="54"/>
      <c r="B34" s="54"/>
      <c r="C34" s="53"/>
      <c r="D34" s="54"/>
      <c r="E34" s="54"/>
      <c r="F34" s="55" t="str">
        <f aca="false">IF(A34="","",TRIM(IF(NOT(ISNUMBER(C34)),"⚠ Falta a data. ","")&amp;IF(ISNUMBER(C34),IF(OR(AND(MONTH(C34)=12,DAY(C34)=31),AND(MONTH(C34)=1,DAY(C34)=1)),"","⚠ Data fora do Ano Novo (31/12 ou 01/01). "),"")&amp;IF(AND(ISNUMBER(C34),COUNTIFS($A$2:$A$301,A34,$C$2:$C$301,C34)&gt;1),"⚠ Nome repetido na mesma data. ","")&amp;IF(AND(ISNUMBER(C34),COUNTIFS(FÉRIAS!$A$2:$A$301,A34,FÉRIAS!$C$2:$C$301,"&lt;="&amp;C34,FÉRIAS!$D$2:$D$301,"&gt;="&amp;C34)&gt;0),IF(D34="TRABALHA","⚠ Está de férias e marcado TRABALHA. ","⚠ Já está de férias nesta data. "),"")&amp;IF(AND(ISNUMBER(C34),COUNTIFS(FOLGAS!$A$2:$A$301,A34,FOLGAS!$C$2:$C$301,C34)&gt;0),IF(D34="FOLGA","⚠ Folga também lançada na aba FOLGAS. ",IF(D34="TRABALHA","⚠ Marcado TRABALHA, mas tem folga na aba FOLGAS. ","")),"")&amp;IF(AND(ISNUMBER(C34),D34="FOLGA",B34&lt;&gt;"",COUNTIFS($B$2:$B$301,B34,$C$2:$C$301,C34,$D$2:$D$301,"TRABALHA")=0),"⚠ Ninguém do setor trabalhando nesta data. ","")))</f>
        <v/>
      </c>
    </row>
    <row r="35" customFormat="false" ht="15" hidden="false" customHeight="true" outlineLevel="0" collapsed="false">
      <c r="A35" s="54"/>
      <c r="B35" s="54"/>
      <c r="C35" s="53"/>
      <c r="D35" s="54"/>
      <c r="E35" s="54"/>
      <c r="F35" s="55" t="str">
        <f aca="false">IF(A35="","",TRIM(IF(NOT(ISNUMBER(C35)),"⚠ Falta a data. ","")&amp;IF(ISNUMBER(C35),IF(OR(AND(MONTH(C35)=12,DAY(C35)=31),AND(MONTH(C35)=1,DAY(C35)=1)),"","⚠ Data fora do Ano Novo (31/12 ou 01/01). "),"")&amp;IF(AND(ISNUMBER(C35),COUNTIFS($A$2:$A$301,A35,$C$2:$C$301,C35)&gt;1),"⚠ Nome repetido na mesma data. ","")&amp;IF(AND(ISNUMBER(C35),COUNTIFS(FÉRIAS!$A$2:$A$301,A35,FÉRIAS!$C$2:$C$301,"&lt;="&amp;C35,FÉRIAS!$D$2:$D$301,"&gt;="&amp;C35)&gt;0),IF(D35="TRABALHA","⚠ Está de férias e marcado TRABALHA. ","⚠ Já está de férias nesta data. "),"")&amp;IF(AND(ISNUMBER(C35),COUNTIFS(FOLGAS!$A$2:$A$301,A35,FOLGAS!$C$2:$C$301,C35)&gt;0),IF(D35="FOLGA","⚠ Folga também lançada na aba FOLGAS. ",IF(D35="TRABALHA","⚠ Marcado TRABALHA, mas tem folga na aba FOLGAS. ","")),"")&amp;IF(AND(ISNUMBER(C35),D35="FOLGA",B35&lt;&gt;"",COUNTIFS($B$2:$B$301,B35,$C$2:$C$301,C35,$D$2:$D$301,"TRABALHA")=0),"⚠ Ninguém do setor trabalhando nesta data. ","")))</f>
        <v/>
      </c>
    </row>
    <row r="36" customFormat="false" ht="15" hidden="false" customHeight="true" outlineLevel="0" collapsed="false">
      <c r="A36" s="54"/>
      <c r="B36" s="54"/>
      <c r="C36" s="53"/>
      <c r="D36" s="54"/>
      <c r="E36" s="54"/>
      <c r="F36" s="55" t="str">
        <f aca="false">IF(A36="","",TRIM(IF(NOT(ISNUMBER(C36)),"⚠ Falta a data. ","")&amp;IF(ISNUMBER(C36),IF(OR(AND(MONTH(C36)=12,DAY(C36)=31),AND(MONTH(C36)=1,DAY(C36)=1)),"","⚠ Data fora do Ano Novo (31/12 ou 01/01). "),"")&amp;IF(AND(ISNUMBER(C36),COUNTIFS($A$2:$A$301,A36,$C$2:$C$301,C36)&gt;1),"⚠ Nome repetido na mesma data. ","")&amp;IF(AND(ISNUMBER(C36),COUNTIFS(FÉRIAS!$A$2:$A$301,A36,FÉRIAS!$C$2:$C$301,"&lt;="&amp;C36,FÉRIAS!$D$2:$D$301,"&gt;="&amp;C36)&gt;0),IF(D36="TRABALHA","⚠ Está de férias e marcado TRABALHA. ","⚠ Já está de férias nesta data. "),"")&amp;IF(AND(ISNUMBER(C36),COUNTIFS(FOLGAS!$A$2:$A$301,A36,FOLGAS!$C$2:$C$301,C36)&gt;0),IF(D36="FOLGA","⚠ Folga também lançada na aba FOLGAS. ",IF(D36="TRABALHA","⚠ Marcado TRABALHA, mas tem folga na aba FOLGAS. ","")),"")&amp;IF(AND(ISNUMBER(C36),D36="FOLGA",B36&lt;&gt;"",COUNTIFS($B$2:$B$301,B36,$C$2:$C$301,C36,$D$2:$D$301,"TRABALHA")=0),"⚠ Ninguém do setor trabalhando nesta data. ","")))</f>
        <v/>
      </c>
    </row>
    <row r="37" customFormat="false" ht="15" hidden="false" customHeight="true" outlineLevel="0" collapsed="false">
      <c r="A37" s="54"/>
      <c r="B37" s="54"/>
      <c r="C37" s="53"/>
      <c r="D37" s="54"/>
      <c r="E37" s="54"/>
      <c r="F37" s="55" t="str">
        <f aca="false">IF(A37="","",TRIM(IF(NOT(ISNUMBER(C37)),"⚠ Falta a data. ","")&amp;IF(ISNUMBER(C37),IF(OR(AND(MONTH(C37)=12,DAY(C37)=31),AND(MONTH(C37)=1,DAY(C37)=1)),"","⚠ Data fora do Ano Novo (31/12 ou 01/01). "),"")&amp;IF(AND(ISNUMBER(C37),COUNTIFS($A$2:$A$301,A37,$C$2:$C$301,C37)&gt;1),"⚠ Nome repetido na mesma data. ","")&amp;IF(AND(ISNUMBER(C37),COUNTIFS(FÉRIAS!$A$2:$A$301,A37,FÉRIAS!$C$2:$C$301,"&lt;="&amp;C37,FÉRIAS!$D$2:$D$301,"&gt;="&amp;C37)&gt;0),IF(D37="TRABALHA","⚠ Está de férias e marcado TRABALHA. ","⚠ Já está de férias nesta data. "),"")&amp;IF(AND(ISNUMBER(C37),COUNTIFS(FOLGAS!$A$2:$A$301,A37,FOLGAS!$C$2:$C$301,C37)&gt;0),IF(D37="FOLGA","⚠ Folga também lançada na aba FOLGAS. ",IF(D37="TRABALHA","⚠ Marcado TRABALHA, mas tem folga na aba FOLGAS. ","")),"")&amp;IF(AND(ISNUMBER(C37),D37="FOLGA",B37&lt;&gt;"",COUNTIFS($B$2:$B$301,B37,$C$2:$C$301,C37,$D$2:$D$301,"TRABALHA")=0),"⚠ Ninguém do setor trabalhando nesta data. ","")))</f>
        <v/>
      </c>
    </row>
    <row r="38" customFormat="false" ht="15" hidden="false" customHeight="true" outlineLevel="0" collapsed="false">
      <c r="A38" s="54"/>
      <c r="B38" s="54"/>
      <c r="C38" s="53"/>
      <c r="D38" s="54"/>
      <c r="E38" s="54"/>
      <c r="F38" s="55" t="str">
        <f aca="false">IF(A38="","",TRIM(IF(NOT(ISNUMBER(C38)),"⚠ Falta a data. ","")&amp;IF(ISNUMBER(C38),IF(OR(AND(MONTH(C38)=12,DAY(C38)=31),AND(MONTH(C38)=1,DAY(C38)=1)),"","⚠ Data fora do Ano Novo (31/12 ou 01/01). "),"")&amp;IF(AND(ISNUMBER(C38),COUNTIFS($A$2:$A$301,A38,$C$2:$C$301,C38)&gt;1),"⚠ Nome repetido na mesma data. ","")&amp;IF(AND(ISNUMBER(C38),COUNTIFS(FÉRIAS!$A$2:$A$301,A38,FÉRIAS!$C$2:$C$301,"&lt;="&amp;C38,FÉRIAS!$D$2:$D$301,"&gt;="&amp;C38)&gt;0),IF(D38="TRABALHA","⚠ Está de férias e marcado TRABALHA. ","⚠ Já está de férias nesta data. "),"")&amp;IF(AND(ISNUMBER(C38),COUNTIFS(FOLGAS!$A$2:$A$301,A38,FOLGAS!$C$2:$C$301,C38)&gt;0),IF(D38="FOLGA","⚠ Folga também lançada na aba FOLGAS. ",IF(D38="TRABALHA","⚠ Marcado TRABALHA, mas tem folga na aba FOLGAS. ","")),"")&amp;IF(AND(ISNUMBER(C38),D38="FOLGA",B38&lt;&gt;"",COUNTIFS($B$2:$B$301,B38,$C$2:$C$301,C38,$D$2:$D$301,"TRABALHA")=0),"⚠ Ninguém do setor trabalhando nesta data. ","")))</f>
        <v/>
      </c>
    </row>
    <row r="39" customFormat="false" ht="15" hidden="false" customHeight="true" outlineLevel="0" collapsed="false">
      <c r="A39" s="54"/>
      <c r="B39" s="54"/>
      <c r="C39" s="53"/>
      <c r="D39" s="54"/>
      <c r="E39" s="54"/>
      <c r="F39" s="55" t="str">
        <f aca="false">IF(A39="","",TRIM(IF(NOT(ISNUMBER(C39)),"⚠ Falta a data. ","")&amp;IF(ISNUMBER(C39),IF(OR(AND(MONTH(C39)=12,DAY(C39)=31),AND(MONTH(C39)=1,DAY(C39)=1)),"","⚠ Data fora do Ano Novo (31/12 ou 01/01). "),"")&amp;IF(AND(ISNUMBER(C39),COUNTIFS($A$2:$A$301,A39,$C$2:$C$301,C39)&gt;1),"⚠ Nome repetido na mesma data. ","")&amp;IF(AND(ISNUMBER(C39),COUNTIFS(FÉRIAS!$A$2:$A$301,A39,FÉRIAS!$C$2:$C$301,"&lt;="&amp;C39,FÉRIAS!$D$2:$D$301,"&gt;="&amp;C39)&gt;0),IF(D39="TRABALHA","⚠ Está de férias e marcado TRABALHA. ","⚠ Já está de férias nesta data. "),"")&amp;IF(AND(ISNUMBER(C39),COUNTIFS(FOLGAS!$A$2:$A$301,A39,FOLGAS!$C$2:$C$301,C39)&gt;0),IF(D39="FOLGA","⚠ Folga também lançada na aba FOLGAS. ",IF(D39="TRABALHA","⚠ Marcado TRABALHA, mas tem folga na aba FOLGAS. ","")),"")&amp;IF(AND(ISNUMBER(C39),D39="FOLGA",B39&lt;&gt;"",COUNTIFS($B$2:$B$301,B39,$C$2:$C$301,C39,$D$2:$D$301,"TRABALHA")=0),"⚠ Ninguém do setor trabalhando nesta data. ","")))</f>
        <v/>
      </c>
    </row>
    <row r="40" customFormat="false" ht="15" hidden="false" customHeight="true" outlineLevel="0" collapsed="false">
      <c r="A40" s="54"/>
      <c r="B40" s="54"/>
      <c r="C40" s="53"/>
      <c r="D40" s="54"/>
      <c r="E40" s="54"/>
      <c r="F40" s="55" t="str">
        <f aca="false">IF(A40="","",TRIM(IF(NOT(ISNUMBER(C40)),"⚠ Falta a data. ","")&amp;IF(ISNUMBER(C40),IF(OR(AND(MONTH(C40)=12,DAY(C40)=31),AND(MONTH(C40)=1,DAY(C40)=1)),"","⚠ Data fora do Ano Novo (31/12 ou 01/01). "),"")&amp;IF(AND(ISNUMBER(C40),COUNTIFS($A$2:$A$301,A40,$C$2:$C$301,C40)&gt;1),"⚠ Nome repetido na mesma data. ","")&amp;IF(AND(ISNUMBER(C40),COUNTIFS(FÉRIAS!$A$2:$A$301,A40,FÉRIAS!$C$2:$C$301,"&lt;="&amp;C40,FÉRIAS!$D$2:$D$301,"&gt;="&amp;C40)&gt;0),IF(D40="TRABALHA","⚠ Está de férias e marcado TRABALHA. ","⚠ Já está de férias nesta data. "),"")&amp;IF(AND(ISNUMBER(C40),COUNTIFS(FOLGAS!$A$2:$A$301,A40,FOLGAS!$C$2:$C$301,C40)&gt;0),IF(D40="FOLGA","⚠ Folga também lançada na aba FOLGAS. ",IF(D40="TRABALHA","⚠ Marcado TRABALHA, mas tem folga na aba FOLGAS. ","")),"")&amp;IF(AND(ISNUMBER(C40),D40="FOLGA",B40&lt;&gt;"",COUNTIFS($B$2:$B$301,B40,$C$2:$C$301,C40,$D$2:$D$301,"TRABALHA")=0),"⚠ Ninguém do setor trabalhando nesta data. ","")))</f>
        <v/>
      </c>
    </row>
    <row r="41" customFormat="false" ht="15" hidden="false" customHeight="true" outlineLevel="0" collapsed="false">
      <c r="A41" s="54"/>
      <c r="B41" s="54"/>
      <c r="C41" s="53"/>
      <c r="D41" s="54"/>
      <c r="E41" s="54"/>
      <c r="F41" s="55" t="str">
        <f aca="false">IF(A41="","",TRIM(IF(NOT(ISNUMBER(C41)),"⚠ Falta a data. ","")&amp;IF(ISNUMBER(C41),IF(OR(AND(MONTH(C41)=12,DAY(C41)=31),AND(MONTH(C41)=1,DAY(C41)=1)),"","⚠ Data fora do Ano Novo (31/12 ou 01/01). "),"")&amp;IF(AND(ISNUMBER(C41),COUNTIFS($A$2:$A$301,A41,$C$2:$C$301,C41)&gt;1),"⚠ Nome repetido na mesma data. ","")&amp;IF(AND(ISNUMBER(C41),COUNTIFS(FÉRIAS!$A$2:$A$301,A41,FÉRIAS!$C$2:$C$301,"&lt;="&amp;C41,FÉRIAS!$D$2:$D$301,"&gt;="&amp;C41)&gt;0),IF(D41="TRABALHA","⚠ Está de férias e marcado TRABALHA. ","⚠ Já está de férias nesta data. "),"")&amp;IF(AND(ISNUMBER(C41),COUNTIFS(FOLGAS!$A$2:$A$301,A41,FOLGAS!$C$2:$C$301,C41)&gt;0),IF(D41="FOLGA","⚠ Folga também lançada na aba FOLGAS. ",IF(D41="TRABALHA","⚠ Marcado TRABALHA, mas tem folga na aba FOLGAS. ","")),"")&amp;IF(AND(ISNUMBER(C41),D41="FOLGA",B41&lt;&gt;"",COUNTIFS($B$2:$B$301,B41,$C$2:$C$301,C41,$D$2:$D$301,"TRABALHA")=0),"⚠ Ninguém do setor trabalhando nesta data. ","")))</f>
        <v/>
      </c>
    </row>
    <row r="42" customFormat="false" ht="15" hidden="false" customHeight="true" outlineLevel="0" collapsed="false">
      <c r="A42" s="54"/>
      <c r="B42" s="54"/>
      <c r="C42" s="53"/>
      <c r="D42" s="54"/>
      <c r="E42" s="54"/>
      <c r="F42" s="55" t="str">
        <f aca="false">IF(A42="","",TRIM(IF(NOT(ISNUMBER(C42)),"⚠ Falta a data. ","")&amp;IF(ISNUMBER(C42),IF(OR(AND(MONTH(C42)=12,DAY(C42)=31),AND(MONTH(C42)=1,DAY(C42)=1)),"","⚠ Data fora do Ano Novo (31/12 ou 01/01). "),"")&amp;IF(AND(ISNUMBER(C42),COUNTIFS($A$2:$A$301,A42,$C$2:$C$301,C42)&gt;1),"⚠ Nome repetido na mesma data. ","")&amp;IF(AND(ISNUMBER(C42),COUNTIFS(FÉRIAS!$A$2:$A$301,A42,FÉRIAS!$C$2:$C$301,"&lt;="&amp;C42,FÉRIAS!$D$2:$D$301,"&gt;="&amp;C42)&gt;0),IF(D42="TRABALHA","⚠ Está de férias e marcado TRABALHA. ","⚠ Já está de férias nesta data. "),"")&amp;IF(AND(ISNUMBER(C42),COUNTIFS(FOLGAS!$A$2:$A$301,A42,FOLGAS!$C$2:$C$301,C42)&gt;0),IF(D42="FOLGA","⚠ Folga também lançada na aba FOLGAS. ",IF(D42="TRABALHA","⚠ Marcado TRABALHA, mas tem folga na aba FOLGAS. ","")),"")&amp;IF(AND(ISNUMBER(C42),D42="FOLGA",B42&lt;&gt;"",COUNTIFS($B$2:$B$301,B42,$C$2:$C$301,C42,$D$2:$D$301,"TRABALHA")=0),"⚠ Ninguém do setor trabalhando nesta data. ","")))</f>
        <v/>
      </c>
    </row>
    <row r="43" customFormat="false" ht="15" hidden="false" customHeight="true" outlineLevel="0" collapsed="false">
      <c r="A43" s="54"/>
      <c r="B43" s="54"/>
      <c r="C43" s="53"/>
      <c r="D43" s="54"/>
      <c r="E43" s="54"/>
      <c r="F43" s="55" t="str">
        <f aca="false">IF(A43="","",TRIM(IF(NOT(ISNUMBER(C43)),"⚠ Falta a data. ","")&amp;IF(ISNUMBER(C43),IF(OR(AND(MONTH(C43)=12,DAY(C43)=31),AND(MONTH(C43)=1,DAY(C43)=1)),"","⚠ Data fora do Ano Novo (31/12 ou 01/01). "),"")&amp;IF(AND(ISNUMBER(C43),COUNTIFS($A$2:$A$301,A43,$C$2:$C$301,C43)&gt;1),"⚠ Nome repetido na mesma data. ","")&amp;IF(AND(ISNUMBER(C43),COUNTIFS(FÉRIAS!$A$2:$A$301,A43,FÉRIAS!$C$2:$C$301,"&lt;="&amp;C43,FÉRIAS!$D$2:$D$301,"&gt;="&amp;C43)&gt;0),IF(D43="TRABALHA","⚠ Está de férias e marcado TRABALHA. ","⚠ Já está de férias nesta data. "),"")&amp;IF(AND(ISNUMBER(C43),COUNTIFS(FOLGAS!$A$2:$A$301,A43,FOLGAS!$C$2:$C$301,C43)&gt;0),IF(D43="FOLGA","⚠ Folga também lançada na aba FOLGAS. ",IF(D43="TRABALHA","⚠ Marcado TRABALHA, mas tem folga na aba FOLGAS. ","")),"")&amp;IF(AND(ISNUMBER(C43),D43="FOLGA",B43&lt;&gt;"",COUNTIFS($B$2:$B$301,B43,$C$2:$C$301,C43,$D$2:$D$301,"TRABALHA")=0),"⚠ Ninguém do setor trabalhando nesta data. ","")))</f>
        <v/>
      </c>
    </row>
    <row r="44" customFormat="false" ht="15" hidden="false" customHeight="true" outlineLevel="0" collapsed="false">
      <c r="A44" s="54"/>
      <c r="B44" s="54"/>
      <c r="C44" s="53"/>
      <c r="D44" s="54"/>
      <c r="E44" s="54"/>
      <c r="F44" s="55" t="str">
        <f aca="false">IF(A44="","",TRIM(IF(NOT(ISNUMBER(C44)),"⚠ Falta a data. ","")&amp;IF(ISNUMBER(C44),IF(OR(AND(MONTH(C44)=12,DAY(C44)=31),AND(MONTH(C44)=1,DAY(C44)=1)),"","⚠ Data fora do Ano Novo (31/12 ou 01/01). "),"")&amp;IF(AND(ISNUMBER(C44),COUNTIFS($A$2:$A$301,A44,$C$2:$C$301,C44)&gt;1),"⚠ Nome repetido na mesma data. ","")&amp;IF(AND(ISNUMBER(C44),COUNTIFS(FÉRIAS!$A$2:$A$301,A44,FÉRIAS!$C$2:$C$301,"&lt;="&amp;C44,FÉRIAS!$D$2:$D$301,"&gt;="&amp;C44)&gt;0),IF(D44="TRABALHA","⚠ Está de férias e marcado TRABALHA. ","⚠ Já está de férias nesta data. "),"")&amp;IF(AND(ISNUMBER(C44),COUNTIFS(FOLGAS!$A$2:$A$301,A44,FOLGAS!$C$2:$C$301,C44)&gt;0),IF(D44="FOLGA","⚠ Folga também lançada na aba FOLGAS. ",IF(D44="TRABALHA","⚠ Marcado TRABALHA, mas tem folga na aba FOLGAS. ","")),"")&amp;IF(AND(ISNUMBER(C44),D44="FOLGA",B44&lt;&gt;"",COUNTIFS($B$2:$B$301,B44,$C$2:$C$301,C44,$D$2:$D$301,"TRABALHA")=0),"⚠ Ninguém do setor trabalhando nesta data. ","")))</f>
        <v/>
      </c>
    </row>
    <row r="45" customFormat="false" ht="15" hidden="false" customHeight="true" outlineLevel="0" collapsed="false">
      <c r="A45" s="54"/>
      <c r="B45" s="54"/>
      <c r="C45" s="53"/>
      <c r="D45" s="54"/>
      <c r="E45" s="54"/>
      <c r="F45" s="55" t="str">
        <f aca="false">IF(A45="","",TRIM(IF(NOT(ISNUMBER(C45)),"⚠ Falta a data. ","")&amp;IF(ISNUMBER(C45),IF(OR(AND(MONTH(C45)=12,DAY(C45)=31),AND(MONTH(C45)=1,DAY(C45)=1)),"","⚠ Data fora do Ano Novo (31/12 ou 01/01). "),"")&amp;IF(AND(ISNUMBER(C45),COUNTIFS($A$2:$A$301,A45,$C$2:$C$301,C45)&gt;1),"⚠ Nome repetido na mesma data. ","")&amp;IF(AND(ISNUMBER(C45),COUNTIFS(FÉRIAS!$A$2:$A$301,A45,FÉRIAS!$C$2:$C$301,"&lt;="&amp;C45,FÉRIAS!$D$2:$D$301,"&gt;="&amp;C45)&gt;0),IF(D45="TRABALHA","⚠ Está de férias e marcado TRABALHA. ","⚠ Já está de férias nesta data. "),"")&amp;IF(AND(ISNUMBER(C45),COUNTIFS(FOLGAS!$A$2:$A$301,A45,FOLGAS!$C$2:$C$301,C45)&gt;0),IF(D45="FOLGA","⚠ Folga também lançada na aba FOLGAS. ",IF(D45="TRABALHA","⚠ Marcado TRABALHA, mas tem folga na aba FOLGAS. ","")),"")&amp;IF(AND(ISNUMBER(C45),D45="FOLGA",B45&lt;&gt;"",COUNTIFS($B$2:$B$301,B45,$C$2:$C$301,C45,$D$2:$D$301,"TRABALHA")=0),"⚠ Ninguém do setor trabalhando nesta data. ","")))</f>
        <v/>
      </c>
    </row>
    <row r="46" customFormat="false" ht="15" hidden="false" customHeight="true" outlineLevel="0" collapsed="false">
      <c r="A46" s="54"/>
      <c r="B46" s="54"/>
      <c r="C46" s="53"/>
      <c r="D46" s="54"/>
      <c r="E46" s="54"/>
      <c r="F46" s="55" t="str">
        <f aca="false">IF(A46="","",TRIM(IF(NOT(ISNUMBER(C46)),"⚠ Falta a data. ","")&amp;IF(ISNUMBER(C46),IF(OR(AND(MONTH(C46)=12,DAY(C46)=31),AND(MONTH(C46)=1,DAY(C46)=1)),"","⚠ Data fora do Ano Novo (31/12 ou 01/01). "),"")&amp;IF(AND(ISNUMBER(C46),COUNTIFS($A$2:$A$301,A46,$C$2:$C$301,C46)&gt;1),"⚠ Nome repetido na mesma data. ","")&amp;IF(AND(ISNUMBER(C46),COUNTIFS(FÉRIAS!$A$2:$A$301,A46,FÉRIAS!$C$2:$C$301,"&lt;="&amp;C46,FÉRIAS!$D$2:$D$301,"&gt;="&amp;C46)&gt;0),IF(D46="TRABALHA","⚠ Está de férias e marcado TRABALHA. ","⚠ Já está de férias nesta data. "),"")&amp;IF(AND(ISNUMBER(C46),COUNTIFS(FOLGAS!$A$2:$A$301,A46,FOLGAS!$C$2:$C$301,C46)&gt;0),IF(D46="FOLGA","⚠ Folga também lançada na aba FOLGAS. ",IF(D46="TRABALHA","⚠ Marcado TRABALHA, mas tem folga na aba FOLGAS. ","")),"")&amp;IF(AND(ISNUMBER(C46),D46="FOLGA",B46&lt;&gt;"",COUNTIFS($B$2:$B$301,B46,$C$2:$C$301,C46,$D$2:$D$301,"TRABALHA")=0),"⚠ Ninguém do setor trabalhando nesta data. ","")))</f>
        <v/>
      </c>
    </row>
    <row r="47" customFormat="false" ht="15" hidden="false" customHeight="true" outlineLevel="0" collapsed="false">
      <c r="A47" s="54"/>
      <c r="B47" s="54"/>
      <c r="C47" s="53"/>
      <c r="D47" s="54"/>
      <c r="E47" s="54"/>
      <c r="F47" s="55" t="str">
        <f aca="false">IF(A47="","",TRIM(IF(NOT(ISNUMBER(C47)),"⚠ Falta a data. ","")&amp;IF(ISNUMBER(C47),IF(OR(AND(MONTH(C47)=12,DAY(C47)=31),AND(MONTH(C47)=1,DAY(C47)=1)),"","⚠ Data fora do Ano Novo (31/12 ou 01/01). "),"")&amp;IF(AND(ISNUMBER(C47),COUNTIFS($A$2:$A$301,A47,$C$2:$C$301,C47)&gt;1),"⚠ Nome repetido na mesma data. ","")&amp;IF(AND(ISNUMBER(C47),COUNTIFS(FÉRIAS!$A$2:$A$301,A47,FÉRIAS!$C$2:$C$301,"&lt;="&amp;C47,FÉRIAS!$D$2:$D$301,"&gt;="&amp;C47)&gt;0),IF(D47="TRABALHA","⚠ Está de férias e marcado TRABALHA. ","⚠ Já está de férias nesta data. "),"")&amp;IF(AND(ISNUMBER(C47),COUNTIFS(FOLGAS!$A$2:$A$301,A47,FOLGAS!$C$2:$C$301,C47)&gt;0),IF(D47="FOLGA","⚠ Folga também lançada na aba FOLGAS. ",IF(D47="TRABALHA","⚠ Marcado TRABALHA, mas tem folga na aba FOLGAS. ","")),"")&amp;IF(AND(ISNUMBER(C47),D47="FOLGA",B47&lt;&gt;"",COUNTIFS($B$2:$B$301,B47,$C$2:$C$301,C47,$D$2:$D$301,"TRABALHA")=0),"⚠ Ninguém do setor trabalhando nesta data. ","")))</f>
        <v/>
      </c>
    </row>
    <row r="48" customFormat="false" ht="15" hidden="false" customHeight="true" outlineLevel="0" collapsed="false">
      <c r="A48" s="54"/>
      <c r="B48" s="54"/>
      <c r="C48" s="53"/>
      <c r="D48" s="54"/>
      <c r="E48" s="54"/>
      <c r="F48" s="55" t="str">
        <f aca="false">IF(A48="","",TRIM(IF(NOT(ISNUMBER(C48)),"⚠ Falta a data. ","")&amp;IF(ISNUMBER(C48),IF(OR(AND(MONTH(C48)=12,DAY(C48)=31),AND(MONTH(C48)=1,DAY(C48)=1)),"","⚠ Data fora do Ano Novo (31/12 ou 01/01). "),"")&amp;IF(AND(ISNUMBER(C48),COUNTIFS($A$2:$A$301,A48,$C$2:$C$301,C48)&gt;1),"⚠ Nome repetido na mesma data. ","")&amp;IF(AND(ISNUMBER(C48),COUNTIFS(FÉRIAS!$A$2:$A$301,A48,FÉRIAS!$C$2:$C$301,"&lt;="&amp;C48,FÉRIAS!$D$2:$D$301,"&gt;="&amp;C48)&gt;0),IF(D48="TRABALHA","⚠ Está de férias e marcado TRABALHA. ","⚠ Já está de férias nesta data. "),"")&amp;IF(AND(ISNUMBER(C48),COUNTIFS(FOLGAS!$A$2:$A$301,A48,FOLGAS!$C$2:$C$301,C48)&gt;0),IF(D48="FOLGA","⚠ Folga também lançada na aba FOLGAS. ",IF(D48="TRABALHA","⚠ Marcado TRABALHA, mas tem folga na aba FOLGAS. ","")),"")&amp;IF(AND(ISNUMBER(C48),D48="FOLGA",B48&lt;&gt;"",COUNTIFS($B$2:$B$301,B48,$C$2:$C$301,C48,$D$2:$D$301,"TRABALHA")=0),"⚠ Ninguém do setor trabalhando nesta data. ","")))</f>
        <v/>
      </c>
    </row>
    <row r="49" customFormat="false" ht="15" hidden="false" customHeight="true" outlineLevel="0" collapsed="false">
      <c r="A49" s="54"/>
      <c r="B49" s="54"/>
      <c r="C49" s="53"/>
      <c r="D49" s="54"/>
      <c r="E49" s="54"/>
      <c r="F49" s="55" t="str">
        <f aca="false">IF(A49="","",TRIM(IF(NOT(ISNUMBER(C49)),"⚠ Falta a data. ","")&amp;IF(ISNUMBER(C49),IF(OR(AND(MONTH(C49)=12,DAY(C49)=31),AND(MONTH(C49)=1,DAY(C49)=1)),"","⚠ Data fora do Ano Novo (31/12 ou 01/01). "),"")&amp;IF(AND(ISNUMBER(C49),COUNTIFS($A$2:$A$301,A49,$C$2:$C$301,C49)&gt;1),"⚠ Nome repetido na mesma data. ","")&amp;IF(AND(ISNUMBER(C49),COUNTIFS(FÉRIAS!$A$2:$A$301,A49,FÉRIAS!$C$2:$C$301,"&lt;="&amp;C49,FÉRIAS!$D$2:$D$301,"&gt;="&amp;C49)&gt;0),IF(D49="TRABALHA","⚠ Está de férias e marcado TRABALHA. ","⚠ Já está de férias nesta data. "),"")&amp;IF(AND(ISNUMBER(C49),COUNTIFS(FOLGAS!$A$2:$A$301,A49,FOLGAS!$C$2:$C$301,C49)&gt;0),IF(D49="FOLGA","⚠ Folga também lançada na aba FOLGAS. ",IF(D49="TRABALHA","⚠ Marcado TRABALHA, mas tem folga na aba FOLGAS. ","")),"")&amp;IF(AND(ISNUMBER(C49),D49="FOLGA",B49&lt;&gt;"",COUNTIFS($B$2:$B$301,B49,$C$2:$C$301,C49,$D$2:$D$301,"TRABALHA")=0),"⚠ Ninguém do setor trabalhando nesta data. ","")))</f>
        <v/>
      </c>
    </row>
    <row r="50" customFormat="false" ht="15" hidden="false" customHeight="true" outlineLevel="0" collapsed="false">
      <c r="A50" s="54"/>
      <c r="B50" s="54"/>
      <c r="C50" s="53"/>
      <c r="D50" s="54"/>
      <c r="E50" s="54"/>
      <c r="F50" s="55" t="str">
        <f aca="false">IF(A50="","",TRIM(IF(NOT(ISNUMBER(C50)),"⚠ Falta a data. ","")&amp;IF(ISNUMBER(C50),IF(OR(AND(MONTH(C50)=12,DAY(C50)=31),AND(MONTH(C50)=1,DAY(C50)=1)),"","⚠ Data fora do Ano Novo (31/12 ou 01/01). "),"")&amp;IF(AND(ISNUMBER(C50),COUNTIFS($A$2:$A$301,A50,$C$2:$C$301,C50)&gt;1),"⚠ Nome repetido na mesma data. ","")&amp;IF(AND(ISNUMBER(C50),COUNTIFS(FÉRIAS!$A$2:$A$301,A50,FÉRIAS!$C$2:$C$301,"&lt;="&amp;C50,FÉRIAS!$D$2:$D$301,"&gt;="&amp;C50)&gt;0),IF(D50="TRABALHA","⚠ Está de férias e marcado TRABALHA. ","⚠ Já está de férias nesta data. "),"")&amp;IF(AND(ISNUMBER(C50),COUNTIFS(FOLGAS!$A$2:$A$301,A50,FOLGAS!$C$2:$C$301,C50)&gt;0),IF(D50="FOLGA","⚠ Folga também lançada na aba FOLGAS. ",IF(D50="TRABALHA","⚠ Marcado TRABALHA, mas tem folga na aba FOLGAS. ","")),"")&amp;IF(AND(ISNUMBER(C50),D50="FOLGA",B50&lt;&gt;"",COUNTIFS($B$2:$B$301,B50,$C$2:$C$301,C50,$D$2:$D$301,"TRABALHA")=0),"⚠ Ninguém do setor trabalhando nesta data. ","")))</f>
        <v/>
      </c>
    </row>
    <row r="51" customFormat="false" ht="15" hidden="false" customHeight="true" outlineLevel="0" collapsed="false">
      <c r="A51" s="54"/>
      <c r="B51" s="54"/>
      <c r="C51" s="53"/>
      <c r="D51" s="54"/>
      <c r="E51" s="54"/>
      <c r="F51" s="55" t="str">
        <f aca="false">IF(A51="","",TRIM(IF(NOT(ISNUMBER(C51)),"⚠ Falta a data. ","")&amp;IF(ISNUMBER(C51),IF(OR(AND(MONTH(C51)=12,DAY(C51)=31),AND(MONTH(C51)=1,DAY(C51)=1)),"","⚠ Data fora do Ano Novo (31/12 ou 01/01). "),"")&amp;IF(AND(ISNUMBER(C51),COUNTIFS($A$2:$A$301,A51,$C$2:$C$301,C51)&gt;1),"⚠ Nome repetido na mesma data. ","")&amp;IF(AND(ISNUMBER(C51),COUNTIFS(FÉRIAS!$A$2:$A$301,A51,FÉRIAS!$C$2:$C$301,"&lt;="&amp;C51,FÉRIAS!$D$2:$D$301,"&gt;="&amp;C51)&gt;0),IF(D51="TRABALHA","⚠ Está de férias e marcado TRABALHA. ","⚠ Já está de férias nesta data. "),"")&amp;IF(AND(ISNUMBER(C51),COUNTIFS(FOLGAS!$A$2:$A$301,A51,FOLGAS!$C$2:$C$301,C51)&gt;0),IF(D51="FOLGA","⚠ Folga também lançada na aba FOLGAS. ",IF(D51="TRABALHA","⚠ Marcado TRABALHA, mas tem folga na aba FOLGAS. ","")),"")&amp;IF(AND(ISNUMBER(C51),D51="FOLGA",B51&lt;&gt;"",COUNTIFS($B$2:$B$301,B51,$C$2:$C$301,C51,$D$2:$D$301,"TRABALHA")=0),"⚠ Ninguém do setor trabalhando nesta data. ","")))</f>
        <v/>
      </c>
    </row>
    <row r="52" customFormat="false" ht="15" hidden="false" customHeight="true" outlineLevel="0" collapsed="false">
      <c r="A52" s="54"/>
      <c r="B52" s="54"/>
      <c r="C52" s="53"/>
      <c r="D52" s="54"/>
      <c r="E52" s="54"/>
      <c r="F52" s="55" t="str">
        <f aca="false">IF(A52="","",TRIM(IF(NOT(ISNUMBER(C52)),"⚠ Falta a data. ","")&amp;IF(ISNUMBER(C52),IF(OR(AND(MONTH(C52)=12,DAY(C52)=31),AND(MONTH(C52)=1,DAY(C52)=1)),"","⚠ Data fora do Ano Novo (31/12 ou 01/01). "),"")&amp;IF(AND(ISNUMBER(C52),COUNTIFS($A$2:$A$301,A52,$C$2:$C$301,C52)&gt;1),"⚠ Nome repetido na mesma data. ","")&amp;IF(AND(ISNUMBER(C52),COUNTIFS(FÉRIAS!$A$2:$A$301,A52,FÉRIAS!$C$2:$C$301,"&lt;="&amp;C52,FÉRIAS!$D$2:$D$301,"&gt;="&amp;C52)&gt;0),IF(D52="TRABALHA","⚠ Está de férias e marcado TRABALHA. ","⚠ Já está de férias nesta data. "),"")&amp;IF(AND(ISNUMBER(C52),COUNTIFS(FOLGAS!$A$2:$A$301,A52,FOLGAS!$C$2:$C$301,C52)&gt;0),IF(D52="FOLGA","⚠ Folga também lançada na aba FOLGAS. ",IF(D52="TRABALHA","⚠ Marcado TRABALHA, mas tem folga na aba FOLGAS. ","")),"")&amp;IF(AND(ISNUMBER(C52),D52="FOLGA",B52&lt;&gt;"",COUNTIFS($B$2:$B$301,B52,$C$2:$C$301,C52,$D$2:$D$301,"TRABALHA")=0),"⚠ Ninguém do setor trabalhando nesta data. ","")))</f>
        <v/>
      </c>
    </row>
    <row r="53" customFormat="false" ht="15" hidden="false" customHeight="true" outlineLevel="0" collapsed="false">
      <c r="A53" s="54"/>
      <c r="B53" s="54"/>
      <c r="C53" s="53"/>
      <c r="D53" s="54"/>
      <c r="E53" s="54"/>
      <c r="F53" s="55" t="str">
        <f aca="false">IF(A53="","",TRIM(IF(NOT(ISNUMBER(C53)),"⚠ Falta a data. ","")&amp;IF(ISNUMBER(C53),IF(OR(AND(MONTH(C53)=12,DAY(C53)=31),AND(MONTH(C53)=1,DAY(C53)=1)),"","⚠ Data fora do Ano Novo (31/12 ou 01/01). "),"")&amp;IF(AND(ISNUMBER(C53),COUNTIFS($A$2:$A$301,A53,$C$2:$C$301,C53)&gt;1),"⚠ Nome repetido na mesma data. ","")&amp;IF(AND(ISNUMBER(C53),COUNTIFS(FÉRIAS!$A$2:$A$301,A53,FÉRIAS!$C$2:$C$301,"&lt;="&amp;C53,FÉRIAS!$D$2:$D$301,"&gt;="&amp;C53)&gt;0),IF(D53="TRABALHA","⚠ Está de férias e marcado TRABALHA. ","⚠ Já está de férias nesta data. "),"")&amp;IF(AND(ISNUMBER(C53),COUNTIFS(FOLGAS!$A$2:$A$301,A53,FOLGAS!$C$2:$C$301,C53)&gt;0),IF(D53="FOLGA","⚠ Folga também lançada na aba FOLGAS. ",IF(D53="TRABALHA","⚠ Marcado TRABALHA, mas tem folga na aba FOLGAS. ","")),"")&amp;IF(AND(ISNUMBER(C53),D53="FOLGA",B53&lt;&gt;"",COUNTIFS($B$2:$B$301,B53,$C$2:$C$301,C53,$D$2:$D$301,"TRABALHA")=0),"⚠ Ninguém do setor trabalhando nesta data. ","")))</f>
        <v/>
      </c>
    </row>
    <row r="54" customFormat="false" ht="15" hidden="false" customHeight="true" outlineLevel="0" collapsed="false">
      <c r="A54" s="54"/>
      <c r="B54" s="54"/>
      <c r="C54" s="53"/>
      <c r="D54" s="54"/>
      <c r="E54" s="54"/>
      <c r="F54" s="55" t="str">
        <f aca="false">IF(A54="","",TRIM(IF(NOT(ISNUMBER(C54)),"⚠ Falta a data. ","")&amp;IF(ISNUMBER(C54),IF(OR(AND(MONTH(C54)=12,DAY(C54)=31),AND(MONTH(C54)=1,DAY(C54)=1)),"","⚠ Data fora do Ano Novo (31/12 ou 01/01). "),"")&amp;IF(AND(ISNUMBER(C54),COUNTIFS($A$2:$A$301,A54,$C$2:$C$301,C54)&gt;1),"⚠ Nome repetido na mesma data. ","")&amp;IF(AND(ISNUMBER(C54),COUNTIFS(FÉRIAS!$A$2:$A$301,A54,FÉRIAS!$C$2:$C$301,"&lt;="&amp;C54,FÉRIAS!$D$2:$D$301,"&gt;="&amp;C54)&gt;0),IF(D54="TRABALHA","⚠ Está de férias e marcado TRABALHA. ","⚠ Já está de férias nesta data. "),"")&amp;IF(AND(ISNUMBER(C54),COUNTIFS(FOLGAS!$A$2:$A$301,A54,FOLGAS!$C$2:$C$301,C54)&gt;0),IF(D54="FOLGA","⚠ Folga também lançada na aba FOLGAS. ",IF(D54="TRABALHA","⚠ Marcado TRABALHA, mas tem folga na aba FOLGAS. ","")),"")&amp;IF(AND(ISNUMBER(C54),D54="FOLGA",B54&lt;&gt;"",COUNTIFS($B$2:$B$301,B54,$C$2:$C$301,C54,$D$2:$D$301,"TRABALHA")=0),"⚠ Ninguém do setor trabalhando nesta data. ","")))</f>
        <v/>
      </c>
    </row>
    <row r="55" customFormat="false" ht="15" hidden="false" customHeight="true" outlineLevel="0" collapsed="false">
      <c r="A55" s="54"/>
      <c r="B55" s="54"/>
      <c r="C55" s="53"/>
      <c r="D55" s="54"/>
      <c r="E55" s="54"/>
      <c r="F55" s="55" t="str">
        <f aca="false">IF(A55="","",TRIM(IF(NOT(ISNUMBER(C55)),"⚠ Falta a data. ","")&amp;IF(ISNUMBER(C55),IF(OR(AND(MONTH(C55)=12,DAY(C55)=31),AND(MONTH(C55)=1,DAY(C55)=1)),"","⚠ Data fora do Ano Novo (31/12 ou 01/01). "),"")&amp;IF(AND(ISNUMBER(C55),COUNTIFS($A$2:$A$301,A55,$C$2:$C$301,C55)&gt;1),"⚠ Nome repetido na mesma data. ","")&amp;IF(AND(ISNUMBER(C55),COUNTIFS(FÉRIAS!$A$2:$A$301,A55,FÉRIAS!$C$2:$C$301,"&lt;="&amp;C55,FÉRIAS!$D$2:$D$301,"&gt;="&amp;C55)&gt;0),IF(D55="TRABALHA","⚠ Está de férias e marcado TRABALHA. ","⚠ Já está de férias nesta data. "),"")&amp;IF(AND(ISNUMBER(C55),COUNTIFS(FOLGAS!$A$2:$A$301,A55,FOLGAS!$C$2:$C$301,C55)&gt;0),IF(D55="FOLGA","⚠ Folga também lançada na aba FOLGAS. ",IF(D55="TRABALHA","⚠ Marcado TRABALHA, mas tem folga na aba FOLGAS. ","")),"")&amp;IF(AND(ISNUMBER(C55),D55="FOLGA",B55&lt;&gt;"",COUNTIFS($B$2:$B$301,B55,$C$2:$C$301,C55,$D$2:$D$301,"TRABALHA")=0),"⚠ Ninguém do setor trabalhando nesta data. ","")))</f>
        <v/>
      </c>
    </row>
    <row r="56" customFormat="false" ht="15" hidden="false" customHeight="true" outlineLevel="0" collapsed="false">
      <c r="A56" s="54"/>
      <c r="B56" s="54"/>
      <c r="C56" s="53"/>
      <c r="D56" s="54"/>
      <c r="E56" s="54"/>
      <c r="F56" s="55" t="str">
        <f aca="false">IF(A56="","",TRIM(IF(NOT(ISNUMBER(C56)),"⚠ Falta a data. ","")&amp;IF(ISNUMBER(C56),IF(OR(AND(MONTH(C56)=12,DAY(C56)=31),AND(MONTH(C56)=1,DAY(C56)=1)),"","⚠ Data fora do Ano Novo (31/12 ou 01/01). "),"")&amp;IF(AND(ISNUMBER(C56),COUNTIFS($A$2:$A$301,A56,$C$2:$C$301,C56)&gt;1),"⚠ Nome repetido na mesma data. ","")&amp;IF(AND(ISNUMBER(C56),COUNTIFS(FÉRIAS!$A$2:$A$301,A56,FÉRIAS!$C$2:$C$301,"&lt;="&amp;C56,FÉRIAS!$D$2:$D$301,"&gt;="&amp;C56)&gt;0),IF(D56="TRABALHA","⚠ Está de férias e marcado TRABALHA. ","⚠ Já está de férias nesta data. "),"")&amp;IF(AND(ISNUMBER(C56),COUNTIFS(FOLGAS!$A$2:$A$301,A56,FOLGAS!$C$2:$C$301,C56)&gt;0),IF(D56="FOLGA","⚠ Folga também lançada na aba FOLGAS. ",IF(D56="TRABALHA","⚠ Marcado TRABALHA, mas tem folga na aba FOLGAS. ","")),"")&amp;IF(AND(ISNUMBER(C56),D56="FOLGA",B56&lt;&gt;"",COUNTIFS($B$2:$B$301,B56,$C$2:$C$301,C56,$D$2:$D$301,"TRABALHA")=0),"⚠ Ninguém do setor trabalhando nesta data. ","")))</f>
        <v/>
      </c>
    </row>
    <row r="57" customFormat="false" ht="15" hidden="false" customHeight="true" outlineLevel="0" collapsed="false">
      <c r="A57" s="54"/>
      <c r="B57" s="54"/>
      <c r="C57" s="53"/>
      <c r="D57" s="54"/>
      <c r="E57" s="54"/>
      <c r="F57" s="55" t="str">
        <f aca="false">IF(A57="","",TRIM(IF(NOT(ISNUMBER(C57)),"⚠ Falta a data. ","")&amp;IF(ISNUMBER(C57),IF(OR(AND(MONTH(C57)=12,DAY(C57)=31),AND(MONTH(C57)=1,DAY(C57)=1)),"","⚠ Data fora do Ano Novo (31/12 ou 01/01). "),"")&amp;IF(AND(ISNUMBER(C57),COUNTIFS($A$2:$A$301,A57,$C$2:$C$301,C57)&gt;1),"⚠ Nome repetido na mesma data. ","")&amp;IF(AND(ISNUMBER(C57),COUNTIFS(FÉRIAS!$A$2:$A$301,A57,FÉRIAS!$C$2:$C$301,"&lt;="&amp;C57,FÉRIAS!$D$2:$D$301,"&gt;="&amp;C57)&gt;0),IF(D57="TRABALHA","⚠ Está de férias e marcado TRABALHA. ","⚠ Já está de férias nesta data. "),"")&amp;IF(AND(ISNUMBER(C57),COUNTIFS(FOLGAS!$A$2:$A$301,A57,FOLGAS!$C$2:$C$301,C57)&gt;0),IF(D57="FOLGA","⚠ Folga também lançada na aba FOLGAS. ",IF(D57="TRABALHA","⚠ Marcado TRABALHA, mas tem folga na aba FOLGAS. ","")),"")&amp;IF(AND(ISNUMBER(C57),D57="FOLGA",B57&lt;&gt;"",COUNTIFS($B$2:$B$301,B57,$C$2:$C$301,C57,$D$2:$D$301,"TRABALHA")=0),"⚠ Ninguém do setor trabalhando nesta data. ","")))</f>
        <v/>
      </c>
    </row>
    <row r="58" customFormat="false" ht="15" hidden="false" customHeight="true" outlineLevel="0" collapsed="false">
      <c r="A58" s="54"/>
      <c r="B58" s="54"/>
      <c r="C58" s="53"/>
      <c r="D58" s="54"/>
      <c r="E58" s="54"/>
      <c r="F58" s="55" t="str">
        <f aca="false">IF(A58="","",TRIM(IF(NOT(ISNUMBER(C58)),"⚠ Falta a data. ","")&amp;IF(ISNUMBER(C58),IF(OR(AND(MONTH(C58)=12,DAY(C58)=31),AND(MONTH(C58)=1,DAY(C58)=1)),"","⚠ Data fora do Ano Novo (31/12 ou 01/01). "),"")&amp;IF(AND(ISNUMBER(C58),COUNTIFS($A$2:$A$301,A58,$C$2:$C$301,C58)&gt;1),"⚠ Nome repetido na mesma data. ","")&amp;IF(AND(ISNUMBER(C58),COUNTIFS(FÉRIAS!$A$2:$A$301,A58,FÉRIAS!$C$2:$C$301,"&lt;="&amp;C58,FÉRIAS!$D$2:$D$301,"&gt;="&amp;C58)&gt;0),IF(D58="TRABALHA","⚠ Está de férias e marcado TRABALHA. ","⚠ Já está de férias nesta data. "),"")&amp;IF(AND(ISNUMBER(C58),COUNTIFS(FOLGAS!$A$2:$A$301,A58,FOLGAS!$C$2:$C$301,C58)&gt;0),IF(D58="FOLGA","⚠ Folga também lançada na aba FOLGAS. ",IF(D58="TRABALHA","⚠ Marcado TRABALHA, mas tem folga na aba FOLGAS. ","")),"")&amp;IF(AND(ISNUMBER(C58),D58="FOLGA",B58&lt;&gt;"",COUNTIFS($B$2:$B$301,B58,$C$2:$C$301,C58,$D$2:$D$301,"TRABALHA")=0),"⚠ Ninguém do setor trabalhando nesta data. ","")))</f>
        <v/>
      </c>
    </row>
    <row r="59" customFormat="false" ht="15" hidden="false" customHeight="true" outlineLevel="0" collapsed="false">
      <c r="A59" s="54"/>
      <c r="B59" s="54"/>
      <c r="C59" s="53"/>
      <c r="D59" s="54"/>
      <c r="E59" s="54"/>
      <c r="F59" s="55" t="str">
        <f aca="false">IF(A59="","",TRIM(IF(NOT(ISNUMBER(C59)),"⚠ Falta a data. ","")&amp;IF(ISNUMBER(C59),IF(OR(AND(MONTH(C59)=12,DAY(C59)=31),AND(MONTH(C59)=1,DAY(C59)=1)),"","⚠ Data fora do Ano Novo (31/12 ou 01/01). "),"")&amp;IF(AND(ISNUMBER(C59),COUNTIFS($A$2:$A$301,A59,$C$2:$C$301,C59)&gt;1),"⚠ Nome repetido na mesma data. ","")&amp;IF(AND(ISNUMBER(C59),COUNTIFS(FÉRIAS!$A$2:$A$301,A59,FÉRIAS!$C$2:$C$301,"&lt;="&amp;C59,FÉRIAS!$D$2:$D$301,"&gt;="&amp;C59)&gt;0),IF(D59="TRABALHA","⚠ Está de férias e marcado TRABALHA. ","⚠ Já está de férias nesta data. "),"")&amp;IF(AND(ISNUMBER(C59),COUNTIFS(FOLGAS!$A$2:$A$301,A59,FOLGAS!$C$2:$C$301,C59)&gt;0),IF(D59="FOLGA","⚠ Folga também lançada na aba FOLGAS. ",IF(D59="TRABALHA","⚠ Marcado TRABALHA, mas tem folga na aba FOLGAS. ","")),"")&amp;IF(AND(ISNUMBER(C59),D59="FOLGA",B59&lt;&gt;"",COUNTIFS($B$2:$B$301,B59,$C$2:$C$301,C59,$D$2:$D$301,"TRABALHA")=0),"⚠ Ninguém do setor trabalhando nesta data. ","")))</f>
        <v/>
      </c>
    </row>
    <row r="60" customFormat="false" ht="15" hidden="false" customHeight="true" outlineLevel="0" collapsed="false">
      <c r="A60" s="54"/>
      <c r="B60" s="54"/>
      <c r="C60" s="53"/>
      <c r="D60" s="54"/>
      <c r="E60" s="54"/>
      <c r="F60" s="55" t="str">
        <f aca="false">IF(A60="","",TRIM(IF(NOT(ISNUMBER(C60)),"⚠ Falta a data. ","")&amp;IF(ISNUMBER(C60),IF(OR(AND(MONTH(C60)=12,DAY(C60)=31),AND(MONTH(C60)=1,DAY(C60)=1)),"","⚠ Data fora do Ano Novo (31/12 ou 01/01). "),"")&amp;IF(AND(ISNUMBER(C60),COUNTIFS($A$2:$A$301,A60,$C$2:$C$301,C60)&gt;1),"⚠ Nome repetido na mesma data. ","")&amp;IF(AND(ISNUMBER(C60),COUNTIFS(FÉRIAS!$A$2:$A$301,A60,FÉRIAS!$C$2:$C$301,"&lt;="&amp;C60,FÉRIAS!$D$2:$D$301,"&gt;="&amp;C60)&gt;0),IF(D60="TRABALHA","⚠ Está de férias e marcado TRABALHA. ","⚠ Já está de férias nesta data. "),"")&amp;IF(AND(ISNUMBER(C60),COUNTIFS(FOLGAS!$A$2:$A$301,A60,FOLGAS!$C$2:$C$301,C60)&gt;0),IF(D60="FOLGA","⚠ Folga também lançada na aba FOLGAS. ",IF(D60="TRABALHA","⚠ Marcado TRABALHA, mas tem folga na aba FOLGAS. ","")),"")&amp;IF(AND(ISNUMBER(C60),D60="FOLGA",B60&lt;&gt;"",COUNTIFS($B$2:$B$301,B60,$C$2:$C$301,C60,$D$2:$D$301,"TRABALHA")=0),"⚠ Ninguém do setor trabalhando nesta data. ","")))</f>
        <v/>
      </c>
    </row>
    <row r="61" customFormat="false" ht="15" hidden="false" customHeight="true" outlineLevel="0" collapsed="false">
      <c r="A61" s="54"/>
      <c r="B61" s="54"/>
      <c r="C61" s="53"/>
      <c r="D61" s="54"/>
      <c r="E61" s="54"/>
      <c r="F61" s="55" t="str">
        <f aca="false">IF(A61="","",TRIM(IF(NOT(ISNUMBER(C61)),"⚠ Falta a data. ","")&amp;IF(ISNUMBER(C61),IF(OR(AND(MONTH(C61)=12,DAY(C61)=31),AND(MONTH(C61)=1,DAY(C61)=1)),"","⚠ Data fora do Ano Novo (31/12 ou 01/01). "),"")&amp;IF(AND(ISNUMBER(C61),COUNTIFS($A$2:$A$301,A61,$C$2:$C$301,C61)&gt;1),"⚠ Nome repetido na mesma data. ","")&amp;IF(AND(ISNUMBER(C61),COUNTIFS(FÉRIAS!$A$2:$A$301,A61,FÉRIAS!$C$2:$C$301,"&lt;="&amp;C61,FÉRIAS!$D$2:$D$301,"&gt;="&amp;C61)&gt;0),IF(D61="TRABALHA","⚠ Está de férias e marcado TRABALHA. ","⚠ Já está de férias nesta data. "),"")&amp;IF(AND(ISNUMBER(C61),COUNTIFS(FOLGAS!$A$2:$A$301,A61,FOLGAS!$C$2:$C$301,C61)&gt;0),IF(D61="FOLGA","⚠ Folga também lançada na aba FOLGAS. ",IF(D61="TRABALHA","⚠ Marcado TRABALHA, mas tem folga na aba FOLGAS. ","")),"")&amp;IF(AND(ISNUMBER(C61),D61="FOLGA",B61&lt;&gt;"",COUNTIFS($B$2:$B$301,B61,$C$2:$C$301,C61,$D$2:$D$301,"TRABALHA")=0),"⚠ Ninguém do setor trabalhando nesta data. ","")))</f>
        <v/>
      </c>
    </row>
    <row r="62" customFormat="false" ht="15" hidden="false" customHeight="true" outlineLevel="0" collapsed="false">
      <c r="A62" s="54"/>
      <c r="B62" s="54"/>
      <c r="C62" s="53"/>
      <c r="D62" s="54"/>
      <c r="E62" s="54"/>
      <c r="F62" s="55" t="str">
        <f aca="false">IF(A62="","",TRIM(IF(NOT(ISNUMBER(C62)),"⚠ Falta a data. ","")&amp;IF(ISNUMBER(C62),IF(OR(AND(MONTH(C62)=12,DAY(C62)=31),AND(MONTH(C62)=1,DAY(C62)=1)),"","⚠ Data fora do Ano Novo (31/12 ou 01/01). "),"")&amp;IF(AND(ISNUMBER(C62),COUNTIFS($A$2:$A$301,A62,$C$2:$C$301,C62)&gt;1),"⚠ Nome repetido na mesma data. ","")&amp;IF(AND(ISNUMBER(C62),COUNTIFS(FÉRIAS!$A$2:$A$301,A62,FÉRIAS!$C$2:$C$301,"&lt;="&amp;C62,FÉRIAS!$D$2:$D$301,"&gt;="&amp;C62)&gt;0),IF(D62="TRABALHA","⚠ Está de férias e marcado TRABALHA. ","⚠ Já está de férias nesta data. "),"")&amp;IF(AND(ISNUMBER(C62),COUNTIFS(FOLGAS!$A$2:$A$301,A62,FOLGAS!$C$2:$C$301,C62)&gt;0),IF(D62="FOLGA","⚠ Folga também lançada na aba FOLGAS. ",IF(D62="TRABALHA","⚠ Marcado TRABALHA, mas tem folga na aba FOLGAS. ","")),"")&amp;IF(AND(ISNUMBER(C62),D62="FOLGA",B62&lt;&gt;"",COUNTIFS($B$2:$B$301,B62,$C$2:$C$301,C62,$D$2:$D$301,"TRABALHA")=0),"⚠ Ninguém do setor trabalhando nesta data. ","")))</f>
        <v/>
      </c>
    </row>
    <row r="63" customFormat="false" ht="15" hidden="false" customHeight="true" outlineLevel="0" collapsed="false">
      <c r="A63" s="54"/>
      <c r="B63" s="54"/>
      <c r="C63" s="53"/>
      <c r="D63" s="54"/>
      <c r="E63" s="54"/>
      <c r="F63" s="55" t="str">
        <f aca="false">IF(A63="","",TRIM(IF(NOT(ISNUMBER(C63)),"⚠ Falta a data. ","")&amp;IF(ISNUMBER(C63),IF(OR(AND(MONTH(C63)=12,DAY(C63)=31),AND(MONTH(C63)=1,DAY(C63)=1)),"","⚠ Data fora do Ano Novo (31/12 ou 01/01). "),"")&amp;IF(AND(ISNUMBER(C63),COUNTIFS($A$2:$A$301,A63,$C$2:$C$301,C63)&gt;1),"⚠ Nome repetido na mesma data. ","")&amp;IF(AND(ISNUMBER(C63),COUNTIFS(FÉRIAS!$A$2:$A$301,A63,FÉRIAS!$C$2:$C$301,"&lt;="&amp;C63,FÉRIAS!$D$2:$D$301,"&gt;="&amp;C63)&gt;0),IF(D63="TRABALHA","⚠ Está de férias e marcado TRABALHA. ","⚠ Já está de férias nesta data. "),"")&amp;IF(AND(ISNUMBER(C63),COUNTIFS(FOLGAS!$A$2:$A$301,A63,FOLGAS!$C$2:$C$301,C63)&gt;0),IF(D63="FOLGA","⚠ Folga também lançada na aba FOLGAS. ",IF(D63="TRABALHA","⚠ Marcado TRABALHA, mas tem folga na aba FOLGAS. ","")),"")&amp;IF(AND(ISNUMBER(C63),D63="FOLGA",B63&lt;&gt;"",COUNTIFS($B$2:$B$301,B63,$C$2:$C$301,C63,$D$2:$D$301,"TRABALHA")=0),"⚠ Ninguém do setor trabalhando nesta data. ","")))</f>
        <v/>
      </c>
    </row>
    <row r="64" customFormat="false" ht="15" hidden="false" customHeight="true" outlineLevel="0" collapsed="false">
      <c r="A64" s="54"/>
      <c r="B64" s="54"/>
      <c r="C64" s="53"/>
      <c r="D64" s="54"/>
      <c r="E64" s="54"/>
      <c r="F64" s="55" t="str">
        <f aca="false">IF(A64="","",TRIM(IF(NOT(ISNUMBER(C64)),"⚠ Falta a data. ","")&amp;IF(ISNUMBER(C64),IF(OR(AND(MONTH(C64)=12,DAY(C64)=31),AND(MONTH(C64)=1,DAY(C64)=1)),"","⚠ Data fora do Ano Novo (31/12 ou 01/01). "),"")&amp;IF(AND(ISNUMBER(C64),COUNTIFS($A$2:$A$301,A64,$C$2:$C$301,C64)&gt;1),"⚠ Nome repetido na mesma data. ","")&amp;IF(AND(ISNUMBER(C64),COUNTIFS(FÉRIAS!$A$2:$A$301,A64,FÉRIAS!$C$2:$C$301,"&lt;="&amp;C64,FÉRIAS!$D$2:$D$301,"&gt;="&amp;C64)&gt;0),IF(D64="TRABALHA","⚠ Está de férias e marcado TRABALHA. ","⚠ Já está de férias nesta data. "),"")&amp;IF(AND(ISNUMBER(C64),COUNTIFS(FOLGAS!$A$2:$A$301,A64,FOLGAS!$C$2:$C$301,C64)&gt;0),IF(D64="FOLGA","⚠ Folga também lançada na aba FOLGAS. ",IF(D64="TRABALHA","⚠ Marcado TRABALHA, mas tem folga na aba FOLGAS. ","")),"")&amp;IF(AND(ISNUMBER(C64),D64="FOLGA",B64&lt;&gt;"",COUNTIFS($B$2:$B$301,B64,$C$2:$C$301,C64,$D$2:$D$301,"TRABALHA")=0),"⚠ Ninguém do setor trabalhando nesta data. ","")))</f>
        <v/>
      </c>
    </row>
    <row r="65" customFormat="false" ht="15" hidden="false" customHeight="true" outlineLevel="0" collapsed="false">
      <c r="A65" s="54"/>
      <c r="B65" s="54"/>
      <c r="C65" s="53"/>
      <c r="D65" s="54"/>
      <c r="E65" s="54"/>
      <c r="F65" s="55" t="str">
        <f aca="false">IF(A65="","",TRIM(IF(NOT(ISNUMBER(C65)),"⚠ Falta a data. ","")&amp;IF(ISNUMBER(C65),IF(OR(AND(MONTH(C65)=12,DAY(C65)=31),AND(MONTH(C65)=1,DAY(C65)=1)),"","⚠ Data fora do Ano Novo (31/12 ou 01/01). "),"")&amp;IF(AND(ISNUMBER(C65),COUNTIFS($A$2:$A$301,A65,$C$2:$C$301,C65)&gt;1),"⚠ Nome repetido na mesma data. ","")&amp;IF(AND(ISNUMBER(C65),COUNTIFS(FÉRIAS!$A$2:$A$301,A65,FÉRIAS!$C$2:$C$301,"&lt;="&amp;C65,FÉRIAS!$D$2:$D$301,"&gt;="&amp;C65)&gt;0),IF(D65="TRABALHA","⚠ Está de férias e marcado TRABALHA. ","⚠ Já está de férias nesta data. "),"")&amp;IF(AND(ISNUMBER(C65),COUNTIFS(FOLGAS!$A$2:$A$301,A65,FOLGAS!$C$2:$C$301,C65)&gt;0),IF(D65="FOLGA","⚠ Folga também lançada na aba FOLGAS. ",IF(D65="TRABALHA","⚠ Marcado TRABALHA, mas tem folga na aba FOLGAS. ","")),"")&amp;IF(AND(ISNUMBER(C65),D65="FOLGA",B65&lt;&gt;"",COUNTIFS($B$2:$B$301,B65,$C$2:$C$301,C65,$D$2:$D$301,"TRABALHA")=0),"⚠ Ninguém do setor trabalhando nesta data. ","")))</f>
        <v/>
      </c>
    </row>
    <row r="66" customFormat="false" ht="15" hidden="false" customHeight="true" outlineLevel="0" collapsed="false">
      <c r="A66" s="54"/>
      <c r="B66" s="54"/>
      <c r="C66" s="53"/>
      <c r="D66" s="54"/>
      <c r="E66" s="54"/>
      <c r="F66" s="55" t="str">
        <f aca="false">IF(A66="","",TRIM(IF(NOT(ISNUMBER(C66)),"⚠ Falta a data. ","")&amp;IF(ISNUMBER(C66),IF(OR(AND(MONTH(C66)=12,DAY(C66)=31),AND(MONTH(C66)=1,DAY(C66)=1)),"","⚠ Data fora do Ano Novo (31/12 ou 01/01). "),"")&amp;IF(AND(ISNUMBER(C66),COUNTIFS($A$2:$A$301,A66,$C$2:$C$301,C66)&gt;1),"⚠ Nome repetido na mesma data. ","")&amp;IF(AND(ISNUMBER(C66),COUNTIFS(FÉRIAS!$A$2:$A$301,A66,FÉRIAS!$C$2:$C$301,"&lt;="&amp;C66,FÉRIAS!$D$2:$D$301,"&gt;="&amp;C66)&gt;0),IF(D66="TRABALHA","⚠ Está de férias e marcado TRABALHA. ","⚠ Já está de férias nesta data. "),"")&amp;IF(AND(ISNUMBER(C66),COUNTIFS(FOLGAS!$A$2:$A$301,A66,FOLGAS!$C$2:$C$301,C66)&gt;0),IF(D66="FOLGA","⚠ Folga também lançada na aba FOLGAS. ",IF(D66="TRABALHA","⚠ Marcado TRABALHA, mas tem folga na aba FOLGAS. ","")),"")&amp;IF(AND(ISNUMBER(C66),D66="FOLGA",B66&lt;&gt;"",COUNTIFS($B$2:$B$301,B66,$C$2:$C$301,C66,$D$2:$D$301,"TRABALHA")=0),"⚠ Ninguém do setor trabalhando nesta data. ","")))</f>
        <v/>
      </c>
    </row>
    <row r="67" customFormat="false" ht="15" hidden="false" customHeight="true" outlineLevel="0" collapsed="false">
      <c r="A67" s="54"/>
      <c r="B67" s="54"/>
      <c r="C67" s="53"/>
      <c r="D67" s="54"/>
      <c r="E67" s="54"/>
      <c r="F67" s="55" t="str">
        <f aca="false">IF(A67="","",TRIM(IF(NOT(ISNUMBER(C67)),"⚠ Falta a data. ","")&amp;IF(ISNUMBER(C67),IF(OR(AND(MONTH(C67)=12,DAY(C67)=31),AND(MONTH(C67)=1,DAY(C67)=1)),"","⚠ Data fora do Ano Novo (31/12 ou 01/01). "),"")&amp;IF(AND(ISNUMBER(C67),COUNTIFS($A$2:$A$301,A67,$C$2:$C$301,C67)&gt;1),"⚠ Nome repetido na mesma data. ","")&amp;IF(AND(ISNUMBER(C67),COUNTIFS(FÉRIAS!$A$2:$A$301,A67,FÉRIAS!$C$2:$C$301,"&lt;="&amp;C67,FÉRIAS!$D$2:$D$301,"&gt;="&amp;C67)&gt;0),IF(D67="TRABALHA","⚠ Está de férias e marcado TRABALHA. ","⚠ Já está de férias nesta data. "),"")&amp;IF(AND(ISNUMBER(C67),COUNTIFS(FOLGAS!$A$2:$A$301,A67,FOLGAS!$C$2:$C$301,C67)&gt;0),IF(D67="FOLGA","⚠ Folga também lançada na aba FOLGAS. ",IF(D67="TRABALHA","⚠ Marcado TRABALHA, mas tem folga na aba FOLGAS. ","")),"")&amp;IF(AND(ISNUMBER(C67),D67="FOLGA",B67&lt;&gt;"",COUNTIFS($B$2:$B$301,B67,$C$2:$C$301,C67,$D$2:$D$301,"TRABALHA")=0),"⚠ Ninguém do setor trabalhando nesta data. ","")))</f>
        <v/>
      </c>
    </row>
    <row r="68" customFormat="false" ht="15" hidden="false" customHeight="true" outlineLevel="0" collapsed="false">
      <c r="A68" s="54"/>
      <c r="B68" s="54"/>
      <c r="C68" s="53"/>
      <c r="D68" s="54"/>
      <c r="E68" s="54"/>
      <c r="F68" s="55" t="str">
        <f aca="false">IF(A68="","",TRIM(IF(NOT(ISNUMBER(C68)),"⚠ Falta a data. ","")&amp;IF(ISNUMBER(C68),IF(OR(AND(MONTH(C68)=12,DAY(C68)=31),AND(MONTH(C68)=1,DAY(C68)=1)),"","⚠ Data fora do Ano Novo (31/12 ou 01/01). "),"")&amp;IF(AND(ISNUMBER(C68),COUNTIFS($A$2:$A$301,A68,$C$2:$C$301,C68)&gt;1),"⚠ Nome repetido na mesma data. ","")&amp;IF(AND(ISNUMBER(C68),COUNTIFS(FÉRIAS!$A$2:$A$301,A68,FÉRIAS!$C$2:$C$301,"&lt;="&amp;C68,FÉRIAS!$D$2:$D$301,"&gt;="&amp;C68)&gt;0),IF(D68="TRABALHA","⚠ Está de férias e marcado TRABALHA. ","⚠ Já está de férias nesta data. "),"")&amp;IF(AND(ISNUMBER(C68),COUNTIFS(FOLGAS!$A$2:$A$301,A68,FOLGAS!$C$2:$C$301,C68)&gt;0),IF(D68="FOLGA","⚠ Folga também lançada na aba FOLGAS. ",IF(D68="TRABALHA","⚠ Marcado TRABALHA, mas tem folga na aba FOLGAS. ","")),"")&amp;IF(AND(ISNUMBER(C68),D68="FOLGA",B68&lt;&gt;"",COUNTIFS($B$2:$B$301,B68,$C$2:$C$301,C68,$D$2:$D$301,"TRABALHA")=0),"⚠ Ninguém do setor trabalhando nesta data. ","")))</f>
        <v/>
      </c>
    </row>
    <row r="69" customFormat="false" ht="15" hidden="false" customHeight="true" outlineLevel="0" collapsed="false">
      <c r="A69" s="54"/>
      <c r="B69" s="54"/>
      <c r="C69" s="53"/>
      <c r="D69" s="54"/>
      <c r="E69" s="54"/>
      <c r="F69" s="55" t="str">
        <f aca="false">IF(A69="","",TRIM(IF(NOT(ISNUMBER(C69)),"⚠ Falta a data. ","")&amp;IF(ISNUMBER(C69),IF(OR(AND(MONTH(C69)=12,DAY(C69)=31),AND(MONTH(C69)=1,DAY(C69)=1)),"","⚠ Data fora do Ano Novo (31/12 ou 01/01). "),"")&amp;IF(AND(ISNUMBER(C69),COUNTIFS($A$2:$A$301,A69,$C$2:$C$301,C69)&gt;1),"⚠ Nome repetido na mesma data. ","")&amp;IF(AND(ISNUMBER(C69),COUNTIFS(FÉRIAS!$A$2:$A$301,A69,FÉRIAS!$C$2:$C$301,"&lt;="&amp;C69,FÉRIAS!$D$2:$D$301,"&gt;="&amp;C69)&gt;0),IF(D69="TRABALHA","⚠ Está de férias e marcado TRABALHA. ","⚠ Já está de férias nesta data. "),"")&amp;IF(AND(ISNUMBER(C69),COUNTIFS(FOLGAS!$A$2:$A$301,A69,FOLGAS!$C$2:$C$301,C69)&gt;0),IF(D69="FOLGA","⚠ Folga também lançada na aba FOLGAS. ",IF(D69="TRABALHA","⚠ Marcado TRABALHA, mas tem folga na aba FOLGAS. ","")),"")&amp;IF(AND(ISNUMBER(C69),D69="FOLGA",B69&lt;&gt;"",COUNTIFS($B$2:$B$301,B69,$C$2:$C$301,C69,$D$2:$D$301,"TRABALHA")=0),"⚠ Ninguém do setor trabalhando nesta data. ","")))</f>
        <v/>
      </c>
    </row>
    <row r="70" customFormat="false" ht="15" hidden="false" customHeight="true" outlineLevel="0" collapsed="false">
      <c r="A70" s="54"/>
      <c r="B70" s="54"/>
      <c r="C70" s="53"/>
      <c r="D70" s="54"/>
      <c r="E70" s="54"/>
      <c r="F70" s="55" t="str">
        <f aca="false">IF(A70="","",TRIM(IF(NOT(ISNUMBER(C70)),"⚠ Falta a data. ","")&amp;IF(ISNUMBER(C70),IF(OR(AND(MONTH(C70)=12,DAY(C70)=31),AND(MONTH(C70)=1,DAY(C70)=1)),"","⚠ Data fora do Ano Novo (31/12 ou 01/01). "),"")&amp;IF(AND(ISNUMBER(C70),COUNTIFS($A$2:$A$301,A70,$C$2:$C$301,C70)&gt;1),"⚠ Nome repetido na mesma data. ","")&amp;IF(AND(ISNUMBER(C70),COUNTIFS(FÉRIAS!$A$2:$A$301,A70,FÉRIAS!$C$2:$C$301,"&lt;="&amp;C70,FÉRIAS!$D$2:$D$301,"&gt;="&amp;C70)&gt;0),IF(D70="TRABALHA","⚠ Está de férias e marcado TRABALHA. ","⚠ Já está de férias nesta data. "),"")&amp;IF(AND(ISNUMBER(C70),COUNTIFS(FOLGAS!$A$2:$A$301,A70,FOLGAS!$C$2:$C$301,C70)&gt;0),IF(D70="FOLGA","⚠ Folga também lançada na aba FOLGAS. ",IF(D70="TRABALHA","⚠ Marcado TRABALHA, mas tem folga na aba FOLGAS. ","")),"")&amp;IF(AND(ISNUMBER(C70),D70="FOLGA",B70&lt;&gt;"",COUNTIFS($B$2:$B$301,B70,$C$2:$C$301,C70,$D$2:$D$301,"TRABALHA")=0),"⚠ Ninguém do setor trabalhando nesta data. ","")))</f>
        <v/>
      </c>
    </row>
    <row r="71" customFormat="false" ht="15" hidden="false" customHeight="true" outlineLevel="0" collapsed="false">
      <c r="A71" s="54"/>
      <c r="B71" s="54"/>
      <c r="C71" s="53"/>
      <c r="D71" s="54"/>
      <c r="E71" s="54"/>
      <c r="F71" s="55" t="str">
        <f aca="false">IF(A71="","",TRIM(IF(NOT(ISNUMBER(C71)),"⚠ Falta a data. ","")&amp;IF(ISNUMBER(C71),IF(OR(AND(MONTH(C71)=12,DAY(C71)=31),AND(MONTH(C71)=1,DAY(C71)=1)),"","⚠ Data fora do Ano Novo (31/12 ou 01/01). "),"")&amp;IF(AND(ISNUMBER(C71),COUNTIFS($A$2:$A$301,A71,$C$2:$C$301,C71)&gt;1),"⚠ Nome repetido na mesma data. ","")&amp;IF(AND(ISNUMBER(C71),COUNTIFS(FÉRIAS!$A$2:$A$301,A71,FÉRIAS!$C$2:$C$301,"&lt;="&amp;C71,FÉRIAS!$D$2:$D$301,"&gt;="&amp;C71)&gt;0),IF(D71="TRABALHA","⚠ Está de férias e marcado TRABALHA. ","⚠ Já está de férias nesta data. "),"")&amp;IF(AND(ISNUMBER(C71),COUNTIFS(FOLGAS!$A$2:$A$301,A71,FOLGAS!$C$2:$C$301,C71)&gt;0),IF(D71="FOLGA","⚠ Folga também lançada na aba FOLGAS. ",IF(D71="TRABALHA","⚠ Marcado TRABALHA, mas tem folga na aba FOLGAS. ","")),"")&amp;IF(AND(ISNUMBER(C71),D71="FOLGA",B71&lt;&gt;"",COUNTIFS($B$2:$B$301,B71,$C$2:$C$301,C71,$D$2:$D$301,"TRABALHA")=0),"⚠ Ninguém do setor trabalhando nesta data. ","")))</f>
        <v/>
      </c>
    </row>
    <row r="72" customFormat="false" ht="15" hidden="false" customHeight="true" outlineLevel="0" collapsed="false">
      <c r="A72" s="54"/>
      <c r="B72" s="54"/>
      <c r="C72" s="53"/>
      <c r="D72" s="54"/>
      <c r="E72" s="54"/>
      <c r="F72" s="55" t="str">
        <f aca="false">IF(A72="","",TRIM(IF(NOT(ISNUMBER(C72)),"⚠ Falta a data. ","")&amp;IF(ISNUMBER(C72),IF(OR(AND(MONTH(C72)=12,DAY(C72)=31),AND(MONTH(C72)=1,DAY(C72)=1)),"","⚠ Data fora do Ano Novo (31/12 ou 01/01). "),"")&amp;IF(AND(ISNUMBER(C72),COUNTIFS($A$2:$A$301,A72,$C$2:$C$301,C72)&gt;1),"⚠ Nome repetido na mesma data. ","")&amp;IF(AND(ISNUMBER(C72),COUNTIFS(FÉRIAS!$A$2:$A$301,A72,FÉRIAS!$C$2:$C$301,"&lt;="&amp;C72,FÉRIAS!$D$2:$D$301,"&gt;="&amp;C72)&gt;0),IF(D72="TRABALHA","⚠ Está de férias e marcado TRABALHA. ","⚠ Já está de férias nesta data. "),"")&amp;IF(AND(ISNUMBER(C72),COUNTIFS(FOLGAS!$A$2:$A$301,A72,FOLGAS!$C$2:$C$301,C72)&gt;0),IF(D72="FOLGA","⚠ Folga também lançada na aba FOLGAS. ",IF(D72="TRABALHA","⚠ Marcado TRABALHA, mas tem folga na aba FOLGAS. ","")),"")&amp;IF(AND(ISNUMBER(C72),D72="FOLGA",B72&lt;&gt;"",COUNTIFS($B$2:$B$301,B72,$C$2:$C$301,C72,$D$2:$D$301,"TRABALHA")=0),"⚠ Ninguém do setor trabalhando nesta data. ","")))</f>
        <v/>
      </c>
    </row>
    <row r="73" customFormat="false" ht="15" hidden="false" customHeight="true" outlineLevel="0" collapsed="false">
      <c r="A73" s="54"/>
      <c r="B73" s="54"/>
      <c r="C73" s="53"/>
      <c r="D73" s="54"/>
      <c r="E73" s="54"/>
      <c r="F73" s="55" t="str">
        <f aca="false">IF(A73="","",TRIM(IF(NOT(ISNUMBER(C73)),"⚠ Falta a data. ","")&amp;IF(ISNUMBER(C73),IF(OR(AND(MONTH(C73)=12,DAY(C73)=31),AND(MONTH(C73)=1,DAY(C73)=1)),"","⚠ Data fora do Ano Novo (31/12 ou 01/01). "),"")&amp;IF(AND(ISNUMBER(C73),COUNTIFS($A$2:$A$301,A73,$C$2:$C$301,C73)&gt;1),"⚠ Nome repetido na mesma data. ","")&amp;IF(AND(ISNUMBER(C73),COUNTIFS(FÉRIAS!$A$2:$A$301,A73,FÉRIAS!$C$2:$C$301,"&lt;="&amp;C73,FÉRIAS!$D$2:$D$301,"&gt;="&amp;C73)&gt;0),IF(D73="TRABALHA","⚠ Está de férias e marcado TRABALHA. ","⚠ Já está de férias nesta data. "),"")&amp;IF(AND(ISNUMBER(C73),COUNTIFS(FOLGAS!$A$2:$A$301,A73,FOLGAS!$C$2:$C$301,C73)&gt;0),IF(D73="FOLGA","⚠ Folga também lançada na aba FOLGAS. ",IF(D73="TRABALHA","⚠ Marcado TRABALHA, mas tem folga na aba FOLGAS. ","")),"")&amp;IF(AND(ISNUMBER(C73),D73="FOLGA",B73&lt;&gt;"",COUNTIFS($B$2:$B$301,B73,$C$2:$C$301,C73,$D$2:$D$301,"TRABALHA")=0),"⚠ Ninguém do setor trabalhando nesta data. ","")))</f>
        <v/>
      </c>
    </row>
    <row r="74" customFormat="false" ht="15" hidden="false" customHeight="true" outlineLevel="0" collapsed="false">
      <c r="A74" s="54"/>
      <c r="B74" s="54"/>
      <c r="C74" s="53"/>
      <c r="D74" s="54"/>
      <c r="E74" s="54"/>
      <c r="F74" s="55" t="str">
        <f aca="false">IF(A74="","",TRIM(IF(NOT(ISNUMBER(C74)),"⚠ Falta a data. ","")&amp;IF(ISNUMBER(C74),IF(OR(AND(MONTH(C74)=12,DAY(C74)=31),AND(MONTH(C74)=1,DAY(C74)=1)),"","⚠ Data fora do Ano Novo (31/12 ou 01/01). "),"")&amp;IF(AND(ISNUMBER(C74),COUNTIFS($A$2:$A$301,A74,$C$2:$C$301,C74)&gt;1),"⚠ Nome repetido na mesma data. ","")&amp;IF(AND(ISNUMBER(C74),COUNTIFS(FÉRIAS!$A$2:$A$301,A74,FÉRIAS!$C$2:$C$301,"&lt;="&amp;C74,FÉRIAS!$D$2:$D$301,"&gt;="&amp;C74)&gt;0),IF(D74="TRABALHA","⚠ Está de férias e marcado TRABALHA. ","⚠ Já está de férias nesta data. "),"")&amp;IF(AND(ISNUMBER(C74),COUNTIFS(FOLGAS!$A$2:$A$301,A74,FOLGAS!$C$2:$C$301,C74)&gt;0),IF(D74="FOLGA","⚠ Folga também lançada na aba FOLGAS. ",IF(D74="TRABALHA","⚠ Marcado TRABALHA, mas tem folga na aba FOLGAS. ","")),"")&amp;IF(AND(ISNUMBER(C74),D74="FOLGA",B74&lt;&gt;"",COUNTIFS($B$2:$B$301,B74,$C$2:$C$301,C74,$D$2:$D$301,"TRABALHA")=0),"⚠ Ninguém do setor trabalhando nesta data. ","")))</f>
        <v/>
      </c>
    </row>
    <row r="75" customFormat="false" ht="15" hidden="false" customHeight="true" outlineLevel="0" collapsed="false">
      <c r="A75" s="54"/>
      <c r="B75" s="54"/>
      <c r="C75" s="53"/>
      <c r="D75" s="54"/>
      <c r="E75" s="54"/>
      <c r="F75" s="55" t="str">
        <f aca="false">IF(A75="","",TRIM(IF(NOT(ISNUMBER(C75)),"⚠ Falta a data. ","")&amp;IF(ISNUMBER(C75),IF(OR(AND(MONTH(C75)=12,DAY(C75)=31),AND(MONTH(C75)=1,DAY(C75)=1)),"","⚠ Data fora do Ano Novo (31/12 ou 01/01). "),"")&amp;IF(AND(ISNUMBER(C75),COUNTIFS($A$2:$A$301,A75,$C$2:$C$301,C75)&gt;1),"⚠ Nome repetido na mesma data. ","")&amp;IF(AND(ISNUMBER(C75),COUNTIFS(FÉRIAS!$A$2:$A$301,A75,FÉRIAS!$C$2:$C$301,"&lt;="&amp;C75,FÉRIAS!$D$2:$D$301,"&gt;="&amp;C75)&gt;0),IF(D75="TRABALHA","⚠ Está de férias e marcado TRABALHA. ","⚠ Já está de férias nesta data. "),"")&amp;IF(AND(ISNUMBER(C75),COUNTIFS(FOLGAS!$A$2:$A$301,A75,FOLGAS!$C$2:$C$301,C75)&gt;0),IF(D75="FOLGA","⚠ Folga também lançada na aba FOLGAS. ",IF(D75="TRABALHA","⚠ Marcado TRABALHA, mas tem folga na aba FOLGAS. ","")),"")&amp;IF(AND(ISNUMBER(C75),D75="FOLGA",B75&lt;&gt;"",COUNTIFS($B$2:$B$301,B75,$C$2:$C$301,C75,$D$2:$D$301,"TRABALHA")=0),"⚠ Ninguém do setor trabalhando nesta data. ","")))</f>
        <v/>
      </c>
    </row>
    <row r="76" customFormat="false" ht="15" hidden="false" customHeight="true" outlineLevel="0" collapsed="false">
      <c r="A76" s="54"/>
      <c r="B76" s="54"/>
      <c r="C76" s="53"/>
      <c r="D76" s="54"/>
      <c r="E76" s="54"/>
      <c r="F76" s="55" t="str">
        <f aca="false">IF(A76="","",TRIM(IF(NOT(ISNUMBER(C76)),"⚠ Falta a data. ","")&amp;IF(ISNUMBER(C76),IF(OR(AND(MONTH(C76)=12,DAY(C76)=31),AND(MONTH(C76)=1,DAY(C76)=1)),"","⚠ Data fora do Ano Novo (31/12 ou 01/01). "),"")&amp;IF(AND(ISNUMBER(C76),COUNTIFS($A$2:$A$301,A76,$C$2:$C$301,C76)&gt;1),"⚠ Nome repetido na mesma data. ","")&amp;IF(AND(ISNUMBER(C76),COUNTIFS(FÉRIAS!$A$2:$A$301,A76,FÉRIAS!$C$2:$C$301,"&lt;="&amp;C76,FÉRIAS!$D$2:$D$301,"&gt;="&amp;C76)&gt;0),IF(D76="TRABALHA","⚠ Está de férias e marcado TRABALHA. ","⚠ Já está de férias nesta data. "),"")&amp;IF(AND(ISNUMBER(C76),COUNTIFS(FOLGAS!$A$2:$A$301,A76,FOLGAS!$C$2:$C$301,C76)&gt;0),IF(D76="FOLGA","⚠ Folga também lançada na aba FOLGAS. ",IF(D76="TRABALHA","⚠ Marcado TRABALHA, mas tem folga na aba FOLGAS. ","")),"")&amp;IF(AND(ISNUMBER(C76),D76="FOLGA",B76&lt;&gt;"",COUNTIFS($B$2:$B$301,B76,$C$2:$C$301,C76,$D$2:$D$301,"TRABALHA")=0),"⚠ Ninguém do setor trabalhando nesta data. ","")))</f>
        <v/>
      </c>
    </row>
    <row r="77" customFormat="false" ht="15" hidden="false" customHeight="true" outlineLevel="0" collapsed="false">
      <c r="A77" s="54"/>
      <c r="B77" s="54"/>
      <c r="C77" s="53"/>
      <c r="D77" s="54"/>
      <c r="E77" s="54"/>
      <c r="F77" s="55" t="str">
        <f aca="false">IF(A77="","",TRIM(IF(NOT(ISNUMBER(C77)),"⚠ Falta a data. ","")&amp;IF(ISNUMBER(C77),IF(OR(AND(MONTH(C77)=12,DAY(C77)=31),AND(MONTH(C77)=1,DAY(C77)=1)),"","⚠ Data fora do Ano Novo (31/12 ou 01/01). "),"")&amp;IF(AND(ISNUMBER(C77),COUNTIFS($A$2:$A$301,A77,$C$2:$C$301,C77)&gt;1),"⚠ Nome repetido na mesma data. ","")&amp;IF(AND(ISNUMBER(C77),COUNTIFS(FÉRIAS!$A$2:$A$301,A77,FÉRIAS!$C$2:$C$301,"&lt;="&amp;C77,FÉRIAS!$D$2:$D$301,"&gt;="&amp;C77)&gt;0),IF(D77="TRABALHA","⚠ Está de férias e marcado TRABALHA. ","⚠ Já está de férias nesta data. "),"")&amp;IF(AND(ISNUMBER(C77),COUNTIFS(FOLGAS!$A$2:$A$301,A77,FOLGAS!$C$2:$C$301,C77)&gt;0),IF(D77="FOLGA","⚠ Folga também lançada na aba FOLGAS. ",IF(D77="TRABALHA","⚠ Marcado TRABALHA, mas tem folga na aba FOLGAS. ","")),"")&amp;IF(AND(ISNUMBER(C77),D77="FOLGA",B77&lt;&gt;"",COUNTIFS($B$2:$B$301,B77,$C$2:$C$301,C77,$D$2:$D$301,"TRABALHA")=0),"⚠ Ninguém do setor trabalhando nesta data. ","")))</f>
        <v/>
      </c>
    </row>
    <row r="78" customFormat="false" ht="15" hidden="false" customHeight="true" outlineLevel="0" collapsed="false">
      <c r="A78" s="54"/>
      <c r="B78" s="54"/>
      <c r="C78" s="53"/>
      <c r="D78" s="54"/>
      <c r="E78" s="54"/>
      <c r="F78" s="55" t="str">
        <f aca="false">IF(A78="","",TRIM(IF(NOT(ISNUMBER(C78)),"⚠ Falta a data. ","")&amp;IF(ISNUMBER(C78),IF(OR(AND(MONTH(C78)=12,DAY(C78)=31),AND(MONTH(C78)=1,DAY(C78)=1)),"","⚠ Data fora do Ano Novo (31/12 ou 01/01). "),"")&amp;IF(AND(ISNUMBER(C78),COUNTIFS($A$2:$A$301,A78,$C$2:$C$301,C78)&gt;1),"⚠ Nome repetido na mesma data. ","")&amp;IF(AND(ISNUMBER(C78),COUNTIFS(FÉRIAS!$A$2:$A$301,A78,FÉRIAS!$C$2:$C$301,"&lt;="&amp;C78,FÉRIAS!$D$2:$D$301,"&gt;="&amp;C78)&gt;0),IF(D78="TRABALHA","⚠ Está de férias e marcado TRABALHA. ","⚠ Já está de férias nesta data. "),"")&amp;IF(AND(ISNUMBER(C78),COUNTIFS(FOLGAS!$A$2:$A$301,A78,FOLGAS!$C$2:$C$301,C78)&gt;0),IF(D78="FOLGA","⚠ Folga também lançada na aba FOLGAS. ",IF(D78="TRABALHA","⚠ Marcado TRABALHA, mas tem folga na aba FOLGAS. ","")),"")&amp;IF(AND(ISNUMBER(C78),D78="FOLGA",B78&lt;&gt;"",COUNTIFS($B$2:$B$301,B78,$C$2:$C$301,C78,$D$2:$D$301,"TRABALHA")=0),"⚠ Ninguém do setor trabalhando nesta data. ","")))</f>
        <v/>
      </c>
    </row>
    <row r="79" customFormat="false" ht="15" hidden="false" customHeight="true" outlineLevel="0" collapsed="false">
      <c r="A79" s="54"/>
      <c r="B79" s="54"/>
      <c r="C79" s="53"/>
      <c r="D79" s="54"/>
      <c r="E79" s="54"/>
      <c r="F79" s="55" t="str">
        <f aca="false">IF(A79="","",TRIM(IF(NOT(ISNUMBER(C79)),"⚠ Falta a data. ","")&amp;IF(ISNUMBER(C79),IF(OR(AND(MONTH(C79)=12,DAY(C79)=31),AND(MONTH(C79)=1,DAY(C79)=1)),"","⚠ Data fora do Ano Novo (31/12 ou 01/01). "),"")&amp;IF(AND(ISNUMBER(C79),COUNTIFS($A$2:$A$301,A79,$C$2:$C$301,C79)&gt;1),"⚠ Nome repetido na mesma data. ","")&amp;IF(AND(ISNUMBER(C79),COUNTIFS(FÉRIAS!$A$2:$A$301,A79,FÉRIAS!$C$2:$C$301,"&lt;="&amp;C79,FÉRIAS!$D$2:$D$301,"&gt;="&amp;C79)&gt;0),IF(D79="TRABALHA","⚠ Está de férias e marcado TRABALHA. ","⚠ Já está de férias nesta data. "),"")&amp;IF(AND(ISNUMBER(C79),COUNTIFS(FOLGAS!$A$2:$A$301,A79,FOLGAS!$C$2:$C$301,C79)&gt;0),IF(D79="FOLGA","⚠ Folga também lançada na aba FOLGAS. ",IF(D79="TRABALHA","⚠ Marcado TRABALHA, mas tem folga na aba FOLGAS. ","")),"")&amp;IF(AND(ISNUMBER(C79),D79="FOLGA",B79&lt;&gt;"",COUNTIFS($B$2:$B$301,B79,$C$2:$C$301,C79,$D$2:$D$301,"TRABALHA")=0),"⚠ Ninguém do setor trabalhando nesta data. ","")))</f>
        <v/>
      </c>
    </row>
    <row r="80" customFormat="false" ht="15" hidden="false" customHeight="true" outlineLevel="0" collapsed="false">
      <c r="A80" s="54"/>
      <c r="B80" s="54"/>
      <c r="C80" s="53"/>
      <c r="D80" s="54"/>
      <c r="E80" s="54"/>
      <c r="F80" s="55" t="str">
        <f aca="false">IF(A80="","",TRIM(IF(NOT(ISNUMBER(C80)),"⚠ Falta a data. ","")&amp;IF(ISNUMBER(C80),IF(OR(AND(MONTH(C80)=12,DAY(C80)=31),AND(MONTH(C80)=1,DAY(C80)=1)),"","⚠ Data fora do Ano Novo (31/12 ou 01/01). "),"")&amp;IF(AND(ISNUMBER(C80),COUNTIFS($A$2:$A$301,A80,$C$2:$C$301,C80)&gt;1),"⚠ Nome repetido na mesma data. ","")&amp;IF(AND(ISNUMBER(C80),COUNTIFS(FÉRIAS!$A$2:$A$301,A80,FÉRIAS!$C$2:$C$301,"&lt;="&amp;C80,FÉRIAS!$D$2:$D$301,"&gt;="&amp;C80)&gt;0),IF(D80="TRABALHA","⚠ Está de férias e marcado TRABALHA. ","⚠ Já está de férias nesta data. "),"")&amp;IF(AND(ISNUMBER(C80),COUNTIFS(FOLGAS!$A$2:$A$301,A80,FOLGAS!$C$2:$C$301,C80)&gt;0),IF(D80="FOLGA","⚠ Folga também lançada na aba FOLGAS. ",IF(D80="TRABALHA","⚠ Marcado TRABALHA, mas tem folga na aba FOLGAS. ","")),"")&amp;IF(AND(ISNUMBER(C80),D80="FOLGA",B80&lt;&gt;"",COUNTIFS($B$2:$B$301,B80,$C$2:$C$301,C80,$D$2:$D$301,"TRABALHA")=0),"⚠ Ninguém do setor trabalhando nesta data. ","")))</f>
        <v/>
      </c>
    </row>
    <row r="81" customFormat="false" ht="15" hidden="false" customHeight="true" outlineLevel="0" collapsed="false">
      <c r="A81" s="54"/>
      <c r="B81" s="54"/>
      <c r="C81" s="53"/>
      <c r="D81" s="54"/>
      <c r="E81" s="54"/>
      <c r="F81" s="55" t="str">
        <f aca="false">IF(A81="","",TRIM(IF(NOT(ISNUMBER(C81)),"⚠ Falta a data. ","")&amp;IF(ISNUMBER(C81),IF(OR(AND(MONTH(C81)=12,DAY(C81)=31),AND(MONTH(C81)=1,DAY(C81)=1)),"","⚠ Data fora do Ano Novo (31/12 ou 01/01). "),"")&amp;IF(AND(ISNUMBER(C81),COUNTIFS($A$2:$A$301,A81,$C$2:$C$301,C81)&gt;1),"⚠ Nome repetido na mesma data. ","")&amp;IF(AND(ISNUMBER(C81),COUNTIFS(FÉRIAS!$A$2:$A$301,A81,FÉRIAS!$C$2:$C$301,"&lt;="&amp;C81,FÉRIAS!$D$2:$D$301,"&gt;="&amp;C81)&gt;0),IF(D81="TRABALHA","⚠ Está de férias e marcado TRABALHA. ","⚠ Já está de férias nesta data. "),"")&amp;IF(AND(ISNUMBER(C81),COUNTIFS(FOLGAS!$A$2:$A$301,A81,FOLGAS!$C$2:$C$301,C81)&gt;0),IF(D81="FOLGA","⚠ Folga também lançada na aba FOLGAS. ",IF(D81="TRABALHA","⚠ Marcado TRABALHA, mas tem folga na aba FOLGAS. ","")),"")&amp;IF(AND(ISNUMBER(C81),D81="FOLGA",B81&lt;&gt;"",COUNTIFS($B$2:$B$301,B81,$C$2:$C$301,C81,$D$2:$D$301,"TRABALHA")=0),"⚠ Ninguém do setor trabalhando nesta data. ","")))</f>
        <v/>
      </c>
    </row>
    <row r="82" customFormat="false" ht="15" hidden="false" customHeight="true" outlineLevel="0" collapsed="false">
      <c r="A82" s="54"/>
      <c r="B82" s="54"/>
      <c r="C82" s="53"/>
      <c r="D82" s="54"/>
      <c r="E82" s="54"/>
      <c r="F82" s="55" t="str">
        <f aca="false">IF(A82="","",TRIM(IF(NOT(ISNUMBER(C82)),"⚠ Falta a data. ","")&amp;IF(ISNUMBER(C82),IF(OR(AND(MONTH(C82)=12,DAY(C82)=31),AND(MONTH(C82)=1,DAY(C82)=1)),"","⚠ Data fora do Ano Novo (31/12 ou 01/01). "),"")&amp;IF(AND(ISNUMBER(C82),COUNTIFS($A$2:$A$301,A82,$C$2:$C$301,C82)&gt;1),"⚠ Nome repetido na mesma data. ","")&amp;IF(AND(ISNUMBER(C82),COUNTIFS(FÉRIAS!$A$2:$A$301,A82,FÉRIAS!$C$2:$C$301,"&lt;="&amp;C82,FÉRIAS!$D$2:$D$301,"&gt;="&amp;C82)&gt;0),IF(D82="TRABALHA","⚠ Está de férias e marcado TRABALHA. ","⚠ Já está de férias nesta data. "),"")&amp;IF(AND(ISNUMBER(C82),COUNTIFS(FOLGAS!$A$2:$A$301,A82,FOLGAS!$C$2:$C$301,C82)&gt;0),IF(D82="FOLGA","⚠ Folga também lançada na aba FOLGAS. ",IF(D82="TRABALHA","⚠ Marcado TRABALHA, mas tem folga na aba FOLGAS. ","")),"")&amp;IF(AND(ISNUMBER(C82),D82="FOLGA",B82&lt;&gt;"",COUNTIFS($B$2:$B$301,B82,$C$2:$C$301,C82,$D$2:$D$301,"TRABALHA")=0),"⚠ Ninguém do setor trabalhando nesta data. ","")))</f>
        <v/>
      </c>
    </row>
    <row r="83" customFormat="false" ht="15" hidden="false" customHeight="true" outlineLevel="0" collapsed="false">
      <c r="A83" s="54"/>
      <c r="B83" s="54"/>
      <c r="C83" s="53"/>
      <c r="D83" s="54"/>
      <c r="E83" s="54"/>
      <c r="F83" s="55" t="str">
        <f aca="false">IF(A83="","",TRIM(IF(NOT(ISNUMBER(C83)),"⚠ Falta a data. ","")&amp;IF(ISNUMBER(C83),IF(OR(AND(MONTH(C83)=12,DAY(C83)=31),AND(MONTH(C83)=1,DAY(C83)=1)),"","⚠ Data fora do Ano Novo (31/12 ou 01/01). "),"")&amp;IF(AND(ISNUMBER(C83),COUNTIFS($A$2:$A$301,A83,$C$2:$C$301,C83)&gt;1),"⚠ Nome repetido na mesma data. ","")&amp;IF(AND(ISNUMBER(C83),COUNTIFS(FÉRIAS!$A$2:$A$301,A83,FÉRIAS!$C$2:$C$301,"&lt;="&amp;C83,FÉRIAS!$D$2:$D$301,"&gt;="&amp;C83)&gt;0),IF(D83="TRABALHA","⚠ Está de férias e marcado TRABALHA. ","⚠ Já está de férias nesta data. "),"")&amp;IF(AND(ISNUMBER(C83),COUNTIFS(FOLGAS!$A$2:$A$301,A83,FOLGAS!$C$2:$C$301,C83)&gt;0),IF(D83="FOLGA","⚠ Folga também lançada na aba FOLGAS. ",IF(D83="TRABALHA","⚠ Marcado TRABALHA, mas tem folga na aba FOLGAS. ","")),"")&amp;IF(AND(ISNUMBER(C83),D83="FOLGA",B83&lt;&gt;"",COUNTIFS($B$2:$B$301,B83,$C$2:$C$301,C83,$D$2:$D$301,"TRABALHA")=0),"⚠ Ninguém do setor trabalhando nesta data. ","")))</f>
        <v/>
      </c>
    </row>
    <row r="84" customFormat="false" ht="15" hidden="false" customHeight="true" outlineLevel="0" collapsed="false">
      <c r="A84" s="54"/>
      <c r="B84" s="54"/>
      <c r="C84" s="53"/>
      <c r="D84" s="54"/>
      <c r="E84" s="54"/>
      <c r="F84" s="55" t="str">
        <f aca="false">IF(A84="","",TRIM(IF(NOT(ISNUMBER(C84)),"⚠ Falta a data. ","")&amp;IF(ISNUMBER(C84),IF(OR(AND(MONTH(C84)=12,DAY(C84)=31),AND(MONTH(C84)=1,DAY(C84)=1)),"","⚠ Data fora do Ano Novo (31/12 ou 01/01). "),"")&amp;IF(AND(ISNUMBER(C84),COUNTIFS($A$2:$A$301,A84,$C$2:$C$301,C84)&gt;1),"⚠ Nome repetido na mesma data. ","")&amp;IF(AND(ISNUMBER(C84),COUNTIFS(FÉRIAS!$A$2:$A$301,A84,FÉRIAS!$C$2:$C$301,"&lt;="&amp;C84,FÉRIAS!$D$2:$D$301,"&gt;="&amp;C84)&gt;0),IF(D84="TRABALHA","⚠ Está de férias e marcado TRABALHA. ","⚠ Já está de férias nesta data. "),"")&amp;IF(AND(ISNUMBER(C84),COUNTIFS(FOLGAS!$A$2:$A$301,A84,FOLGAS!$C$2:$C$301,C84)&gt;0),IF(D84="FOLGA","⚠ Folga também lançada na aba FOLGAS. ",IF(D84="TRABALHA","⚠ Marcado TRABALHA, mas tem folga na aba FOLGAS. ","")),"")&amp;IF(AND(ISNUMBER(C84),D84="FOLGA",B84&lt;&gt;"",COUNTIFS($B$2:$B$301,B84,$C$2:$C$301,C84,$D$2:$D$301,"TRABALHA")=0),"⚠ Ninguém do setor trabalhando nesta data. ","")))</f>
        <v/>
      </c>
    </row>
    <row r="85" customFormat="false" ht="15" hidden="false" customHeight="true" outlineLevel="0" collapsed="false">
      <c r="A85" s="54"/>
      <c r="B85" s="54"/>
      <c r="C85" s="53"/>
      <c r="D85" s="54"/>
      <c r="E85" s="54"/>
      <c r="F85" s="55" t="str">
        <f aca="false">IF(A85="","",TRIM(IF(NOT(ISNUMBER(C85)),"⚠ Falta a data. ","")&amp;IF(ISNUMBER(C85),IF(OR(AND(MONTH(C85)=12,DAY(C85)=31),AND(MONTH(C85)=1,DAY(C85)=1)),"","⚠ Data fora do Ano Novo (31/12 ou 01/01). "),"")&amp;IF(AND(ISNUMBER(C85),COUNTIFS($A$2:$A$301,A85,$C$2:$C$301,C85)&gt;1),"⚠ Nome repetido na mesma data. ","")&amp;IF(AND(ISNUMBER(C85),COUNTIFS(FÉRIAS!$A$2:$A$301,A85,FÉRIAS!$C$2:$C$301,"&lt;="&amp;C85,FÉRIAS!$D$2:$D$301,"&gt;="&amp;C85)&gt;0),IF(D85="TRABALHA","⚠ Está de férias e marcado TRABALHA. ","⚠ Já está de férias nesta data. "),"")&amp;IF(AND(ISNUMBER(C85),COUNTIFS(FOLGAS!$A$2:$A$301,A85,FOLGAS!$C$2:$C$301,C85)&gt;0),IF(D85="FOLGA","⚠ Folga também lançada na aba FOLGAS. ",IF(D85="TRABALHA","⚠ Marcado TRABALHA, mas tem folga na aba FOLGAS. ","")),"")&amp;IF(AND(ISNUMBER(C85),D85="FOLGA",B85&lt;&gt;"",COUNTIFS($B$2:$B$301,B85,$C$2:$C$301,C85,$D$2:$D$301,"TRABALHA")=0),"⚠ Ninguém do setor trabalhando nesta data. ","")))</f>
        <v/>
      </c>
    </row>
    <row r="86" customFormat="false" ht="15" hidden="false" customHeight="true" outlineLevel="0" collapsed="false">
      <c r="A86" s="54"/>
      <c r="B86" s="54"/>
      <c r="C86" s="53"/>
      <c r="D86" s="54"/>
      <c r="E86" s="54"/>
      <c r="F86" s="55" t="str">
        <f aca="false">IF(A86="","",TRIM(IF(NOT(ISNUMBER(C86)),"⚠ Falta a data. ","")&amp;IF(ISNUMBER(C86),IF(OR(AND(MONTH(C86)=12,DAY(C86)=31),AND(MONTH(C86)=1,DAY(C86)=1)),"","⚠ Data fora do Ano Novo (31/12 ou 01/01). "),"")&amp;IF(AND(ISNUMBER(C86),COUNTIFS($A$2:$A$301,A86,$C$2:$C$301,C86)&gt;1),"⚠ Nome repetido na mesma data. ","")&amp;IF(AND(ISNUMBER(C86),COUNTIFS(FÉRIAS!$A$2:$A$301,A86,FÉRIAS!$C$2:$C$301,"&lt;="&amp;C86,FÉRIAS!$D$2:$D$301,"&gt;="&amp;C86)&gt;0),IF(D86="TRABALHA","⚠ Está de férias e marcado TRABALHA. ","⚠ Já está de férias nesta data. "),"")&amp;IF(AND(ISNUMBER(C86),COUNTIFS(FOLGAS!$A$2:$A$301,A86,FOLGAS!$C$2:$C$301,C86)&gt;0),IF(D86="FOLGA","⚠ Folga também lançada na aba FOLGAS. ",IF(D86="TRABALHA","⚠ Marcado TRABALHA, mas tem folga na aba FOLGAS. ","")),"")&amp;IF(AND(ISNUMBER(C86),D86="FOLGA",B86&lt;&gt;"",COUNTIFS($B$2:$B$301,B86,$C$2:$C$301,C86,$D$2:$D$301,"TRABALHA")=0),"⚠ Ninguém do setor trabalhando nesta data. ","")))</f>
        <v/>
      </c>
    </row>
    <row r="87" customFormat="false" ht="15" hidden="false" customHeight="true" outlineLevel="0" collapsed="false">
      <c r="A87" s="54"/>
      <c r="B87" s="54"/>
      <c r="C87" s="53"/>
      <c r="D87" s="54"/>
      <c r="E87" s="54"/>
      <c r="F87" s="55" t="str">
        <f aca="false">IF(A87="","",TRIM(IF(NOT(ISNUMBER(C87)),"⚠ Falta a data. ","")&amp;IF(ISNUMBER(C87),IF(OR(AND(MONTH(C87)=12,DAY(C87)=31),AND(MONTH(C87)=1,DAY(C87)=1)),"","⚠ Data fora do Ano Novo (31/12 ou 01/01). "),"")&amp;IF(AND(ISNUMBER(C87),COUNTIFS($A$2:$A$301,A87,$C$2:$C$301,C87)&gt;1),"⚠ Nome repetido na mesma data. ","")&amp;IF(AND(ISNUMBER(C87),COUNTIFS(FÉRIAS!$A$2:$A$301,A87,FÉRIAS!$C$2:$C$301,"&lt;="&amp;C87,FÉRIAS!$D$2:$D$301,"&gt;="&amp;C87)&gt;0),IF(D87="TRABALHA","⚠ Está de férias e marcado TRABALHA. ","⚠ Já está de férias nesta data. "),"")&amp;IF(AND(ISNUMBER(C87),COUNTIFS(FOLGAS!$A$2:$A$301,A87,FOLGAS!$C$2:$C$301,C87)&gt;0),IF(D87="FOLGA","⚠ Folga também lançada na aba FOLGAS. ",IF(D87="TRABALHA","⚠ Marcado TRABALHA, mas tem folga na aba FOLGAS. ","")),"")&amp;IF(AND(ISNUMBER(C87),D87="FOLGA",B87&lt;&gt;"",COUNTIFS($B$2:$B$301,B87,$C$2:$C$301,C87,$D$2:$D$301,"TRABALHA")=0),"⚠ Ninguém do setor trabalhando nesta data. ","")))</f>
        <v/>
      </c>
    </row>
    <row r="88" customFormat="false" ht="15" hidden="false" customHeight="true" outlineLevel="0" collapsed="false">
      <c r="A88" s="54"/>
      <c r="B88" s="54"/>
      <c r="C88" s="53"/>
      <c r="D88" s="54"/>
      <c r="E88" s="54"/>
      <c r="F88" s="55" t="str">
        <f aca="false">IF(A88="","",TRIM(IF(NOT(ISNUMBER(C88)),"⚠ Falta a data. ","")&amp;IF(ISNUMBER(C88),IF(OR(AND(MONTH(C88)=12,DAY(C88)=31),AND(MONTH(C88)=1,DAY(C88)=1)),"","⚠ Data fora do Ano Novo (31/12 ou 01/01). "),"")&amp;IF(AND(ISNUMBER(C88),COUNTIFS($A$2:$A$301,A88,$C$2:$C$301,C88)&gt;1),"⚠ Nome repetido na mesma data. ","")&amp;IF(AND(ISNUMBER(C88),COUNTIFS(FÉRIAS!$A$2:$A$301,A88,FÉRIAS!$C$2:$C$301,"&lt;="&amp;C88,FÉRIAS!$D$2:$D$301,"&gt;="&amp;C88)&gt;0),IF(D88="TRABALHA","⚠ Está de férias e marcado TRABALHA. ","⚠ Já está de férias nesta data. "),"")&amp;IF(AND(ISNUMBER(C88),COUNTIFS(FOLGAS!$A$2:$A$301,A88,FOLGAS!$C$2:$C$301,C88)&gt;0),IF(D88="FOLGA","⚠ Folga também lançada na aba FOLGAS. ",IF(D88="TRABALHA","⚠ Marcado TRABALHA, mas tem folga na aba FOLGAS. ","")),"")&amp;IF(AND(ISNUMBER(C88),D88="FOLGA",B88&lt;&gt;"",COUNTIFS($B$2:$B$301,B88,$C$2:$C$301,C88,$D$2:$D$301,"TRABALHA")=0),"⚠ Ninguém do setor trabalhando nesta data. ","")))</f>
        <v/>
      </c>
    </row>
    <row r="89" customFormat="false" ht="15" hidden="false" customHeight="true" outlineLevel="0" collapsed="false">
      <c r="A89" s="54"/>
      <c r="B89" s="54"/>
      <c r="C89" s="53"/>
      <c r="D89" s="54"/>
      <c r="E89" s="54"/>
      <c r="F89" s="55" t="str">
        <f aca="false">IF(A89="","",TRIM(IF(NOT(ISNUMBER(C89)),"⚠ Falta a data. ","")&amp;IF(ISNUMBER(C89),IF(OR(AND(MONTH(C89)=12,DAY(C89)=31),AND(MONTH(C89)=1,DAY(C89)=1)),"","⚠ Data fora do Ano Novo (31/12 ou 01/01). "),"")&amp;IF(AND(ISNUMBER(C89),COUNTIFS($A$2:$A$301,A89,$C$2:$C$301,C89)&gt;1),"⚠ Nome repetido na mesma data. ","")&amp;IF(AND(ISNUMBER(C89),COUNTIFS(FÉRIAS!$A$2:$A$301,A89,FÉRIAS!$C$2:$C$301,"&lt;="&amp;C89,FÉRIAS!$D$2:$D$301,"&gt;="&amp;C89)&gt;0),IF(D89="TRABALHA","⚠ Está de férias e marcado TRABALHA. ","⚠ Já está de férias nesta data. "),"")&amp;IF(AND(ISNUMBER(C89),COUNTIFS(FOLGAS!$A$2:$A$301,A89,FOLGAS!$C$2:$C$301,C89)&gt;0),IF(D89="FOLGA","⚠ Folga também lançada na aba FOLGAS. ",IF(D89="TRABALHA","⚠ Marcado TRABALHA, mas tem folga na aba FOLGAS. ","")),"")&amp;IF(AND(ISNUMBER(C89),D89="FOLGA",B89&lt;&gt;"",COUNTIFS($B$2:$B$301,B89,$C$2:$C$301,C89,$D$2:$D$301,"TRABALHA")=0),"⚠ Ninguém do setor trabalhando nesta data. ","")))</f>
        <v/>
      </c>
    </row>
    <row r="90" customFormat="false" ht="15" hidden="false" customHeight="true" outlineLevel="0" collapsed="false">
      <c r="A90" s="54"/>
      <c r="B90" s="54"/>
      <c r="C90" s="53"/>
      <c r="D90" s="54"/>
      <c r="E90" s="54"/>
      <c r="F90" s="55" t="str">
        <f aca="false">IF(A90="","",TRIM(IF(NOT(ISNUMBER(C90)),"⚠ Falta a data. ","")&amp;IF(ISNUMBER(C90),IF(OR(AND(MONTH(C90)=12,DAY(C90)=31),AND(MONTH(C90)=1,DAY(C90)=1)),"","⚠ Data fora do Ano Novo (31/12 ou 01/01). "),"")&amp;IF(AND(ISNUMBER(C90),COUNTIFS($A$2:$A$301,A90,$C$2:$C$301,C90)&gt;1),"⚠ Nome repetido na mesma data. ","")&amp;IF(AND(ISNUMBER(C90),COUNTIFS(FÉRIAS!$A$2:$A$301,A90,FÉRIAS!$C$2:$C$301,"&lt;="&amp;C90,FÉRIAS!$D$2:$D$301,"&gt;="&amp;C90)&gt;0),IF(D90="TRABALHA","⚠ Está de férias e marcado TRABALHA. ","⚠ Já está de férias nesta data. "),"")&amp;IF(AND(ISNUMBER(C90),COUNTIFS(FOLGAS!$A$2:$A$301,A90,FOLGAS!$C$2:$C$301,C90)&gt;0),IF(D90="FOLGA","⚠ Folga também lançada na aba FOLGAS. ",IF(D90="TRABALHA","⚠ Marcado TRABALHA, mas tem folga na aba FOLGAS. ","")),"")&amp;IF(AND(ISNUMBER(C90),D90="FOLGA",B90&lt;&gt;"",COUNTIFS($B$2:$B$301,B90,$C$2:$C$301,C90,$D$2:$D$301,"TRABALHA")=0),"⚠ Ninguém do setor trabalhando nesta data. ","")))</f>
        <v/>
      </c>
    </row>
    <row r="91" customFormat="false" ht="15" hidden="false" customHeight="true" outlineLevel="0" collapsed="false">
      <c r="A91" s="54"/>
      <c r="B91" s="54"/>
      <c r="C91" s="53"/>
      <c r="D91" s="54"/>
      <c r="E91" s="54"/>
      <c r="F91" s="55" t="str">
        <f aca="false">IF(A91="","",TRIM(IF(NOT(ISNUMBER(C91)),"⚠ Falta a data. ","")&amp;IF(ISNUMBER(C91),IF(OR(AND(MONTH(C91)=12,DAY(C91)=31),AND(MONTH(C91)=1,DAY(C91)=1)),"","⚠ Data fora do Ano Novo (31/12 ou 01/01). "),"")&amp;IF(AND(ISNUMBER(C91),COUNTIFS($A$2:$A$301,A91,$C$2:$C$301,C91)&gt;1),"⚠ Nome repetido na mesma data. ","")&amp;IF(AND(ISNUMBER(C91),COUNTIFS(FÉRIAS!$A$2:$A$301,A91,FÉRIAS!$C$2:$C$301,"&lt;="&amp;C91,FÉRIAS!$D$2:$D$301,"&gt;="&amp;C91)&gt;0),IF(D91="TRABALHA","⚠ Está de férias e marcado TRABALHA. ","⚠ Já está de férias nesta data. "),"")&amp;IF(AND(ISNUMBER(C91),COUNTIFS(FOLGAS!$A$2:$A$301,A91,FOLGAS!$C$2:$C$301,C91)&gt;0),IF(D91="FOLGA","⚠ Folga também lançada na aba FOLGAS. ",IF(D91="TRABALHA","⚠ Marcado TRABALHA, mas tem folga na aba FOLGAS. ","")),"")&amp;IF(AND(ISNUMBER(C91),D91="FOLGA",B91&lt;&gt;"",COUNTIFS($B$2:$B$301,B91,$C$2:$C$301,C91,$D$2:$D$301,"TRABALHA")=0),"⚠ Ninguém do setor trabalhando nesta data. ","")))</f>
        <v/>
      </c>
    </row>
    <row r="92" customFormat="false" ht="15" hidden="false" customHeight="true" outlineLevel="0" collapsed="false">
      <c r="A92" s="54"/>
      <c r="B92" s="54"/>
      <c r="C92" s="53"/>
      <c r="D92" s="54"/>
      <c r="E92" s="54"/>
      <c r="F92" s="55" t="str">
        <f aca="false">IF(A92="","",TRIM(IF(NOT(ISNUMBER(C92)),"⚠ Falta a data. ","")&amp;IF(ISNUMBER(C92),IF(OR(AND(MONTH(C92)=12,DAY(C92)=31),AND(MONTH(C92)=1,DAY(C92)=1)),"","⚠ Data fora do Ano Novo (31/12 ou 01/01). "),"")&amp;IF(AND(ISNUMBER(C92),COUNTIFS($A$2:$A$301,A92,$C$2:$C$301,C92)&gt;1),"⚠ Nome repetido na mesma data. ","")&amp;IF(AND(ISNUMBER(C92),COUNTIFS(FÉRIAS!$A$2:$A$301,A92,FÉRIAS!$C$2:$C$301,"&lt;="&amp;C92,FÉRIAS!$D$2:$D$301,"&gt;="&amp;C92)&gt;0),IF(D92="TRABALHA","⚠ Está de férias e marcado TRABALHA. ","⚠ Já está de férias nesta data. "),"")&amp;IF(AND(ISNUMBER(C92),COUNTIFS(FOLGAS!$A$2:$A$301,A92,FOLGAS!$C$2:$C$301,C92)&gt;0),IF(D92="FOLGA","⚠ Folga também lançada na aba FOLGAS. ",IF(D92="TRABALHA","⚠ Marcado TRABALHA, mas tem folga na aba FOLGAS. ","")),"")&amp;IF(AND(ISNUMBER(C92),D92="FOLGA",B92&lt;&gt;"",COUNTIFS($B$2:$B$301,B92,$C$2:$C$301,C92,$D$2:$D$301,"TRABALHA")=0),"⚠ Ninguém do setor trabalhando nesta data. ","")))</f>
        <v/>
      </c>
    </row>
    <row r="93" customFormat="false" ht="15" hidden="false" customHeight="true" outlineLevel="0" collapsed="false">
      <c r="A93" s="54"/>
      <c r="B93" s="54"/>
      <c r="C93" s="53"/>
      <c r="D93" s="54"/>
      <c r="E93" s="54"/>
      <c r="F93" s="55" t="str">
        <f aca="false">IF(A93="","",TRIM(IF(NOT(ISNUMBER(C93)),"⚠ Falta a data. ","")&amp;IF(ISNUMBER(C93),IF(OR(AND(MONTH(C93)=12,DAY(C93)=31),AND(MONTH(C93)=1,DAY(C93)=1)),"","⚠ Data fora do Ano Novo (31/12 ou 01/01). "),"")&amp;IF(AND(ISNUMBER(C93),COUNTIFS($A$2:$A$301,A93,$C$2:$C$301,C93)&gt;1),"⚠ Nome repetido na mesma data. ","")&amp;IF(AND(ISNUMBER(C93),COUNTIFS(FÉRIAS!$A$2:$A$301,A93,FÉRIAS!$C$2:$C$301,"&lt;="&amp;C93,FÉRIAS!$D$2:$D$301,"&gt;="&amp;C93)&gt;0),IF(D93="TRABALHA","⚠ Está de férias e marcado TRABALHA. ","⚠ Já está de férias nesta data. "),"")&amp;IF(AND(ISNUMBER(C93),COUNTIFS(FOLGAS!$A$2:$A$301,A93,FOLGAS!$C$2:$C$301,C93)&gt;0),IF(D93="FOLGA","⚠ Folga também lançada na aba FOLGAS. ",IF(D93="TRABALHA","⚠ Marcado TRABALHA, mas tem folga na aba FOLGAS. ","")),"")&amp;IF(AND(ISNUMBER(C93),D93="FOLGA",B93&lt;&gt;"",COUNTIFS($B$2:$B$301,B93,$C$2:$C$301,C93,$D$2:$D$301,"TRABALHA")=0),"⚠ Ninguém do setor trabalhando nesta data. ","")))</f>
        <v/>
      </c>
    </row>
    <row r="94" customFormat="false" ht="15" hidden="false" customHeight="true" outlineLevel="0" collapsed="false">
      <c r="A94" s="54"/>
      <c r="B94" s="54"/>
      <c r="C94" s="53"/>
      <c r="D94" s="54"/>
      <c r="E94" s="54"/>
      <c r="F94" s="55" t="str">
        <f aca="false">IF(A94="","",TRIM(IF(NOT(ISNUMBER(C94)),"⚠ Falta a data. ","")&amp;IF(ISNUMBER(C94),IF(OR(AND(MONTH(C94)=12,DAY(C94)=31),AND(MONTH(C94)=1,DAY(C94)=1)),"","⚠ Data fora do Ano Novo (31/12 ou 01/01). "),"")&amp;IF(AND(ISNUMBER(C94),COUNTIFS($A$2:$A$301,A94,$C$2:$C$301,C94)&gt;1),"⚠ Nome repetido na mesma data. ","")&amp;IF(AND(ISNUMBER(C94),COUNTIFS(FÉRIAS!$A$2:$A$301,A94,FÉRIAS!$C$2:$C$301,"&lt;="&amp;C94,FÉRIAS!$D$2:$D$301,"&gt;="&amp;C94)&gt;0),IF(D94="TRABALHA","⚠ Está de férias e marcado TRABALHA. ","⚠ Já está de férias nesta data. "),"")&amp;IF(AND(ISNUMBER(C94),COUNTIFS(FOLGAS!$A$2:$A$301,A94,FOLGAS!$C$2:$C$301,C94)&gt;0),IF(D94="FOLGA","⚠ Folga também lançada na aba FOLGAS. ",IF(D94="TRABALHA","⚠ Marcado TRABALHA, mas tem folga na aba FOLGAS. ","")),"")&amp;IF(AND(ISNUMBER(C94),D94="FOLGA",B94&lt;&gt;"",COUNTIFS($B$2:$B$301,B94,$C$2:$C$301,C94,$D$2:$D$301,"TRABALHA")=0),"⚠ Ninguém do setor trabalhando nesta data. ","")))</f>
        <v/>
      </c>
    </row>
    <row r="95" customFormat="false" ht="15" hidden="false" customHeight="true" outlineLevel="0" collapsed="false">
      <c r="A95" s="54"/>
      <c r="B95" s="54"/>
      <c r="C95" s="53"/>
      <c r="D95" s="54"/>
      <c r="E95" s="54"/>
      <c r="F95" s="55" t="str">
        <f aca="false">IF(A95="","",TRIM(IF(NOT(ISNUMBER(C95)),"⚠ Falta a data. ","")&amp;IF(ISNUMBER(C95),IF(OR(AND(MONTH(C95)=12,DAY(C95)=31),AND(MONTH(C95)=1,DAY(C95)=1)),"","⚠ Data fora do Ano Novo (31/12 ou 01/01). "),"")&amp;IF(AND(ISNUMBER(C95),COUNTIFS($A$2:$A$301,A95,$C$2:$C$301,C95)&gt;1),"⚠ Nome repetido na mesma data. ","")&amp;IF(AND(ISNUMBER(C95),COUNTIFS(FÉRIAS!$A$2:$A$301,A95,FÉRIAS!$C$2:$C$301,"&lt;="&amp;C95,FÉRIAS!$D$2:$D$301,"&gt;="&amp;C95)&gt;0),IF(D95="TRABALHA","⚠ Está de férias e marcado TRABALHA. ","⚠ Já está de férias nesta data. "),"")&amp;IF(AND(ISNUMBER(C95),COUNTIFS(FOLGAS!$A$2:$A$301,A95,FOLGAS!$C$2:$C$301,C95)&gt;0),IF(D95="FOLGA","⚠ Folga também lançada na aba FOLGAS. ",IF(D95="TRABALHA","⚠ Marcado TRABALHA, mas tem folga na aba FOLGAS. ","")),"")&amp;IF(AND(ISNUMBER(C95),D95="FOLGA",B95&lt;&gt;"",COUNTIFS($B$2:$B$301,B95,$C$2:$C$301,C95,$D$2:$D$301,"TRABALHA")=0),"⚠ Ninguém do setor trabalhando nesta data. ","")))</f>
        <v/>
      </c>
    </row>
    <row r="96" customFormat="false" ht="15" hidden="false" customHeight="true" outlineLevel="0" collapsed="false">
      <c r="A96" s="54"/>
      <c r="B96" s="54"/>
      <c r="C96" s="53"/>
      <c r="D96" s="54"/>
      <c r="E96" s="54"/>
      <c r="F96" s="55" t="str">
        <f aca="false">IF(A96="","",TRIM(IF(NOT(ISNUMBER(C96)),"⚠ Falta a data. ","")&amp;IF(ISNUMBER(C96),IF(OR(AND(MONTH(C96)=12,DAY(C96)=31),AND(MONTH(C96)=1,DAY(C96)=1)),"","⚠ Data fora do Ano Novo (31/12 ou 01/01). "),"")&amp;IF(AND(ISNUMBER(C96),COUNTIFS($A$2:$A$301,A96,$C$2:$C$301,C96)&gt;1),"⚠ Nome repetido na mesma data. ","")&amp;IF(AND(ISNUMBER(C96),COUNTIFS(FÉRIAS!$A$2:$A$301,A96,FÉRIAS!$C$2:$C$301,"&lt;="&amp;C96,FÉRIAS!$D$2:$D$301,"&gt;="&amp;C96)&gt;0),IF(D96="TRABALHA","⚠ Está de férias e marcado TRABALHA. ","⚠ Já está de férias nesta data. "),"")&amp;IF(AND(ISNUMBER(C96),COUNTIFS(FOLGAS!$A$2:$A$301,A96,FOLGAS!$C$2:$C$301,C96)&gt;0),IF(D96="FOLGA","⚠ Folga também lançada na aba FOLGAS. ",IF(D96="TRABALHA","⚠ Marcado TRABALHA, mas tem folga na aba FOLGAS. ","")),"")&amp;IF(AND(ISNUMBER(C96),D96="FOLGA",B96&lt;&gt;"",COUNTIFS($B$2:$B$301,B96,$C$2:$C$301,C96,$D$2:$D$301,"TRABALHA")=0),"⚠ Ninguém do setor trabalhando nesta data. ","")))</f>
        <v/>
      </c>
    </row>
    <row r="97" customFormat="false" ht="15" hidden="false" customHeight="true" outlineLevel="0" collapsed="false">
      <c r="A97" s="54"/>
      <c r="B97" s="54"/>
      <c r="C97" s="53"/>
      <c r="D97" s="54"/>
      <c r="E97" s="54"/>
      <c r="F97" s="55" t="str">
        <f aca="false">IF(A97="","",TRIM(IF(NOT(ISNUMBER(C97)),"⚠ Falta a data. ","")&amp;IF(ISNUMBER(C97),IF(OR(AND(MONTH(C97)=12,DAY(C97)=31),AND(MONTH(C97)=1,DAY(C97)=1)),"","⚠ Data fora do Ano Novo (31/12 ou 01/01). "),"")&amp;IF(AND(ISNUMBER(C97),COUNTIFS($A$2:$A$301,A97,$C$2:$C$301,C97)&gt;1),"⚠ Nome repetido na mesma data. ","")&amp;IF(AND(ISNUMBER(C97),COUNTIFS(FÉRIAS!$A$2:$A$301,A97,FÉRIAS!$C$2:$C$301,"&lt;="&amp;C97,FÉRIAS!$D$2:$D$301,"&gt;="&amp;C97)&gt;0),IF(D97="TRABALHA","⚠ Está de férias e marcado TRABALHA. ","⚠ Já está de férias nesta data. "),"")&amp;IF(AND(ISNUMBER(C97),COUNTIFS(FOLGAS!$A$2:$A$301,A97,FOLGAS!$C$2:$C$301,C97)&gt;0),IF(D97="FOLGA","⚠ Folga também lançada na aba FOLGAS. ",IF(D97="TRABALHA","⚠ Marcado TRABALHA, mas tem folga na aba FOLGAS. ","")),"")&amp;IF(AND(ISNUMBER(C97),D97="FOLGA",B97&lt;&gt;"",COUNTIFS($B$2:$B$301,B97,$C$2:$C$301,C97,$D$2:$D$301,"TRABALHA")=0),"⚠ Ninguém do setor trabalhando nesta data. ","")))</f>
        <v/>
      </c>
    </row>
    <row r="98" customFormat="false" ht="15" hidden="false" customHeight="true" outlineLevel="0" collapsed="false">
      <c r="A98" s="54"/>
      <c r="B98" s="54"/>
      <c r="C98" s="53"/>
      <c r="D98" s="54"/>
      <c r="E98" s="54"/>
      <c r="F98" s="55" t="str">
        <f aca="false">IF(A98="","",TRIM(IF(NOT(ISNUMBER(C98)),"⚠ Falta a data. ","")&amp;IF(ISNUMBER(C98),IF(OR(AND(MONTH(C98)=12,DAY(C98)=31),AND(MONTH(C98)=1,DAY(C98)=1)),"","⚠ Data fora do Ano Novo (31/12 ou 01/01). "),"")&amp;IF(AND(ISNUMBER(C98),COUNTIFS($A$2:$A$301,A98,$C$2:$C$301,C98)&gt;1),"⚠ Nome repetido na mesma data. ","")&amp;IF(AND(ISNUMBER(C98),COUNTIFS(FÉRIAS!$A$2:$A$301,A98,FÉRIAS!$C$2:$C$301,"&lt;="&amp;C98,FÉRIAS!$D$2:$D$301,"&gt;="&amp;C98)&gt;0),IF(D98="TRABALHA","⚠ Está de férias e marcado TRABALHA. ","⚠ Já está de férias nesta data. "),"")&amp;IF(AND(ISNUMBER(C98),COUNTIFS(FOLGAS!$A$2:$A$301,A98,FOLGAS!$C$2:$C$301,C98)&gt;0),IF(D98="FOLGA","⚠ Folga também lançada na aba FOLGAS. ",IF(D98="TRABALHA","⚠ Marcado TRABALHA, mas tem folga na aba FOLGAS. ","")),"")&amp;IF(AND(ISNUMBER(C98),D98="FOLGA",B98&lt;&gt;"",COUNTIFS($B$2:$B$301,B98,$C$2:$C$301,C98,$D$2:$D$301,"TRABALHA")=0),"⚠ Ninguém do setor trabalhando nesta data. ","")))</f>
        <v/>
      </c>
    </row>
    <row r="99" customFormat="false" ht="15" hidden="false" customHeight="true" outlineLevel="0" collapsed="false">
      <c r="A99" s="54"/>
      <c r="B99" s="54"/>
      <c r="C99" s="53"/>
      <c r="D99" s="54"/>
      <c r="E99" s="54"/>
      <c r="F99" s="55" t="str">
        <f aca="false">IF(A99="","",TRIM(IF(NOT(ISNUMBER(C99)),"⚠ Falta a data. ","")&amp;IF(ISNUMBER(C99),IF(OR(AND(MONTH(C99)=12,DAY(C99)=31),AND(MONTH(C99)=1,DAY(C99)=1)),"","⚠ Data fora do Ano Novo (31/12 ou 01/01). "),"")&amp;IF(AND(ISNUMBER(C99),COUNTIFS($A$2:$A$301,A99,$C$2:$C$301,C99)&gt;1),"⚠ Nome repetido na mesma data. ","")&amp;IF(AND(ISNUMBER(C99),COUNTIFS(FÉRIAS!$A$2:$A$301,A99,FÉRIAS!$C$2:$C$301,"&lt;="&amp;C99,FÉRIAS!$D$2:$D$301,"&gt;="&amp;C99)&gt;0),IF(D99="TRABALHA","⚠ Está de férias e marcado TRABALHA. ","⚠ Já está de férias nesta data. "),"")&amp;IF(AND(ISNUMBER(C99),COUNTIFS(FOLGAS!$A$2:$A$301,A99,FOLGAS!$C$2:$C$301,C99)&gt;0),IF(D99="FOLGA","⚠ Folga também lançada na aba FOLGAS. ",IF(D99="TRABALHA","⚠ Marcado TRABALHA, mas tem folga na aba FOLGAS. ","")),"")&amp;IF(AND(ISNUMBER(C99),D99="FOLGA",B99&lt;&gt;"",COUNTIFS($B$2:$B$301,B99,$C$2:$C$301,C99,$D$2:$D$301,"TRABALHA")=0),"⚠ Ninguém do setor trabalhando nesta data. ","")))</f>
        <v/>
      </c>
    </row>
    <row r="100" customFormat="false" ht="15" hidden="false" customHeight="true" outlineLevel="0" collapsed="false">
      <c r="A100" s="54"/>
      <c r="B100" s="54"/>
      <c r="C100" s="53"/>
      <c r="D100" s="54"/>
      <c r="E100" s="54"/>
      <c r="F100" s="55" t="str">
        <f aca="false">IF(A100="","",TRIM(IF(NOT(ISNUMBER(C100)),"⚠ Falta a data. ","")&amp;IF(ISNUMBER(C100),IF(OR(AND(MONTH(C100)=12,DAY(C100)=31),AND(MONTH(C100)=1,DAY(C100)=1)),"","⚠ Data fora do Ano Novo (31/12 ou 01/01). "),"")&amp;IF(AND(ISNUMBER(C100),COUNTIFS($A$2:$A$301,A100,$C$2:$C$301,C100)&gt;1),"⚠ Nome repetido na mesma data. ","")&amp;IF(AND(ISNUMBER(C100),COUNTIFS(FÉRIAS!$A$2:$A$301,A100,FÉRIAS!$C$2:$C$301,"&lt;="&amp;C100,FÉRIAS!$D$2:$D$301,"&gt;="&amp;C100)&gt;0),IF(D100="TRABALHA","⚠ Está de férias e marcado TRABALHA. ","⚠ Já está de férias nesta data. "),"")&amp;IF(AND(ISNUMBER(C100),COUNTIFS(FOLGAS!$A$2:$A$301,A100,FOLGAS!$C$2:$C$301,C100)&gt;0),IF(D100="FOLGA","⚠ Folga também lançada na aba FOLGAS. ",IF(D100="TRABALHA","⚠ Marcado TRABALHA, mas tem folga na aba FOLGAS. ","")),"")&amp;IF(AND(ISNUMBER(C100),D100="FOLGA",B100&lt;&gt;"",COUNTIFS($B$2:$B$301,B100,$C$2:$C$301,C100,$D$2:$D$301,"TRABALHA")=0),"⚠ Ninguém do setor trabalhando nesta data. ","")))</f>
        <v/>
      </c>
    </row>
    <row r="101" customFormat="false" ht="15" hidden="false" customHeight="true" outlineLevel="0" collapsed="false">
      <c r="A101" s="54"/>
      <c r="B101" s="54"/>
      <c r="C101" s="53"/>
      <c r="D101" s="54"/>
      <c r="E101" s="54"/>
      <c r="F101" s="55" t="str">
        <f aca="false">IF(A101="","",TRIM(IF(NOT(ISNUMBER(C101)),"⚠ Falta a data. ","")&amp;IF(ISNUMBER(C101),IF(OR(AND(MONTH(C101)=12,DAY(C101)=31),AND(MONTH(C101)=1,DAY(C101)=1)),"","⚠ Data fora do Ano Novo (31/12 ou 01/01). "),"")&amp;IF(AND(ISNUMBER(C101),COUNTIFS($A$2:$A$301,A101,$C$2:$C$301,C101)&gt;1),"⚠ Nome repetido na mesma data. ","")&amp;IF(AND(ISNUMBER(C101),COUNTIFS(FÉRIAS!$A$2:$A$301,A101,FÉRIAS!$C$2:$C$301,"&lt;="&amp;C101,FÉRIAS!$D$2:$D$301,"&gt;="&amp;C101)&gt;0),IF(D101="TRABALHA","⚠ Está de férias e marcado TRABALHA. ","⚠ Já está de férias nesta data. "),"")&amp;IF(AND(ISNUMBER(C101),COUNTIFS(FOLGAS!$A$2:$A$301,A101,FOLGAS!$C$2:$C$301,C101)&gt;0),IF(D101="FOLGA","⚠ Folga também lançada na aba FOLGAS. ",IF(D101="TRABALHA","⚠ Marcado TRABALHA, mas tem folga na aba FOLGAS. ","")),"")&amp;IF(AND(ISNUMBER(C101),D101="FOLGA",B101&lt;&gt;"",COUNTIFS($B$2:$B$301,B101,$C$2:$C$301,C101,$D$2:$D$301,"TRABALHA")=0),"⚠ Ninguém do setor trabalhando nesta data. ","")))</f>
        <v/>
      </c>
    </row>
    <row r="102" customFormat="false" ht="15" hidden="false" customHeight="true" outlineLevel="0" collapsed="false">
      <c r="A102" s="54"/>
      <c r="B102" s="54"/>
      <c r="C102" s="53"/>
      <c r="D102" s="54"/>
      <c r="E102" s="54"/>
      <c r="F102" s="55" t="str">
        <f aca="false">IF(A102="","",TRIM(IF(NOT(ISNUMBER(C102)),"⚠ Falta a data. ","")&amp;IF(ISNUMBER(C102),IF(OR(AND(MONTH(C102)=12,DAY(C102)=31),AND(MONTH(C102)=1,DAY(C102)=1)),"","⚠ Data fora do Ano Novo (31/12 ou 01/01). "),"")&amp;IF(AND(ISNUMBER(C102),COUNTIFS($A$2:$A$301,A102,$C$2:$C$301,C102)&gt;1),"⚠ Nome repetido na mesma data. ","")&amp;IF(AND(ISNUMBER(C102),COUNTIFS(FÉRIAS!$A$2:$A$301,A102,FÉRIAS!$C$2:$C$301,"&lt;="&amp;C102,FÉRIAS!$D$2:$D$301,"&gt;="&amp;C102)&gt;0),IF(D102="TRABALHA","⚠ Está de férias e marcado TRABALHA. ","⚠ Já está de férias nesta data. "),"")&amp;IF(AND(ISNUMBER(C102),COUNTIFS(FOLGAS!$A$2:$A$301,A102,FOLGAS!$C$2:$C$301,C102)&gt;0),IF(D102="FOLGA","⚠ Folga também lançada na aba FOLGAS. ",IF(D102="TRABALHA","⚠ Marcado TRABALHA, mas tem folga na aba FOLGAS. ","")),"")&amp;IF(AND(ISNUMBER(C102),D102="FOLGA",B102&lt;&gt;"",COUNTIFS($B$2:$B$301,B102,$C$2:$C$301,C102,$D$2:$D$301,"TRABALHA")=0),"⚠ Ninguém do setor trabalhando nesta data. ","")))</f>
        <v/>
      </c>
    </row>
    <row r="103" customFormat="false" ht="15" hidden="false" customHeight="true" outlineLevel="0" collapsed="false">
      <c r="A103" s="54"/>
      <c r="B103" s="54"/>
      <c r="C103" s="53"/>
      <c r="D103" s="54"/>
      <c r="E103" s="54"/>
      <c r="F103" s="55" t="str">
        <f aca="false">IF(A103="","",TRIM(IF(NOT(ISNUMBER(C103)),"⚠ Falta a data. ","")&amp;IF(ISNUMBER(C103),IF(OR(AND(MONTH(C103)=12,DAY(C103)=31),AND(MONTH(C103)=1,DAY(C103)=1)),"","⚠ Data fora do Ano Novo (31/12 ou 01/01). "),"")&amp;IF(AND(ISNUMBER(C103),COUNTIFS($A$2:$A$301,A103,$C$2:$C$301,C103)&gt;1),"⚠ Nome repetido na mesma data. ","")&amp;IF(AND(ISNUMBER(C103),COUNTIFS(FÉRIAS!$A$2:$A$301,A103,FÉRIAS!$C$2:$C$301,"&lt;="&amp;C103,FÉRIAS!$D$2:$D$301,"&gt;="&amp;C103)&gt;0),IF(D103="TRABALHA","⚠ Está de férias e marcado TRABALHA. ","⚠ Já está de férias nesta data. "),"")&amp;IF(AND(ISNUMBER(C103),COUNTIFS(FOLGAS!$A$2:$A$301,A103,FOLGAS!$C$2:$C$301,C103)&gt;0),IF(D103="FOLGA","⚠ Folga também lançada na aba FOLGAS. ",IF(D103="TRABALHA","⚠ Marcado TRABALHA, mas tem folga na aba FOLGAS. ","")),"")&amp;IF(AND(ISNUMBER(C103),D103="FOLGA",B103&lt;&gt;"",COUNTIFS($B$2:$B$301,B103,$C$2:$C$301,C103,$D$2:$D$301,"TRABALHA")=0),"⚠ Ninguém do setor trabalhando nesta data. ","")))</f>
        <v/>
      </c>
    </row>
    <row r="104" customFormat="false" ht="15" hidden="false" customHeight="true" outlineLevel="0" collapsed="false">
      <c r="A104" s="54"/>
      <c r="B104" s="54"/>
      <c r="C104" s="53"/>
      <c r="D104" s="54"/>
      <c r="E104" s="54"/>
      <c r="F104" s="55" t="str">
        <f aca="false">IF(A104="","",TRIM(IF(NOT(ISNUMBER(C104)),"⚠ Falta a data. ","")&amp;IF(ISNUMBER(C104),IF(OR(AND(MONTH(C104)=12,DAY(C104)=31),AND(MONTH(C104)=1,DAY(C104)=1)),"","⚠ Data fora do Ano Novo (31/12 ou 01/01). "),"")&amp;IF(AND(ISNUMBER(C104),COUNTIFS($A$2:$A$301,A104,$C$2:$C$301,C104)&gt;1),"⚠ Nome repetido na mesma data. ","")&amp;IF(AND(ISNUMBER(C104),COUNTIFS(FÉRIAS!$A$2:$A$301,A104,FÉRIAS!$C$2:$C$301,"&lt;="&amp;C104,FÉRIAS!$D$2:$D$301,"&gt;="&amp;C104)&gt;0),IF(D104="TRABALHA","⚠ Está de férias e marcado TRABALHA. ","⚠ Já está de férias nesta data. "),"")&amp;IF(AND(ISNUMBER(C104),COUNTIFS(FOLGAS!$A$2:$A$301,A104,FOLGAS!$C$2:$C$301,C104)&gt;0),IF(D104="FOLGA","⚠ Folga também lançada na aba FOLGAS. ",IF(D104="TRABALHA","⚠ Marcado TRABALHA, mas tem folga na aba FOLGAS. ","")),"")&amp;IF(AND(ISNUMBER(C104),D104="FOLGA",B104&lt;&gt;"",COUNTIFS($B$2:$B$301,B104,$C$2:$C$301,C104,$D$2:$D$301,"TRABALHA")=0),"⚠ Ninguém do setor trabalhando nesta data. ","")))</f>
        <v/>
      </c>
    </row>
    <row r="105" customFormat="false" ht="15" hidden="false" customHeight="true" outlineLevel="0" collapsed="false">
      <c r="A105" s="54"/>
      <c r="B105" s="54"/>
      <c r="C105" s="53"/>
      <c r="D105" s="54"/>
      <c r="E105" s="54"/>
      <c r="F105" s="55" t="str">
        <f aca="false">IF(A105="","",TRIM(IF(NOT(ISNUMBER(C105)),"⚠ Falta a data. ","")&amp;IF(ISNUMBER(C105),IF(OR(AND(MONTH(C105)=12,DAY(C105)=31),AND(MONTH(C105)=1,DAY(C105)=1)),"","⚠ Data fora do Ano Novo (31/12 ou 01/01). "),"")&amp;IF(AND(ISNUMBER(C105),COUNTIFS($A$2:$A$301,A105,$C$2:$C$301,C105)&gt;1),"⚠ Nome repetido na mesma data. ","")&amp;IF(AND(ISNUMBER(C105),COUNTIFS(FÉRIAS!$A$2:$A$301,A105,FÉRIAS!$C$2:$C$301,"&lt;="&amp;C105,FÉRIAS!$D$2:$D$301,"&gt;="&amp;C105)&gt;0),IF(D105="TRABALHA","⚠ Está de férias e marcado TRABALHA. ","⚠ Já está de férias nesta data. "),"")&amp;IF(AND(ISNUMBER(C105),COUNTIFS(FOLGAS!$A$2:$A$301,A105,FOLGAS!$C$2:$C$301,C105)&gt;0),IF(D105="FOLGA","⚠ Folga também lançada na aba FOLGAS. ",IF(D105="TRABALHA","⚠ Marcado TRABALHA, mas tem folga na aba FOLGAS. ","")),"")&amp;IF(AND(ISNUMBER(C105),D105="FOLGA",B105&lt;&gt;"",COUNTIFS($B$2:$B$301,B105,$C$2:$C$301,C105,$D$2:$D$301,"TRABALHA")=0),"⚠ Ninguém do setor trabalhando nesta data. ","")))</f>
        <v/>
      </c>
    </row>
    <row r="106" customFormat="false" ht="15" hidden="false" customHeight="true" outlineLevel="0" collapsed="false">
      <c r="A106" s="54"/>
      <c r="B106" s="54"/>
      <c r="C106" s="53"/>
      <c r="D106" s="54"/>
      <c r="E106" s="54"/>
      <c r="F106" s="55" t="str">
        <f aca="false">IF(A106="","",TRIM(IF(NOT(ISNUMBER(C106)),"⚠ Falta a data. ","")&amp;IF(ISNUMBER(C106),IF(OR(AND(MONTH(C106)=12,DAY(C106)=31),AND(MONTH(C106)=1,DAY(C106)=1)),"","⚠ Data fora do Ano Novo (31/12 ou 01/01). "),"")&amp;IF(AND(ISNUMBER(C106),COUNTIFS($A$2:$A$301,A106,$C$2:$C$301,C106)&gt;1),"⚠ Nome repetido na mesma data. ","")&amp;IF(AND(ISNUMBER(C106),COUNTIFS(FÉRIAS!$A$2:$A$301,A106,FÉRIAS!$C$2:$C$301,"&lt;="&amp;C106,FÉRIAS!$D$2:$D$301,"&gt;="&amp;C106)&gt;0),IF(D106="TRABALHA","⚠ Está de férias e marcado TRABALHA. ","⚠ Já está de férias nesta data. "),"")&amp;IF(AND(ISNUMBER(C106),COUNTIFS(FOLGAS!$A$2:$A$301,A106,FOLGAS!$C$2:$C$301,C106)&gt;0),IF(D106="FOLGA","⚠ Folga também lançada na aba FOLGAS. ",IF(D106="TRABALHA","⚠ Marcado TRABALHA, mas tem folga na aba FOLGAS. ","")),"")&amp;IF(AND(ISNUMBER(C106),D106="FOLGA",B106&lt;&gt;"",COUNTIFS($B$2:$B$301,B106,$C$2:$C$301,C106,$D$2:$D$301,"TRABALHA")=0),"⚠ Ninguém do setor trabalhando nesta data. ","")))</f>
        <v/>
      </c>
    </row>
    <row r="107" customFormat="false" ht="15" hidden="false" customHeight="true" outlineLevel="0" collapsed="false">
      <c r="A107" s="54"/>
      <c r="B107" s="54"/>
      <c r="C107" s="53"/>
      <c r="D107" s="54"/>
      <c r="E107" s="54"/>
      <c r="F107" s="55" t="str">
        <f aca="false">IF(A107="","",TRIM(IF(NOT(ISNUMBER(C107)),"⚠ Falta a data. ","")&amp;IF(ISNUMBER(C107),IF(OR(AND(MONTH(C107)=12,DAY(C107)=31),AND(MONTH(C107)=1,DAY(C107)=1)),"","⚠ Data fora do Ano Novo (31/12 ou 01/01). "),"")&amp;IF(AND(ISNUMBER(C107),COUNTIFS($A$2:$A$301,A107,$C$2:$C$301,C107)&gt;1),"⚠ Nome repetido na mesma data. ","")&amp;IF(AND(ISNUMBER(C107),COUNTIFS(FÉRIAS!$A$2:$A$301,A107,FÉRIAS!$C$2:$C$301,"&lt;="&amp;C107,FÉRIAS!$D$2:$D$301,"&gt;="&amp;C107)&gt;0),IF(D107="TRABALHA","⚠ Está de férias e marcado TRABALHA. ","⚠ Já está de férias nesta data. "),"")&amp;IF(AND(ISNUMBER(C107),COUNTIFS(FOLGAS!$A$2:$A$301,A107,FOLGAS!$C$2:$C$301,C107)&gt;0),IF(D107="FOLGA","⚠ Folga também lançada na aba FOLGAS. ",IF(D107="TRABALHA","⚠ Marcado TRABALHA, mas tem folga na aba FOLGAS. ","")),"")&amp;IF(AND(ISNUMBER(C107),D107="FOLGA",B107&lt;&gt;"",COUNTIFS($B$2:$B$301,B107,$C$2:$C$301,C107,$D$2:$D$301,"TRABALHA")=0),"⚠ Ninguém do setor trabalhando nesta data. ","")))</f>
        <v/>
      </c>
    </row>
    <row r="108" customFormat="false" ht="15" hidden="false" customHeight="true" outlineLevel="0" collapsed="false">
      <c r="A108" s="54"/>
      <c r="B108" s="54"/>
      <c r="C108" s="53"/>
      <c r="D108" s="54"/>
      <c r="E108" s="54"/>
      <c r="F108" s="55" t="str">
        <f aca="false">IF(A108="","",TRIM(IF(NOT(ISNUMBER(C108)),"⚠ Falta a data. ","")&amp;IF(ISNUMBER(C108),IF(OR(AND(MONTH(C108)=12,DAY(C108)=31),AND(MONTH(C108)=1,DAY(C108)=1)),"","⚠ Data fora do Ano Novo (31/12 ou 01/01). "),"")&amp;IF(AND(ISNUMBER(C108),COUNTIFS($A$2:$A$301,A108,$C$2:$C$301,C108)&gt;1),"⚠ Nome repetido na mesma data. ","")&amp;IF(AND(ISNUMBER(C108),COUNTIFS(FÉRIAS!$A$2:$A$301,A108,FÉRIAS!$C$2:$C$301,"&lt;="&amp;C108,FÉRIAS!$D$2:$D$301,"&gt;="&amp;C108)&gt;0),IF(D108="TRABALHA","⚠ Está de férias e marcado TRABALHA. ","⚠ Já está de férias nesta data. "),"")&amp;IF(AND(ISNUMBER(C108),COUNTIFS(FOLGAS!$A$2:$A$301,A108,FOLGAS!$C$2:$C$301,C108)&gt;0),IF(D108="FOLGA","⚠ Folga também lançada na aba FOLGAS. ",IF(D108="TRABALHA","⚠ Marcado TRABALHA, mas tem folga na aba FOLGAS. ","")),"")&amp;IF(AND(ISNUMBER(C108),D108="FOLGA",B108&lt;&gt;"",COUNTIFS($B$2:$B$301,B108,$C$2:$C$301,C108,$D$2:$D$301,"TRABALHA")=0),"⚠ Ninguém do setor trabalhando nesta data. ","")))</f>
        <v/>
      </c>
    </row>
    <row r="109" customFormat="false" ht="15" hidden="false" customHeight="true" outlineLevel="0" collapsed="false">
      <c r="A109" s="54"/>
      <c r="B109" s="54"/>
      <c r="C109" s="53"/>
      <c r="D109" s="54"/>
      <c r="E109" s="54"/>
      <c r="F109" s="55" t="str">
        <f aca="false">IF(A109="","",TRIM(IF(NOT(ISNUMBER(C109)),"⚠ Falta a data. ","")&amp;IF(ISNUMBER(C109),IF(OR(AND(MONTH(C109)=12,DAY(C109)=31),AND(MONTH(C109)=1,DAY(C109)=1)),"","⚠ Data fora do Ano Novo (31/12 ou 01/01). "),"")&amp;IF(AND(ISNUMBER(C109),COUNTIFS($A$2:$A$301,A109,$C$2:$C$301,C109)&gt;1),"⚠ Nome repetido na mesma data. ","")&amp;IF(AND(ISNUMBER(C109),COUNTIFS(FÉRIAS!$A$2:$A$301,A109,FÉRIAS!$C$2:$C$301,"&lt;="&amp;C109,FÉRIAS!$D$2:$D$301,"&gt;="&amp;C109)&gt;0),IF(D109="TRABALHA","⚠ Está de férias e marcado TRABALHA. ","⚠ Já está de férias nesta data. "),"")&amp;IF(AND(ISNUMBER(C109),COUNTIFS(FOLGAS!$A$2:$A$301,A109,FOLGAS!$C$2:$C$301,C109)&gt;0),IF(D109="FOLGA","⚠ Folga também lançada na aba FOLGAS. ",IF(D109="TRABALHA","⚠ Marcado TRABALHA, mas tem folga na aba FOLGAS. ","")),"")&amp;IF(AND(ISNUMBER(C109),D109="FOLGA",B109&lt;&gt;"",COUNTIFS($B$2:$B$301,B109,$C$2:$C$301,C109,$D$2:$D$301,"TRABALHA")=0),"⚠ Ninguém do setor trabalhando nesta data. ","")))</f>
        <v/>
      </c>
    </row>
    <row r="110" customFormat="false" ht="15" hidden="false" customHeight="true" outlineLevel="0" collapsed="false">
      <c r="A110" s="54"/>
      <c r="B110" s="54"/>
      <c r="C110" s="53"/>
      <c r="D110" s="54"/>
      <c r="E110" s="54"/>
      <c r="F110" s="55" t="str">
        <f aca="false">IF(A110="","",TRIM(IF(NOT(ISNUMBER(C110)),"⚠ Falta a data. ","")&amp;IF(ISNUMBER(C110),IF(OR(AND(MONTH(C110)=12,DAY(C110)=31),AND(MONTH(C110)=1,DAY(C110)=1)),"","⚠ Data fora do Ano Novo (31/12 ou 01/01). "),"")&amp;IF(AND(ISNUMBER(C110),COUNTIFS($A$2:$A$301,A110,$C$2:$C$301,C110)&gt;1),"⚠ Nome repetido na mesma data. ","")&amp;IF(AND(ISNUMBER(C110),COUNTIFS(FÉRIAS!$A$2:$A$301,A110,FÉRIAS!$C$2:$C$301,"&lt;="&amp;C110,FÉRIAS!$D$2:$D$301,"&gt;="&amp;C110)&gt;0),IF(D110="TRABALHA","⚠ Está de férias e marcado TRABALHA. ","⚠ Já está de férias nesta data. "),"")&amp;IF(AND(ISNUMBER(C110),COUNTIFS(FOLGAS!$A$2:$A$301,A110,FOLGAS!$C$2:$C$301,C110)&gt;0),IF(D110="FOLGA","⚠ Folga também lançada na aba FOLGAS. ",IF(D110="TRABALHA","⚠ Marcado TRABALHA, mas tem folga na aba FOLGAS. ","")),"")&amp;IF(AND(ISNUMBER(C110),D110="FOLGA",B110&lt;&gt;"",COUNTIFS($B$2:$B$301,B110,$C$2:$C$301,C110,$D$2:$D$301,"TRABALHA")=0),"⚠ Ninguém do setor trabalhando nesta data. ","")))</f>
        <v/>
      </c>
    </row>
    <row r="111" customFormat="false" ht="15" hidden="false" customHeight="true" outlineLevel="0" collapsed="false">
      <c r="A111" s="54"/>
      <c r="B111" s="54"/>
      <c r="C111" s="53"/>
      <c r="D111" s="54"/>
      <c r="E111" s="54"/>
      <c r="F111" s="55" t="str">
        <f aca="false">IF(A111="","",TRIM(IF(NOT(ISNUMBER(C111)),"⚠ Falta a data. ","")&amp;IF(ISNUMBER(C111),IF(OR(AND(MONTH(C111)=12,DAY(C111)=31),AND(MONTH(C111)=1,DAY(C111)=1)),"","⚠ Data fora do Ano Novo (31/12 ou 01/01). "),"")&amp;IF(AND(ISNUMBER(C111),COUNTIFS($A$2:$A$301,A111,$C$2:$C$301,C111)&gt;1),"⚠ Nome repetido na mesma data. ","")&amp;IF(AND(ISNUMBER(C111),COUNTIFS(FÉRIAS!$A$2:$A$301,A111,FÉRIAS!$C$2:$C$301,"&lt;="&amp;C111,FÉRIAS!$D$2:$D$301,"&gt;="&amp;C111)&gt;0),IF(D111="TRABALHA","⚠ Está de férias e marcado TRABALHA. ","⚠ Já está de férias nesta data. "),"")&amp;IF(AND(ISNUMBER(C111),COUNTIFS(FOLGAS!$A$2:$A$301,A111,FOLGAS!$C$2:$C$301,C111)&gt;0),IF(D111="FOLGA","⚠ Folga também lançada na aba FOLGAS. ",IF(D111="TRABALHA","⚠ Marcado TRABALHA, mas tem folga na aba FOLGAS. ","")),"")&amp;IF(AND(ISNUMBER(C111),D111="FOLGA",B111&lt;&gt;"",COUNTIFS($B$2:$B$301,B111,$C$2:$C$301,C111,$D$2:$D$301,"TRABALHA")=0),"⚠ Ninguém do setor trabalhando nesta data. ","")))</f>
        <v/>
      </c>
    </row>
    <row r="112" customFormat="false" ht="15" hidden="false" customHeight="true" outlineLevel="0" collapsed="false">
      <c r="A112" s="54"/>
      <c r="B112" s="54"/>
      <c r="C112" s="53"/>
      <c r="D112" s="54"/>
      <c r="E112" s="54"/>
      <c r="F112" s="55" t="str">
        <f aca="false">IF(A112="","",TRIM(IF(NOT(ISNUMBER(C112)),"⚠ Falta a data. ","")&amp;IF(ISNUMBER(C112),IF(OR(AND(MONTH(C112)=12,DAY(C112)=31),AND(MONTH(C112)=1,DAY(C112)=1)),"","⚠ Data fora do Ano Novo (31/12 ou 01/01). "),"")&amp;IF(AND(ISNUMBER(C112),COUNTIFS($A$2:$A$301,A112,$C$2:$C$301,C112)&gt;1),"⚠ Nome repetido na mesma data. ","")&amp;IF(AND(ISNUMBER(C112),COUNTIFS(FÉRIAS!$A$2:$A$301,A112,FÉRIAS!$C$2:$C$301,"&lt;="&amp;C112,FÉRIAS!$D$2:$D$301,"&gt;="&amp;C112)&gt;0),IF(D112="TRABALHA","⚠ Está de férias e marcado TRABALHA. ","⚠ Já está de férias nesta data. "),"")&amp;IF(AND(ISNUMBER(C112),COUNTIFS(FOLGAS!$A$2:$A$301,A112,FOLGAS!$C$2:$C$301,C112)&gt;0),IF(D112="FOLGA","⚠ Folga também lançada na aba FOLGAS. ",IF(D112="TRABALHA","⚠ Marcado TRABALHA, mas tem folga na aba FOLGAS. ","")),"")&amp;IF(AND(ISNUMBER(C112),D112="FOLGA",B112&lt;&gt;"",COUNTIFS($B$2:$B$301,B112,$C$2:$C$301,C112,$D$2:$D$301,"TRABALHA")=0),"⚠ Ninguém do setor trabalhando nesta data. ","")))</f>
        <v/>
      </c>
    </row>
    <row r="113" customFormat="false" ht="15" hidden="false" customHeight="true" outlineLevel="0" collapsed="false">
      <c r="A113" s="54"/>
      <c r="B113" s="54"/>
      <c r="C113" s="53"/>
      <c r="D113" s="54"/>
      <c r="E113" s="54"/>
      <c r="F113" s="55" t="str">
        <f aca="false">IF(A113="","",TRIM(IF(NOT(ISNUMBER(C113)),"⚠ Falta a data. ","")&amp;IF(ISNUMBER(C113),IF(OR(AND(MONTH(C113)=12,DAY(C113)=31),AND(MONTH(C113)=1,DAY(C113)=1)),"","⚠ Data fora do Ano Novo (31/12 ou 01/01). "),"")&amp;IF(AND(ISNUMBER(C113),COUNTIFS($A$2:$A$301,A113,$C$2:$C$301,C113)&gt;1),"⚠ Nome repetido na mesma data. ","")&amp;IF(AND(ISNUMBER(C113),COUNTIFS(FÉRIAS!$A$2:$A$301,A113,FÉRIAS!$C$2:$C$301,"&lt;="&amp;C113,FÉRIAS!$D$2:$D$301,"&gt;="&amp;C113)&gt;0),IF(D113="TRABALHA","⚠ Está de férias e marcado TRABALHA. ","⚠ Já está de férias nesta data. "),"")&amp;IF(AND(ISNUMBER(C113),COUNTIFS(FOLGAS!$A$2:$A$301,A113,FOLGAS!$C$2:$C$301,C113)&gt;0),IF(D113="FOLGA","⚠ Folga também lançada na aba FOLGAS. ",IF(D113="TRABALHA","⚠ Marcado TRABALHA, mas tem folga na aba FOLGAS. ","")),"")&amp;IF(AND(ISNUMBER(C113),D113="FOLGA",B113&lt;&gt;"",COUNTIFS($B$2:$B$301,B113,$C$2:$C$301,C113,$D$2:$D$301,"TRABALHA")=0),"⚠ Ninguém do setor trabalhando nesta data. ","")))</f>
        <v/>
      </c>
    </row>
    <row r="114" customFormat="false" ht="15" hidden="false" customHeight="true" outlineLevel="0" collapsed="false">
      <c r="A114" s="54"/>
      <c r="B114" s="54"/>
      <c r="C114" s="53"/>
      <c r="D114" s="54"/>
      <c r="E114" s="54"/>
      <c r="F114" s="55" t="str">
        <f aca="false">IF(A114="","",TRIM(IF(NOT(ISNUMBER(C114)),"⚠ Falta a data. ","")&amp;IF(ISNUMBER(C114),IF(OR(AND(MONTH(C114)=12,DAY(C114)=31),AND(MONTH(C114)=1,DAY(C114)=1)),"","⚠ Data fora do Ano Novo (31/12 ou 01/01). "),"")&amp;IF(AND(ISNUMBER(C114),COUNTIFS($A$2:$A$301,A114,$C$2:$C$301,C114)&gt;1),"⚠ Nome repetido na mesma data. ","")&amp;IF(AND(ISNUMBER(C114),COUNTIFS(FÉRIAS!$A$2:$A$301,A114,FÉRIAS!$C$2:$C$301,"&lt;="&amp;C114,FÉRIAS!$D$2:$D$301,"&gt;="&amp;C114)&gt;0),IF(D114="TRABALHA","⚠ Está de férias e marcado TRABALHA. ","⚠ Já está de férias nesta data. "),"")&amp;IF(AND(ISNUMBER(C114),COUNTIFS(FOLGAS!$A$2:$A$301,A114,FOLGAS!$C$2:$C$301,C114)&gt;0),IF(D114="FOLGA","⚠ Folga também lançada na aba FOLGAS. ",IF(D114="TRABALHA","⚠ Marcado TRABALHA, mas tem folga na aba FOLGAS. ","")),"")&amp;IF(AND(ISNUMBER(C114),D114="FOLGA",B114&lt;&gt;"",COUNTIFS($B$2:$B$301,B114,$C$2:$C$301,C114,$D$2:$D$301,"TRABALHA")=0),"⚠ Ninguém do setor trabalhando nesta data. ","")))</f>
        <v/>
      </c>
    </row>
    <row r="115" customFormat="false" ht="15" hidden="false" customHeight="true" outlineLevel="0" collapsed="false">
      <c r="A115" s="54"/>
      <c r="B115" s="54"/>
      <c r="C115" s="53"/>
      <c r="D115" s="54"/>
      <c r="E115" s="54"/>
      <c r="F115" s="55" t="str">
        <f aca="false">IF(A115="","",TRIM(IF(NOT(ISNUMBER(C115)),"⚠ Falta a data. ","")&amp;IF(ISNUMBER(C115),IF(OR(AND(MONTH(C115)=12,DAY(C115)=31),AND(MONTH(C115)=1,DAY(C115)=1)),"","⚠ Data fora do Ano Novo (31/12 ou 01/01). "),"")&amp;IF(AND(ISNUMBER(C115),COUNTIFS($A$2:$A$301,A115,$C$2:$C$301,C115)&gt;1),"⚠ Nome repetido na mesma data. ","")&amp;IF(AND(ISNUMBER(C115),COUNTIFS(FÉRIAS!$A$2:$A$301,A115,FÉRIAS!$C$2:$C$301,"&lt;="&amp;C115,FÉRIAS!$D$2:$D$301,"&gt;="&amp;C115)&gt;0),IF(D115="TRABALHA","⚠ Está de férias e marcado TRABALHA. ","⚠ Já está de férias nesta data. "),"")&amp;IF(AND(ISNUMBER(C115),COUNTIFS(FOLGAS!$A$2:$A$301,A115,FOLGAS!$C$2:$C$301,C115)&gt;0),IF(D115="FOLGA","⚠ Folga também lançada na aba FOLGAS. ",IF(D115="TRABALHA","⚠ Marcado TRABALHA, mas tem folga na aba FOLGAS. ","")),"")&amp;IF(AND(ISNUMBER(C115),D115="FOLGA",B115&lt;&gt;"",COUNTIFS($B$2:$B$301,B115,$C$2:$C$301,C115,$D$2:$D$301,"TRABALHA")=0),"⚠ Ninguém do setor trabalhando nesta data. ","")))</f>
        <v/>
      </c>
    </row>
    <row r="116" customFormat="false" ht="15" hidden="false" customHeight="true" outlineLevel="0" collapsed="false">
      <c r="A116" s="54"/>
      <c r="B116" s="54"/>
      <c r="C116" s="53"/>
      <c r="D116" s="54"/>
      <c r="E116" s="54"/>
      <c r="F116" s="55" t="str">
        <f aca="false">IF(A116="","",TRIM(IF(NOT(ISNUMBER(C116)),"⚠ Falta a data. ","")&amp;IF(ISNUMBER(C116),IF(OR(AND(MONTH(C116)=12,DAY(C116)=31),AND(MONTH(C116)=1,DAY(C116)=1)),"","⚠ Data fora do Ano Novo (31/12 ou 01/01). "),"")&amp;IF(AND(ISNUMBER(C116),COUNTIFS($A$2:$A$301,A116,$C$2:$C$301,C116)&gt;1),"⚠ Nome repetido na mesma data. ","")&amp;IF(AND(ISNUMBER(C116),COUNTIFS(FÉRIAS!$A$2:$A$301,A116,FÉRIAS!$C$2:$C$301,"&lt;="&amp;C116,FÉRIAS!$D$2:$D$301,"&gt;="&amp;C116)&gt;0),IF(D116="TRABALHA","⚠ Está de férias e marcado TRABALHA. ","⚠ Já está de férias nesta data. "),"")&amp;IF(AND(ISNUMBER(C116),COUNTIFS(FOLGAS!$A$2:$A$301,A116,FOLGAS!$C$2:$C$301,C116)&gt;0),IF(D116="FOLGA","⚠ Folga também lançada na aba FOLGAS. ",IF(D116="TRABALHA","⚠ Marcado TRABALHA, mas tem folga na aba FOLGAS. ","")),"")&amp;IF(AND(ISNUMBER(C116),D116="FOLGA",B116&lt;&gt;"",COUNTIFS($B$2:$B$301,B116,$C$2:$C$301,C116,$D$2:$D$301,"TRABALHA")=0),"⚠ Ninguém do setor trabalhando nesta data. ","")))</f>
        <v/>
      </c>
    </row>
    <row r="117" customFormat="false" ht="15" hidden="false" customHeight="true" outlineLevel="0" collapsed="false">
      <c r="A117" s="54"/>
      <c r="B117" s="54"/>
      <c r="C117" s="53"/>
      <c r="D117" s="54"/>
      <c r="E117" s="54"/>
      <c r="F117" s="55" t="str">
        <f aca="false">IF(A117="","",TRIM(IF(NOT(ISNUMBER(C117)),"⚠ Falta a data. ","")&amp;IF(ISNUMBER(C117),IF(OR(AND(MONTH(C117)=12,DAY(C117)=31),AND(MONTH(C117)=1,DAY(C117)=1)),"","⚠ Data fora do Ano Novo (31/12 ou 01/01). "),"")&amp;IF(AND(ISNUMBER(C117),COUNTIFS($A$2:$A$301,A117,$C$2:$C$301,C117)&gt;1),"⚠ Nome repetido na mesma data. ","")&amp;IF(AND(ISNUMBER(C117),COUNTIFS(FÉRIAS!$A$2:$A$301,A117,FÉRIAS!$C$2:$C$301,"&lt;="&amp;C117,FÉRIAS!$D$2:$D$301,"&gt;="&amp;C117)&gt;0),IF(D117="TRABALHA","⚠ Está de férias e marcado TRABALHA. ","⚠ Já está de férias nesta data. "),"")&amp;IF(AND(ISNUMBER(C117),COUNTIFS(FOLGAS!$A$2:$A$301,A117,FOLGAS!$C$2:$C$301,C117)&gt;0),IF(D117="FOLGA","⚠ Folga também lançada na aba FOLGAS. ",IF(D117="TRABALHA","⚠ Marcado TRABALHA, mas tem folga na aba FOLGAS. ","")),"")&amp;IF(AND(ISNUMBER(C117),D117="FOLGA",B117&lt;&gt;"",COUNTIFS($B$2:$B$301,B117,$C$2:$C$301,C117,$D$2:$D$301,"TRABALHA")=0),"⚠ Ninguém do setor trabalhando nesta data. ","")))</f>
        <v/>
      </c>
    </row>
    <row r="118" customFormat="false" ht="15" hidden="false" customHeight="true" outlineLevel="0" collapsed="false">
      <c r="A118" s="54"/>
      <c r="B118" s="54"/>
      <c r="C118" s="53"/>
      <c r="D118" s="54"/>
      <c r="E118" s="54"/>
      <c r="F118" s="55" t="str">
        <f aca="false">IF(A118="","",TRIM(IF(NOT(ISNUMBER(C118)),"⚠ Falta a data. ","")&amp;IF(ISNUMBER(C118),IF(OR(AND(MONTH(C118)=12,DAY(C118)=31),AND(MONTH(C118)=1,DAY(C118)=1)),"","⚠ Data fora do Ano Novo (31/12 ou 01/01). "),"")&amp;IF(AND(ISNUMBER(C118),COUNTIFS($A$2:$A$301,A118,$C$2:$C$301,C118)&gt;1),"⚠ Nome repetido na mesma data. ","")&amp;IF(AND(ISNUMBER(C118),COUNTIFS(FÉRIAS!$A$2:$A$301,A118,FÉRIAS!$C$2:$C$301,"&lt;="&amp;C118,FÉRIAS!$D$2:$D$301,"&gt;="&amp;C118)&gt;0),IF(D118="TRABALHA","⚠ Está de férias e marcado TRABALHA. ","⚠ Já está de férias nesta data. "),"")&amp;IF(AND(ISNUMBER(C118),COUNTIFS(FOLGAS!$A$2:$A$301,A118,FOLGAS!$C$2:$C$301,C118)&gt;0),IF(D118="FOLGA","⚠ Folga também lançada na aba FOLGAS. ",IF(D118="TRABALHA","⚠ Marcado TRABALHA, mas tem folga na aba FOLGAS. ","")),"")&amp;IF(AND(ISNUMBER(C118),D118="FOLGA",B118&lt;&gt;"",COUNTIFS($B$2:$B$301,B118,$C$2:$C$301,C118,$D$2:$D$301,"TRABALHA")=0),"⚠ Ninguém do setor trabalhando nesta data. ","")))</f>
        <v/>
      </c>
    </row>
    <row r="119" customFormat="false" ht="15" hidden="false" customHeight="true" outlineLevel="0" collapsed="false">
      <c r="A119" s="54"/>
      <c r="B119" s="54"/>
      <c r="C119" s="53"/>
      <c r="D119" s="54"/>
      <c r="E119" s="54"/>
      <c r="F119" s="55" t="str">
        <f aca="false">IF(A119="","",TRIM(IF(NOT(ISNUMBER(C119)),"⚠ Falta a data. ","")&amp;IF(ISNUMBER(C119),IF(OR(AND(MONTH(C119)=12,DAY(C119)=31),AND(MONTH(C119)=1,DAY(C119)=1)),"","⚠ Data fora do Ano Novo (31/12 ou 01/01). "),"")&amp;IF(AND(ISNUMBER(C119),COUNTIFS($A$2:$A$301,A119,$C$2:$C$301,C119)&gt;1),"⚠ Nome repetido na mesma data. ","")&amp;IF(AND(ISNUMBER(C119),COUNTIFS(FÉRIAS!$A$2:$A$301,A119,FÉRIAS!$C$2:$C$301,"&lt;="&amp;C119,FÉRIAS!$D$2:$D$301,"&gt;="&amp;C119)&gt;0),IF(D119="TRABALHA","⚠ Está de férias e marcado TRABALHA. ","⚠ Já está de férias nesta data. "),"")&amp;IF(AND(ISNUMBER(C119),COUNTIFS(FOLGAS!$A$2:$A$301,A119,FOLGAS!$C$2:$C$301,C119)&gt;0),IF(D119="FOLGA","⚠ Folga também lançada na aba FOLGAS. ",IF(D119="TRABALHA","⚠ Marcado TRABALHA, mas tem folga na aba FOLGAS. ","")),"")&amp;IF(AND(ISNUMBER(C119),D119="FOLGA",B119&lt;&gt;"",COUNTIFS($B$2:$B$301,B119,$C$2:$C$301,C119,$D$2:$D$301,"TRABALHA")=0),"⚠ Ninguém do setor trabalhando nesta data. ","")))</f>
        <v/>
      </c>
    </row>
    <row r="120" customFormat="false" ht="15" hidden="false" customHeight="true" outlineLevel="0" collapsed="false">
      <c r="A120" s="54"/>
      <c r="B120" s="54"/>
      <c r="C120" s="53"/>
      <c r="D120" s="54"/>
      <c r="E120" s="54"/>
      <c r="F120" s="55" t="str">
        <f aca="false">IF(A120="","",TRIM(IF(NOT(ISNUMBER(C120)),"⚠ Falta a data. ","")&amp;IF(ISNUMBER(C120),IF(OR(AND(MONTH(C120)=12,DAY(C120)=31),AND(MONTH(C120)=1,DAY(C120)=1)),"","⚠ Data fora do Ano Novo (31/12 ou 01/01). "),"")&amp;IF(AND(ISNUMBER(C120),COUNTIFS($A$2:$A$301,A120,$C$2:$C$301,C120)&gt;1),"⚠ Nome repetido na mesma data. ","")&amp;IF(AND(ISNUMBER(C120),COUNTIFS(FÉRIAS!$A$2:$A$301,A120,FÉRIAS!$C$2:$C$301,"&lt;="&amp;C120,FÉRIAS!$D$2:$D$301,"&gt;="&amp;C120)&gt;0),IF(D120="TRABALHA","⚠ Está de férias e marcado TRABALHA. ","⚠ Já está de férias nesta data. "),"")&amp;IF(AND(ISNUMBER(C120),COUNTIFS(FOLGAS!$A$2:$A$301,A120,FOLGAS!$C$2:$C$301,C120)&gt;0),IF(D120="FOLGA","⚠ Folga também lançada na aba FOLGAS. ",IF(D120="TRABALHA","⚠ Marcado TRABALHA, mas tem folga na aba FOLGAS. ","")),"")&amp;IF(AND(ISNUMBER(C120),D120="FOLGA",B120&lt;&gt;"",COUNTIFS($B$2:$B$301,B120,$C$2:$C$301,C120,$D$2:$D$301,"TRABALHA")=0),"⚠ Ninguém do setor trabalhando nesta data. ","")))</f>
        <v/>
      </c>
    </row>
    <row r="121" customFormat="false" ht="15" hidden="false" customHeight="true" outlineLevel="0" collapsed="false">
      <c r="A121" s="54"/>
      <c r="B121" s="54"/>
      <c r="C121" s="53"/>
      <c r="D121" s="54"/>
      <c r="E121" s="54"/>
      <c r="F121" s="55" t="str">
        <f aca="false">IF(A121="","",TRIM(IF(NOT(ISNUMBER(C121)),"⚠ Falta a data. ","")&amp;IF(ISNUMBER(C121),IF(OR(AND(MONTH(C121)=12,DAY(C121)=31),AND(MONTH(C121)=1,DAY(C121)=1)),"","⚠ Data fora do Ano Novo (31/12 ou 01/01). "),"")&amp;IF(AND(ISNUMBER(C121),COUNTIFS($A$2:$A$301,A121,$C$2:$C$301,C121)&gt;1),"⚠ Nome repetido na mesma data. ","")&amp;IF(AND(ISNUMBER(C121),COUNTIFS(FÉRIAS!$A$2:$A$301,A121,FÉRIAS!$C$2:$C$301,"&lt;="&amp;C121,FÉRIAS!$D$2:$D$301,"&gt;="&amp;C121)&gt;0),IF(D121="TRABALHA","⚠ Está de férias e marcado TRABALHA. ","⚠ Já está de férias nesta data. "),"")&amp;IF(AND(ISNUMBER(C121),COUNTIFS(FOLGAS!$A$2:$A$301,A121,FOLGAS!$C$2:$C$301,C121)&gt;0),IF(D121="FOLGA","⚠ Folga também lançada na aba FOLGAS. ",IF(D121="TRABALHA","⚠ Marcado TRABALHA, mas tem folga na aba FOLGAS. ","")),"")&amp;IF(AND(ISNUMBER(C121),D121="FOLGA",B121&lt;&gt;"",COUNTIFS($B$2:$B$301,B121,$C$2:$C$301,C121,$D$2:$D$301,"TRABALHA")=0),"⚠ Ninguém do setor trabalhando nesta data. ","")))</f>
        <v/>
      </c>
    </row>
    <row r="122" customFormat="false" ht="15" hidden="false" customHeight="true" outlineLevel="0" collapsed="false">
      <c r="A122" s="54"/>
      <c r="B122" s="54"/>
      <c r="C122" s="53"/>
      <c r="D122" s="54"/>
      <c r="E122" s="54"/>
      <c r="F122" s="55" t="str">
        <f aca="false">IF(A122="","",TRIM(IF(NOT(ISNUMBER(C122)),"⚠ Falta a data. ","")&amp;IF(ISNUMBER(C122),IF(OR(AND(MONTH(C122)=12,DAY(C122)=31),AND(MONTH(C122)=1,DAY(C122)=1)),"","⚠ Data fora do Ano Novo (31/12 ou 01/01). "),"")&amp;IF(AND(ISNUMBER(C122),COUNTIFS($A$2:$A$301,A122,$C$2:$C$301,C122)&gt;1),"⚠ Nome repetido na mesma data. ","")&amp;IF(AND(ISNUMBER(C122),COUNTIFS(FÉRIAS!$A$2:$A$301,A122,FÉRIAS!$C$2:$C$301,"&lt;="&amp;C122,FÉRIAS!$D$2:$D$301,"&gt;="&amp;C122)&gt;0),IF(D122="TRABALHA","⚠ Está de férias e marcado TRABALHA. ","⚠ Já está de férias nesta data. "),"")&amp;IF(AND(ISNUMBER(C122),COUNTIFS(FOLGAS!$A$2:$A$301,A122,FOLGAS!$C$2:$C$301,C122)&gt;0),IF(D122="FOLGA","⚠ Folga também lançada na aba FOLGAS. ",IF(D122="TRABALHA","⚠ Marcado TRABALHA, mas tem folga na aba FOLGAS. ","")),"")&amp;IF(AND(ISNUMBER(C122),D122="FOLGA",B122&lt;&gt;"",COUNTIFS($B$2:$B$301,B122,$C$2:$C$301,C122,$D$2:$D$301,"TRABALHA")=0),"⚠ Ninguém do setor trabalhando nesta data. ","")))</f>
        <v/>
      </c>
    </row>
    <row r="123" customFormat="false" ht="15" hidden="false" customHeight="true" outlineLevel="0" collapsed="false">
      <c r="A123" s="54"/>
      <c r="B123" s="54"/>
      <c r="C123" s="53"/>
      <c r="D123" s="54"/>
      <c r="E123" s="54"/>
      <c r="F123" s="55" t="str">
        <f aca="false">IF(A123="","",TRIM(IF(NOT(ISNUMBER(C123)),"⚠ Falta a data. ","")&amp;IF(ISNUMBER(C123),IF(OR(AND(MONTH(C123)=12,DAY(C123)=31),AND(MONTH(C123)=1,DAY(C123)=1)),"","⚠ Data fora do Ano Novo (31/12 ou 01/01). "),"")&amp;IF(AND(ISNUMBER(C123),COUNTIFS($A$2:$A$301,A123,$C$2:$C$301,C123)&gt;1),"⚠ Nome repetido na mesma data. ","")&amp;IF(AND(ISNUMBER(C123),COUNTIFS(FÉRIAS!$A$2:$A$301,A123,FÉRIAS!$C$2:$C$301,"&lt;="&amp;C123,FÉRIAS!$D$2:$D$301,"&gt;="&amp;C123)&gt;0),IF(D123="TRABALHA","⚠ Está de férias e marcado TRABALHA. ","⚠ Já está de férias nesta data. "),"")&amp;IF(AND(ISNUMBER(C123),COUNTIFS(FOLGAS!$A$2:$A$301,A123,FOLGAS!$C$2:$C$301,C123)&gt;0),IF(D123="FOLGA","⚠ Folga também lançada na aba FOLGAS. ",IF(D123="TRABALHA","⚠ Marcado TRABALHA, mas tem folga na aba FOLGAS. ","")),"")&amp;IF(AND(ISNUMBER(C123),D123="FOLGA",B123&lt;&gt;"",COUNTIFS($B$2:$B$301,B123,$C$2:$C$301,C123,$D$2:$D$301,"TRABALHA")=0),"⚠ Ninguém do setor trabalhando nesta data. ","")))</f>
        <v/>
      </c>
    </row>
    <row r="124" customFormat="false" ht="15" hidden="false" customHeight="true" outlineLevel="0" collapsed="false">
      <c r="A124" s="54"/>
      <c r="B124" s="54"/>
      <c r="C124" s="53"/>
      <c r="D124" s="54"/>
      <c r="E124" s="54"/>
      <c r="F124" s="55" t="str">
        <f aca="false">IF(A124="","",TRIM(IF(NOT(ISNUMBER(C124)),"⚠ Falta a data. ","")&amp;IF(ISNUMBER(C124),IF(OR(AND(MONTH(C124)=12,DAY(C124)=31),AND(MONTH(C124)=1,DAY(C124)=1)),"","⚠ Data fora do Ano Novo (31/12 ou 01/01). "),"")&amp;IF(AND(ISNUMBER(C124),COUNTIFS($A$2:$A$301,A124,$C$2:$C$301,C124)&gt;1),"⚠ Nome repetido na mesma data. ","")&amp;IF(AND(ISNUMBER(C124),COUNTIFS(FÉRIAS!$A$2:$A$301,A124,FÉRIAS!$C$2:$C$301,"&lt;="&amp;C124,FÉRIAS!$D$2:$D$301,"&gt;="&amp;C124)&gt;0),IF(D124="TRABALHA","⚠ Está de férias e marcado TRABALHA. ","⚠ Já está de férias nesta data. "),"")&amp;IF(AND(ISNUMBER(C124),COUNTIFS(FOLGAS!$A$2:$A$301,A124,FOLGAS!$C$2:$C$301,C124)&gt;0),IF(D124="FOLGA","⚠ Folga também lançada na aba FOLGAS. ",IF(D124="TRABALHA","⚠ Marcado TRABALHA, mas tem folga na aba FOLGAS. ","")),"")&amp;IF(AND(ISNUMBER(C124),D124="FOLGA",B124&lt;&gt;"",COUNTIFS($B$2:$B$301,B124,$C$2:$C$301,C124,$D$2:$D$301,"TRABALHA")=0),"⚠ Ninguém do setor trabalhando nesta data. ","")))</f>
        <v/>
      </c>
    </row>
    <row r="125" customFormat="false" ht="15" hidden="false" customHeight="true" outlineLevel="0" collapsed="false">
      <c r="A125" s="54"/>
      <c r="B125" s="54"/>
      <c r="C125" s="53"/>
      <c r="D125" s="54"/>
      <c r="E125" s="54"/>
      <c r="F125" s="55" t="str">
        <f aca="false">IF(A125="","",TRIM(IF(NOT(ISNUMBER(C125)),"⚠ Falta a data. ","")&amp;IF(ISNUMBER(C125),IF(OR(AND(MONTH(C125)=12,DAY(C125)=31),AND(MONTH(C125)=1,DAY(C125)=1)),"","⚠ Data fora do Ano Novo (31/12 ou 01/01). "),"")&amp;IF(AND(ISNUMBER(C125),COUNTIFS($A$2:$A$301,A125,$C$2:$C$301,C125)&gt;1),"⚠ Nome repetido na mesma data. ","")&amp;IF(AND(ISNUMBER(C125),COUNTIFS(FÉRIAS!$A$2:$A$301,A125,FÉRIAS!$C$2:$C$301,"&lt;="&amp;C125,FÉRIAS!$D$2:$D$301,"&gt;="&amp;C125)&gt;0),IF(D125="TRABALHA","⚠ Está de férias e marcado TRABALHA. ","⚠ Já está de férias nesta data. "),"")&amp;IF(AND(ISNUMBER(C125),COUNTIFS(FOLGAS!$A$2:$A$301,A125,FOLGAS!$C$2:$C$301,C125)&gt;0),IF(D125="FOLGA","⚠ Folga também lançada na aba FOLGAS. ",IF(D125="TRABALHA","⚠ Marcado TRABALHA, mas tem folga na aba FOLGAS. ","")),"")&amp;IF(AND(ISNUMBER(C125),D125="FOLGA",B125&lt;&gt;"",COUNTIFS($B$2:$B$301,B125,$C$2:$C$301,C125,$D$2:$D$301,"TRABALHA")=0),"⚠ Ninguém do setor trabalhando nesta data. ","")))</f>
        <v/>
      </c>
    </row>
    <row r="126" customFormat="false" ht="15" hidden="false" customHeight="true" outlineLevel="0" collapsed="false">
      <c r="A126" s="54"/>
      <c r="B126" s="54"/>
      <c r="C126" s="53"/>
      <c r="D126" s="54"/>
      <c r="E126" s="54"/>
      <c r="F126" s="55" t="str">
        <f aca="false">IF(A126="","",TRIM(IF(NOT(ISNUMBER(C126)),"⚠ Falta a data. ","")&amp;IF(ISNUMBER(C126),IF(OR(AND(MONTH(C126)=12,DAY(C126)=31),AND(MONTH(C126)=1,DAY(C126)=1)),"","⚠ Data fora do Ano Novo (31/12 ou 01/01). "),"")&amp;IF(AND(ISNUMBER(C126),COUNTIFS($A$2:$A$301,A126,$C$2:$C$301,C126)&gt;1),"⚠ Nome repetido na mesma data. ","")&amp;IF(AND(ISNUMBER(C126),COUNTIFS(FÉRIAS!$A$2:$A$301,A126,FÉRIAS!$C$2:$C$301,"&lt;="&amp;C126,FÉRIAS!$D$2:$D$301,"&gt;="&amp;C126)&gt;0),IF(D126="TRABALHA","⚠ Está de férias e marcado TRABALHA. ","⚠ Já está de férias nesta data. "),"")&amp;IF(AND(ISNUMBER(C126),COUNTIFS(FOLGAS!$A$2:$A$301,A126,FOLGAS!$C$2:$C$301,C126)&gt;0),IF(D126="FOLGA","⚠ Folga também lançada na aba FOLGAS. ",IF(D126="TRABALHA","⚠ Marcado TRABALHA, mas tem folga na aba FOLGAS. ","")),"")&amp;IF(AND(ISNUMBER(C126),D126="FOLGA",B126&lt;&gt;"",COUNTIFS($B$2:$B$301,B126,$C$2:$C$301,C126,$D$2:$D$301,"TRABALHA")=0),"⚠ Ninguém do setor trabalhando nesta data. ","")))</f>
        <v/>
      </c>
    </row>
    <row r="127" customFormat="false" ht="15" hidden="false" customHeight="true" outlineLevel="0" collapsed="false">
      <c r="A127" s="54"/>
      <c r="B127" s="54"/>
      <c r="C127" s="53"/>
      <c r="D127" s="54"/>
      <c r="E127" s="54"/>
      <c r="F127" s="55" t="str">
        <f aca="false">IF(A127="","",TRIM(IF(NOT(ISNUMBER(C127)),"⚠ Falta a data. ","")&amp;IF(ISNUMBER(C127),IF(OR(AND(MONTH(C127)=12,DAY(C127)=31),AND(MONTH(C127)=1,DAY(C127)=1)),"","⚠ Data fora do Ano Novo (31/12 ou 01/01). "),"")&amp;IF(AND(ISNUMBER(C127),COUNTIFS($A$2:$A$301,A127,$C$2:$C$301,C127)&gt;1),"⚠ Nome repetido na mesma data. ","")&amp;IF(AND(ISNUMBER(C127),COUNTIFS(FÉRIAS!$A$2:$A$301,A127,FÉRIAS!$C$2:$C$301,"&lt;="&amp;C127,FÉRIAS!$D$2:$D$301,"&gt;="&amp;C127)&gt;0),IF(D127="TRABALHA","⚠ Está de férias e marcado TRABALHA. ","⚠ Já está de férias nesta data. "),"")&amp;IF(AND(ISNUMBER(C127),COUNTIFS(FOLGAS!$A$2:$A$301,A127,FOLGAS!$C$2:$C$301,C127)&gt;0),IF(D127="FOLGA","⚠ Folga também lançada na aba FOLGAS. ",IF(D127="TRABALHA","⚠ Marcado TRABALHA, mas tem folga na aba FOLGAS. ","")),"")&amp;IF(AND(ISNUMBER(C127),D127="FOLGA",B127&lt;&gt;"",COUNTIFS($B$2:$B$301,B127,$C$2:$C$301,C127,$D$2:$D$301,"TRABALHA")=0),"⚠ Ninguém do setor trabalhando nesta data. ","")))</f>
        <v/>
      </c>
    </row>
    <row r="128" customFormat="false" ht="15" hidden="false" customHeight="true" outlineLevel="0" collapsed="false">
      <c r="A128" s="54"/>
      <c r="B128" s="54"/>
      <c r="C128" s="53"/>
      <c r="D128" s="54"/>
      <c r="E128" s="54"/>
      <c r="F128" s="55" t="str">
        <f aca="false">IF(A128="","",TRIM(IF(NOT(ISNUMBER(C128)),"⚠ Falta a data. ","")&amp;IF(ISNUMBER(C128),IF(OR(AND(MONTH(C128)=12,DAY(C128)=31),AND(MONTH(C128)=1,DAY(C128)=1)),"","⚠ Data fora do Ano Novo (31/12 ou 01/01). "),"")&amp;IF(AND(ISNUMBER(C128),COUNTIFS($A$2:$A$301,A128,$C$2:$C$301,C128)&gt;1),"⚠ Nome repetido na mesma data. ","")&amp;IF(AND(ISNUMBER(C128),COUNTIFS(FÉRIAS!$A$2:$A$301,A128,FÉRIAS!$C$2:$C$301,"&lt;="&amp;C128,FÉRIAS!$D$2:$D$301,"&gt;="&amp;C128)&gt;0),IF(D128="TRABALHA","⚠ Está de férias e marcado TRABALHA. ","⚠ Já está de férias nesta data. "),"")&amp;IF(AND(ISNUMBER(C128),COUNTIFS(FOLGAS!$A$2:$A$301,A128,FOLGAS!$C$2:$C$301,C128)&gt;0),IF(D128="FOLGA","⚠ Folga também lançada na aba FOLGAS. ",IF(D128="TRABALHA","⚠ Marcado TRABALHA, mas tem folga na aba FOLGAS. ","")),"")&amp;IF(AND(ISNUMBER(C128),D128="FOLGA",B128&lt;&gt;"",COUNTIFS($B$2:$B$301,B128,$C$2:$C$301,C128,$D$2:$D$301,"TRABALHA")=0),"⚠ Ninguém do setor trabalhando nesta data. ","")))</f>
        <v/>
      </c>
    </row>
    <row r="129" customFormat="false" ht="15" hidden="false" customHeight="true" outlineLevel="0" collapsed="false">
      <c r="A129" s="54"/>
      <c r="B129" s="54"/>
      <c r="C129" s="53"/>
      <c r="D129" s="54"/>
      <c r="E129" s="54"/>
      <c r="F129" s="55" t="str">
        <f aca="false">IF(A129="","",TRIM(IF(NOT(ISNUMBER(C129)),"⚠ Falta a data. ","")&amp;IF(ISNUMBER(C129),IF(OR(AND(MONTH(C129)=12,DAY(C129)=31),AND(MONTH(C129)=1,DAY(C129)=1)),"","⚠ Data fora do Ano Novo (31/12 ou 01/01). "),"")&amp;IF(AND(ISNUMBER(C129),COUNTIFS($A$2:$A$301,A129,$C$2:$C$301,C129)&gt;1),"⚠ Nome repetido na mesma data. ","")&amp;IF(AND(ISNUMBER(C129),COUNTIFS(FÉRIAS!$A$2:$A$301,A129,FÉRIAS!$C$2:$C$301,"&lt;="&amp;C129,FÉRIAS!$D$2:$D$301,"&gt;="&amp;C129)&gt;0),IF(D129="TRABALHA","⚠ Está de férias e marcado TRABALHA. ","⚠ Já está de férias nesta data. "),"")&amp;IF(AND(ISNUMBER(C129),COUNTIFS(FOLGAS!$A$2:$A$301,A129,FOLGAS!$C$2:$C$301,C129)&gt;0),IF(D129="FOLGA","⚠ Folga também lançada na aba FOLGAS. ",IF(D129="TRABALHA","⚠ Marcado TRABALHA, mas tem folga na aba FOLGAS. ","")),"")&amp;IF(AND(ISNUMBER(C129),D129="FOLGA",B129&lt;&gt;"",COUNTIFS($B$2:$B$301,B129,$C$2:$C$301,C129,$D$2:$D$301,"TRABALHA")=0),"⚠ Ninguém do setor trabalhando nesta data. ","")))</f>
        <v/>
      </c>
    </row>
    <row r="130" customFormat="false" ht="15" hidden="false" customHeight="true" outlineLevel="0" collapsed="false">
      <c r="A130" s="54"/>
      <c r="B130" s="54"/>
      <c r="C130" s="53"/>
      <c r="D130" s="54"/>
      <c r="E130" s="54"/>
      <c r="F130" s="55" t="str">
        <f aca="false">IF(A130="","",TRIM(IF(NOT(ISNUMBER(C130)),"⚠ Falta a data. ","")&amp;IF(ISNUMBER(C130),IF(OR(AND(MONTH(C130)=12,DAY(C130)=31),AND(MONTH(C130)=1,DAY(C130)=1)),"","⚠ Data fora do Ano Novo (31/12 ou 01/01). "),"")&amp;IF(AND(ISNUMBER(C130),COUNTIFS($A$2:$A$301,A130,$C$2:$C$301,C130)&gt;1),"⚠ Nome repetido na mesma data. ","")&amp;IF(AND(ISNUMBER(C130),COUNTIFS(FÉRIAS!$A$2:$A$301,A130,FÉRIAS!$C$2:$C$301,"&lt;="&amp;C130,FÉRIAS!$D$2:$D$301,"&gt;="&amp;C130)&gt;0),IF(D130="TRABALHA","⚠ Está de férias e marcado TRABALHA. ","⚠ Já está de férias nesta data. "),"")&amp;IF(AND(ISNUMBER(C130),COUNTIFS(FOLGAS!$A$2:$A$301,A130,FOLGAS!$C$2:$C$301,C130)&gt;0),IF(D130="FOLGA","⚠ Folga também lançada na aba FOLGAS. ",IF(D130="TRABALHA","⚠ Marcado TRABALHA, mas tem folga na aba FOLGAS. ","")),"")&amp;IF(AND(ISNUMBER(C130),D130="FOLGA",B130&lt;&gt;"",COUNTIFS($B$2:$B$301,B130,$C$2:$C$301,C130,$D$2:$D$301,"TRABALHA")=0),"⚠ Ninguém do setor trabalhando nesta data. ","")))</f>
        <v/>
      </c>
    </row>
    <row r="131" customFormat="false" ht="15" hidden="false" customHeight="true" outlineLevel="0" collapsed="false">
      <c r="A131" s="54"/>
      <c r="B131" s="54"/>
      <c r="C131" s="53"/>
      <c r="D131" s="54"/>
      <c r="E131" s="54"/>
      <c r="F131" s="55" t="str">
        <f aca="false">IF(A131="","",TRIM(IF(NOT(ISNUMBER(C131)),"⚠ Falta a data. ","")&amp;IF(ISNUMBER(C131),IF(OR(AND(MONTH(C131)=12,DAY(C131)=31),AND(MONTH(C131)=1,DAY(C131)=1)),"","⚠ Data fora do Ano Novo (31/12 ou 01/01). "),"")&amp;IF(AND(ISNUMBER(C131),COUNTIFS($A$2:$A$301,A131,$C$2:$C$301,C131)&gt;1),"⚠ Nome repetido na mesma data. ","")&amp;IF(AND(ISNUMBER(C131),COUNTIFS(FÉRIAS!$A$2:$A$301,A131,FÉRIAS!$C$2:$C$301,"&lt;="&amp;C131,FÉRIAS!$D$2:$D$301,"&gt;="&amp;C131)&gt;0),IF(D131="TRABALHA","⚠ Está de férias e marcado TRABALHA. ","⚠ Já está de férias nesta data. "),"")&amp;IF(AND(ISNUMBER(C131),COUNTIFS(FOLGAS!$A$2:$A$301,A131,FOLGAS!$C$2:$C$301,C131)&gt;0),IF(D131="FOLGA","⚠ Folga também lançada na aba FOLGAS. ",IF(D131="TRABALHA","⚠ Marcado TRABALHA, mas tem folga na aba FOLGAS. ","")),"")&amp;IF(AND(ISNUMBER(C131),D131="FOLGA",B131&lt;&gt;"",COUNTIFS($B$2:$B$301,B131,$C$2:$C$301,C131,$D$2:$D$301,"TRABALHA")=0),"⚠ Ninguém do setor trabalhando nesta data. ","")))</f>
        <v/>
      </c>
    </row>
    <row r="132" customFormat="false" ht="15" hidden="false" customHeight="true" outlineLevel="0" collapsed="false">
      <c r="A132" s="54"/>
      <c r="B132" s="54"/>
      <c r="C132" s="53"/>
      <c r="D132" s="54"/>
      <c r="E132" s="54"/>
      <c r="F132" s="55" t="str">
        <f aca="false">IF(A132="","",TRIM(IF(NOT(ISNUMBER(C132)),"⚠ Falta a data. ","")&amp;IF(ISNUMBER(C132),IF(OR(AND(MONTH(C132)=12,DAY(C132)=31),AND(MONTH(C132)=1,DAY(C132)=1)),"","⚠ Data fora do Ano Novo (31/12 ou 01/01). "),"")&amp;IF(AND(ISNUMBER(C132),COUNTIFS($A$2:$A$301,A132,$C$2:$C$301,C132)&gt;1),"⚠ Nome repetido na mesma data. ","")&amp;IF(AND(ISNUMBER(C132),COUNTIFS(FÉRIAS!$A$2:$A$301,A132,FÉRIAS!$C$2:$C$301,"&lt;="&amp;C132,FÉRIAS!$D$2:$D$301,"&gt;="&amp;C132)&gt;0),IF(D132="TRABALHA","⚠ Está de férias e marcado TRABALHA. ","⚠ Já está de férias nesta data. "),"")&amp;IF(AND(ISNUMBER(C132),COUNTIFS(FOLGAS!$A$2:$A$301,A132,FOLGAS!$C$2:$C$301,C132)&gt;0),IF(D132="FOLGA","⚠ Folga também lançada na aba FOLGAS. ",IF(D132="TRABALHA","⚠ Marcado TRABALHA, mas tem folga na aba FOLGAS. ","")),"")&amp;IF(AND(ISNUMBER(C132),D132="FOLGA",B132&lt;&gt;"",COUNTIFS($B$2:$B$301,B132,$C$2:$C$301,C132,$D$2:$D$301,"TRABALHA")=0),"⚠ Ninguém do setor trabalhando nesta data. ","")))</f>
        <v/>
      </c>
    </row>
    <row r="133" customFormat="false" ht="15" hidden="false" customHeight="true" outlineLevel="0" collapsed="false">
      <c r="A133" s="54"/>
      <c r="B133" s="54"/>
      <c r="C133" s="53"/>
      <c r="D133" s="54"/>
      <c r="E133" s="54"/>
      <c r="F133" s="55" t="str">
        <f aca="false">IF(A133="","",TRIM(IF(NOT(ISNUMBER(C133)),"⚠ Falta a data. ","")&amp;IF(ISNUMBER(C133),IF(OR(AND(MONTH(C133)=12,DAY(C133)=31),AND(MONTH(C133)=1,DAY(C133)=1)),"","⚠ Data fora do Ano Novo (31/12 ou 01/01). "),"")&amp;IF(AND(ISNUMBER(C133),COUNTIFS($A$2:$A$301,A133,$C$2:$C$301,C133)&gt;1),"⚠ Nome repetido na mesma data. ","")&amp;IF(AND(ISNUMBER(C133),COUNTIFS(FÉRIAS!$A$2:$A$301,A133,FÉRIAS!$C$2:$C$301,"&lt;="&amp;C133,FÉRIAS!$D$2:$D$301,"&gt;="&amp;C133)&gt;0),IF(D133="TRABALHA","⚠ Está de férias e marcado TRABALHA. ","⚠ Já está de férias nesta data. "),"")&amp;IF(AND(ISNUMBER(C133),COUNTIFS(FOLGAS!$A$2:$A$301,A133,FOLGAS!$C$2:$C$301,C133)&gt;0),IF(D133="FOLGA","⚠ Folga também lançada na aba FOLGAS. ",IF(D133="TRABALHA","⚠ Marcado TRABALHA, mas tem folga na aba FOLGAS. ","")),"")&amp;IF(AND(ISNUMBER(C133),D133="FOLGA",B133&lt;&gt;"",COUNTIFS($B$2:$B$301,B133,$C$2:$C$301,C133,$D$2:$D$301,"TRABALHA")=0),"⚠ Ninguém do setor trabalhando nesta data. ","")))</f>
        <v/>
      </c>
    </row>
    <row r="134" customFormat="false" ht="15" hidden="false" customHeight="true" outlineLevel="0" collapsed="false">
      <c r="A134" s="54"/>
      <c r="B134" s="54"/>
      <c r="C134" s="53"/>
      <c r="D134" s="54"/>
      <c r="E134" s="54"/>
      <c r="F134" s="55" t="str">
        <f aca="false">IF(A134="","",TRIM(IF(NOT(ISNUMBER(C134)),"⚠ Falta a data. ","")&amp;IF(ISNUMBER(C134),IF(OR(AND(MONTH(C134)=12,DAY(C134)=31),AND(MONTH(C134)=1,DAY(C134)=1)),"","⚠ Data fora do Ano Novo (31/12 ou 01/01). "),"")&amp;IF(AND(ISNUMBER(C134),COUNTIFS($A$2:$A$301,A134,$C$2:$C$301,C134)&gt;1),"⚠ Nome repetido na mesma data. ","")&amp;IF(AND(ISNUMBER(C134),COUNTIFS(FÉRIAS!$A$2:$A$301,A134,FÉRIAS!$C$2:$C$301,"&lt;="&amp;C134,FÉRIAS!$D$2:$D$301,"&gt;="&amp;C134)&gt;0),IF(D134="TRABALHA","⚠ Está de férias e marcado TRABALHA. ","⚠ Já está de férias nesta data. "),"")&amp;IF(AND(ISNUMBER(C134),COUNTIFS(FOLGAS!$A$2:$A$301,A134,FOLGAS!$C$2:$C$301,C134)&gt;0),IF(D134="FOLGA","⚠ Folga também lançada na aba FOLGAS. ",IF(D134="TRABALHA","⚠ Marcado TRABALHA, mas tem folga na aba FOLGAS. ","")),"")&amp;IF(AND(ISNUMBER(C134),D134="FOLGA",B134&lt;&gt;"",COUNTIFS($B$2:$B$301,B134,$C$2:$C$301,C134,$D$2:$D$301,"TRABALHA")=0),"⚠ Ninguém do setor trabalhando nesta data. ","")))</f>
        <v/>
      </c>
    </row>
    <row r="135" customFormat="false" ht="15" hidden="false" customHeight="true" outlineLevel="0" collapsed="false">
      <c r="A135" s="54"/>
      <c r="B135" s="54"/>
      <c r="C135" s="53"/>
      <c r="D135" s="54"/>
      <c r="E135" s="54"/>
      <c r="F135" s="55" t="str">
        <f aca="false">IF(A135="","",TRIM(IF(NOT(ISNUMBER(C135)),"⚠ Falta a data. ","")&amp;IF(ISNUMBER(C135),IF(OR(AND(MONTH(C135)=12,DAY(C135)=31),AND(MONTH(C135)=1,DAY(C135)=1)),"","⚠ Data fora do Ano Novo (31/12 ou 01/01). "),"")&amp;IF(AND(ISNUMBER(C135),COUNTIFS($A$2:$A$301,A135,$C$2:$C$301,C135)&gt;1),"⚠ Nome repetido na mesma data. ","")&amp;IF(AND(ISNUMBER(C135),COUNTIFS(FÉRIAS!$A$2:$A$301,A135,FÉRIAS!$C$2:$C$301,"&lt;="&amp;C135,FÉRIAS!$D$2:$D$301,"&gt;="&amp;C135)&gt;0),IF(D135="TRABALHA","⚠ Está de férias e marcado TRABALHA. ","⚠ Já está de férias nesta data. "),"")&amp;IF(AND(ISNUMBER(C135),COUNTIFS(FOLGAS!$A$2:$A$301,A135,FOLGAS!$C$2:$C$301,C135)&gt;0),IF(D135="FOLGA","⚠ Folga também lançada na aba FOLGAS. ",IF(D135="TRABALHA","⚠ Marcado TRABALHA, mas tem folga na aba FOLGAS. ","")),"")&amp;IF(AND(ISNUMBER(C135),D135="FOLGA",B135&lt;&gt;"",COUNTIFS($B$2:$B$301,B135,$C$2:$C$301,C135,$D$2:$D$301,"TRABALHA")=0),"⚠ Ninguém do setor trabalhando nesta data. ","")))</f>
        <v/>
      </c>
    </row>
    <row r="136" customFormat="false" ht="15" hidden="false" customHeight="true" outlineLevel="0" collapsed="false">
      <c r="A136" s="54"/>
      <c r="B136" s="54"/>
      <c r="C136" s="53"/>
      <c r="D136" s="54"/>
      <c r="E136" s="54"/>
      <c r="F136" s="55" t="str">
        <f aca="false">IF(A136="","",TRIM(IF(NOT(ISNUMBER(C136)),"⚠ Falta a data. ","")&amp;IF(ISNUMBER(C136),IF(OR(AND(MONTH(C136)=12,DAY(C136)=31),AND(MONTH(C136)=1,DAY(C136)=1)),"","⚠ Data fora do Ano Novo (31/12 ou 01/01). "),"")&amp;IF(AND(ISNUMBER(C136),COUNTIFS($A$2:$A$301,A136,$C$2:$C$301,C136)&gt;1),"⚠ Nome repetido na mesma data. ","")&amp;IF(AND(ISNUMBER(C136),COUNTIFS(FÉRIAS!$A$2:$A$301,A136,FÉRIAS!$C$2:$C$301,"&lt;="&amp;C136,FÉRIAS!$D$2:$D$301,"&gt;="&amp;C136)&gt;0),IF(D136="TRABALHA","⚠ Está de férias e marcado TRABALHA. ","⚠ Já está de férias nesta data. "),"")&amp;IF(AND(ISNUMBER(C136),COUNTIFS(FOLGAS!$A$2:$A$301,A136,FOLGAS!$C$2:$C$301,C136)&gt;0),IF(D136="FOLGA","⚠ Folga também lançada na aba FOLGAS. ",IF(D136="TRABALHA","⚠ Marcado TRABALHA, mas tem folga na aba FOLGAS. ","")),"")&amp;IF(AND(ISNUMBER(C136),D136="FOLGA",B136&lt;&gt;"",COUNTIFS($B$2:$B$301,B136,$C$2:$C$301,C136,$D$2:$D$301,"TRABALHA")=0),"⚠ Ninguém do setor trabalhando nesta data. ","")))</f>
        <v/>
      </c>
    </row>
    <row r="137" customFormat="false" ht="15" hidden="false" customHeight="true" outlineLevel="0" collapsed="false">
      <c r="A137" s="54"/>
      <c r="B137" s="54"/>
      <c r="C137" s="53"/>
      <c r="D137" s="54"/>
      <c r="E137" s="54"/>
      <c r="F137" s="55" t="str">
        <f aca="false">IF(A137="","",TRIM(IF(NOT(ISNUMBER(C137)),"⚠ Falta a data. ","")&amp;IF(ISNUMBER(C137),IF(OR(AND(MONTH(C137)=12,DAY(C137)=31),AND(MONTH(C137)=1,DAY(C137)=1)),"","⚠ Data fora do Ano Novo (31/12 ou 01/01). "),"")&amp;IF(AND(ISNUMBER(C137),COUNTIFS($A$2:$A$301,A137,$C$2:$C$301,C137)&gt;1),"⚠ Nome repetido na mesma data. ","")&amp;IF(AND(ISNUMBER(C137),COUNTIFS(FÉRIAS!$A$2:$A$301,A137,FÉRIAS!$C$2:$C$301,"&lt;="&amp;C137,FÉRIAS!$D$2:$D$301,"&gt;="&amp;C137)&gt;0),IF(D137="TRABALHA","⚠ Está de férias e marcado TRABALHA. ","⚠ Já está de férias nesta data. "),"")&amp;IF(AND(ISNUMBER(C137),COUNTIFS(FOLGAS!$A$2:$A$301,A137,FOLGAS!$C$2:$C$301,C137)&gt;0),IF(D137="FOLGA","⚠ Folga também lançada na aba FOLGAS. ",IF(D137="TRABALHA","⚠ Marcado TRABALHA, mas tem folga na aba FOLGAS. ","")),"")&amp;IF(AND(ISNUMBER(C137),D137="FOLGA",B137&lt;&gt;"",COUNTIFS($B$2:$B$301,B137,$C$2:$C$301,C137,$D$2:$D$301,"TRABALHA")=0),"⚠ Ninguém do setor trabalhando nesta data. ","")))</f>
        <v/>
      </c>
    </row>
    <row r="138" customFormat="false" ht="15" hidden="false" customHeight="true" outlineLevel="0" collapsed="false">
      <c r="A138" s="54"/>
      <c r="B138" s="54"/>
      <c r="C138" s="53"/>
      <c r="D138" s="54"/>
      <c r="E138" s="54"/>
      <c r="F138" s="55" t="str">
        <f aca="false">IF(A138="","",TRIM(IF(NOT(ISNUMBER(C138)),"⚠ Falta a data. ","")&amp;IF(ISNUMBER(C138),IF(OR(AND(MONTH(C138)=12,DAY(C138)=31),AND(MONTH(C138)=1,DAY(C138)=1)),"","⚠ Data fora do Ano Novo (31/12 ou 01/01). "),"")&amp;IF(AND(ISNUMBER(C138),COUNTIFS($A$2:$A$301,A138,$C$2:$C$301,C138)&gt;1),"⚠ Nome repetido na mesma data. ","")&amp;IF(AND(ISNUMBER(C138),COUNTIFS(FÉRIAS!$A$2:$A$301,A138,FÉRIAS!$C$2:$C$301,"&lt;="&amp;C138,FÉRIAS!$D$2:$D$301,"&gt;="&amp;C138)&gt;0),IF(D138="TRABALHA","⚠ Está de férias e marcado TRABALHA. ","⚠ Já está de férias nesta data. "),"")&amp;IF(AND(ISNUMBER(C138),COUNTIFS(FOLGAS!$A$2:$A$301,A138,FOLGAS!$C$2:$C$301,C138)&gt;0),IF(D138="FOLGA","⚠ Folga também lançada na aba FOLGAS. ",IF(D138="TRABALHA","⚠ Marcado TRABALHA, mas tem folga na aba FOLGAS. ","")),"")&amp;IF(AND(ISNUMBER(C138),D138="FOLGA",B138&lt;&gt;"",COUNTIFS($B$2:$B$301,B138,$C$2:$C$301,C138,$D$2:$D$301,"TRABALHA")=0),"⚠ Ninguém do setor trabalhando nesta data. ","")))</f>
        <v/>
      </c>
    </row>
    <row r="139" customFormat="false" ht="15" hidden="false" customHeight="true" outlineLevel="0" collapsed="false">
      <c r="A139" s="54"/>
      <c r="B139" s="54"/>
      <c r="C139" s="53"/>
      <c r="D139" s="54"/>
      <c r="E139" s="54"/>
      <c r="F139" s="55" t="str">
        <f aca="false">IF(A139="","",TRIM(IF(NOT(ISNUMBER(C139)),"⚠ Falta a data. ","")&amp;IF(ISNUMBER(C139),IF(OR(AND(MONTH(C139)=12,DAY(C139)=31),AND(MONTH(C139)=1,DAY(C139)=1)),"","⚠ Data fora do Ano Novo (31/12 ou 01/01). "),"")&amp;IF(AND(ISNUMBER(C139),COUNTIFS($A$2:$A$301,A139,$C$2:$C$301,C139)&gt;1),"⚠ Nome repetido na mesma data. ","")&amp;IF(AND(ISNUMBER(C139),COUNTIFS(FÉRIAS!$A$2:$A$301,A139,FÉRIAS!$C$2:$C$301,"&lt;="&amp;C139,FÉRIAS!$D$2:$D$301,"&gt;="&amp;C139)&gt;0),IF(D139="TRABALHA","⚠ Está de férias e marcado TRABALHA. ","⚠ Já está de férias nesta data. "),"")&amp;IF(AND(ISNUMBER(C139),COUNTIFS(FOLGAS!$A$2:$A$301,A139,FOLGAS!$C$2:$C$301,C139)&gt;0),IF(D139="FOLGA","⚠ Folga também lançada na aba FOLGAS. ",IF(D139="TRABALHA","⚠ Marcado TRABALHA, mas tem folga na aba FOLGAS. ","")),"")&amp;IF(AND(ISNUMBER(C139),D139="FOLGA",B139&lt;&gt;"",COUNTIFS($B$2:$B$301,B139,$C$2:$C$301,C139,$D$2:$D$301,"TRABALHA")=0),"⚠ Ninguém do setor trabalhando nesta data. ","")))</f>
        <v/>
      </c>
    </row>
    <row r="140" customFormat="false" ht="15" hidden="false" customHeight="true" outlineLevel="0" collapsed="false">
      <c r="A140" s="54"/>
      <c r="B140" s="54"/>
      <c r="C140" s="53"/>
      <c r="D140" s="54"/>
      <c r="E140" s="54"/>
      <c r="F140" s="55" t="str">
        <f aca="false">IF(A140="","",TRIM(IF(NOT(ISNUMBER(C140)),"⚠ Falta a data. ","")&amp;IF(ISNUMBER(C140),IF(OR(AND(MONTH(C140)=12,DAY(C140)=31),AND(MONTH(C140)=1,DAY(C140)=1)),"","⚠ Data fora do Ano Novo (31/12 ou 01/01). "),"")&amp;IF(AND(ISNUMBER(C140),COUNTIFS($A$2:$A$301,A140,$C$2:$C$301,C140)&gt;1),"⚠ Nome repetido na mesma data. ","")&amp;IF(AND(ISNUMBER(C140),COUNTIFS(FÉRIAS!$A$2:$A$301,A140,FÉRIAS!$C$2:$C$301,"&lt;="&amp;C140,FÉRIAS!$D$2:$D$301,"&gt;="&amp;C140)&gt;0),IF(D140="TRABALHA","⚠ Está de férias e marcado TRABALHA. ","⚠ Já está de férias nesta data. "),"")&amp;IF(AND(ISNUMBER(C140),COUNTIFS(FOLGAS!$A$2:$A$301,A140,FOLGAS!$C$2:$C$301,C140)&gt;0),IF(D140="FOLGA","⚠ Folga também lançada na aba FOLGAS. ",IF(D140="TRABALHA","⚠ Marcado TRABALHA, mas tem folga na aba FOLGAS. ","")),"")&amp;IF(AND(ISNUMBER(C140),D140="FOLGA",B140&lt;&gt;"",COUNTIFS($B$2:$B$301,B140,$C$2:$C$301,C140,$D$2:$D$301,"TRABALHA")=0),"⚠ Ninguém do setor trabalhando nesta data. ","")))</f>
        <v/>
      </c>
    </row>
    <row r="141" customFormat="false" ht="15" hidden="false" customHeight="true" outlineLevel="0" collapsed="false">
      <c r="A141" s="54"/>
      <c r="B141" s="54"/>
      <c r="C141" s="53"/>
      <c r="D141" s="54"/>
      <c r="E141" s="54"/>
      <c r="F141" s="55" t="str">
        <f aca="false">IF(A141="","",TRIM(IF(NOT(ISNUMBER(C141)),"⚠ Falta a data. ","")&amp;IF(ISNUMBER(C141),IF(OR(AND(MONTH(C141)=12,DAY(C141)=31),AND(MONTH(C141)=1,DAY(C141)=1)),"","⚠ Data fora do Ano Novo (31/12 ou 01/01). "),"")&amp;IF(AND(ISNUMBER(C141),COUNTIFS($A$2:$A$301,A141,$C$2:$C$301,C141)&gt;1),"⚠ Nome repetido na mesma data. ","")&amp;IF(AND(ISNUMBER(C141),COUNTIFS(FÉRIAS!$A$2:$A$301,A141,FÉRIAS!$C$2:$C$301,"&lt;="&amp;C141,FÉRIAS!$D$2:$D$301,"&gt;="&amp;C141)&gt;0),IF(D141="TRABALHA","⚠ Está de férias e marcado TRABALHA. ","⚠ Já está de férias nesta data. "),"")&amp;IF(AND(ISNUMBER(C141),COUNTIFS(FOLGAS!$A$2:$A$301,A141,FOLGAS!$C$2:$C$301,C141)&gt;0),IF(D141="FOLGA","⚠ Folga também lançada na aba FOLGAS. ",IF(D141="TRABALHA","⚠ Marcado TRABALHA, mas tem folga na aba FOLGAS. ","")),"")&amp;IF(AND(ISNUMBER(C141),D141="FOLGA",B141&lt;&gt;"",COUNTIFS($B$2:$B$301,B141,$C$2:$C$301,C141,$D$2:$D$301,"TRABALHA")=0),"⚠ Ninguém do setor trabalhando nesta data. ","")))</f>
        <v/>
      </c>
    </row>
    <row r="142" customFormat="false" ht="15" hidden="false" customHeight="true" outlineLevel="0" collapsed="false">
      <c r="A142" s="54"/>
      <c r="B142" s="54"/>
      <c r="C142" s="53"/>
      <c r="D142" s="54"/>
      <c r="E142" s="54"/>
      <c r="F142" s="55" t="str">
        <f aca="false">IF(A142="","",TRIM(IF(NOT(ISNUMBER(C142)),"⚠ Falta a data. ","")&amp;IF(ISNUMBER(C142),IF(OR(AND(MONTH(C142)=12,DAY(C142)=31),AND(MONTH(C142)=1,DAY(C142)=1)),"","⚠ Data fora do Ano Novo (31/12 ou 01/01). "),"")&amp;IF(AND(ISNUMBER(C142),COUNTIFS($A$2:$A$301,A142,$C$2:$C$301,C142)&gt;1),"⚠ Nome repetido na mesma data. ","")&amp;IF(AND(ISNUMBER(C142),COUNTIFS(FÉRIAS!$A$2:$A$301,A142,FÉRIAS!$C$2:$C$301,"&lt;="&amp;C142,FÉRIAS!$D$2:$D$301,"&gt;="&amp;C142)&gt;0),IF(D142="TRABALHA","⚠ Está de férias e marcado TRABALHA. ","⚠ Já está de férias nesta data. "),"")&amp;IF(AND(ISNUMBER(C142),COUNTIFS(FOLGAS!$A$2:$A$301,A142,FOLGAS!$C$2:$C$301,C142)&gt;0),IF(D142="FOLGA","⚠ Folga também lançada na aba FOLGAS. ",IF(D142="TRABALHA","⚠ Marcado TRABALHA, mas tem folga na aba FOLGAS. ","")),"")&amp;IF(AND(ISNUMBER(C142),D142="FOLGA",B142&lt;&gt;"",COUNTIFS($B$2:$B$301,B142,$C$2:$C$301,C142,$D$2:$D$301,"TRABALHA")=0),"⚠ Ninguém do setor trabalhando nesta data. ","")))</f>
        <v/>
      </c>
    </row>
    <row r="143" customFormat="false" ht="15" hidden="false" customHeight="true" outlineLevel="0" collapsed="false">
      <c r="A143" s="54"/>
      <c r="B143" s="54"/>
      <c r="C143" s="53"/>
      <c r="D143" s="54"/>
      <c r="E143" s="54"/>
      <c r="F143" s="55" t="str">
        <f aca="false">IF(A143="","",TRIM(IF(NOT(ISNUMBER(C143)),"⚠ Falta a data. ","")&amp;IF(ISNUMBER(C143),IF(OR(AND(MONTH(C143)=12,DAY(C143)=31),AND(MONTH(C143)=1,DAY(C143)=1)),"","⚠ Data fora do Ano Novo (31/12 ou 01/01). "),"")&amp;IF(AND(ISNUMBER(C143),COUNTIFS($A$2:$A$301,A143,$C$2:$C$301,C143)&gt;1),"⚠ Nome repetido na mesma data. ","")&amp;IF(AND(ISNUMBER(C143),COUNTIFS(FÉRIAS!$A$2:$A$301,A143,FÉRIAS!$C$2:$C$301,"&lt;="&amp;C143,FÉRIAS!$D$2:$D$301,"&gt;="&amp;C143)&gt;0),IF(D143="TRABALHA","⚠ Está de férias e marcado TRABALHA. ","⚠ Já está de férias nesta data. "),"")&amp;IF(AND(ISNUMBER(C143),COUNTIFS(FOLGAS!$A$2:$A$301,A143,FOLGAS!$C$2:$C$301,C143)&gt;0),IF(D143="FOLGA","⚠ Folga também lançada na aba FOLGAS. ",IF(D143="TRABALHA","⚠ Marcado TRABALHA, mas tem folga na aba FOLGAS. ","")),"")&amp;IF(AND(ISNUMBER(C143),D143="FOLGA",B143&lt;&gt;"",COUNTIFS($B$2:$B$301,B143,$C$2:$C$301,C143,$D$2:$D$301,"TRABALHA")=0),"⚠ Ninguém do setor trabalhando nesta data. ","")))</f>
        <v/>
      </c>
    </row>
    <row r="144" customFormat="false" ht="15" hidden="false" customHeight="true" outlineLevel="0" collapsed="false">
      <c r="A144" s="54"/>
      <c r="B144" s="54"/>
      <c r="C144" s="53"/>
      <c r="D144" s="54"/>
      <c r="E144" s="54"/>
      <c r="F144" s="55" t="str">
        <f aca="false">IF(A144="","",TRIM(IF(NOT(ISNUMBER(C144)),"⚠ Falta a data. ","")&amp;IF(ISNUMBER(C144),IF(OR(AND(MONTH(C144)=12,DAY(C144)=31),AND(MONTH(C144)=1,DAY(C144)=1)),"","⚠ Data fora do Ano Novo (31/12 ou 01/01). "),"")&amp;IF(AND(ISNUMBER(C144),COUNTIFS($A$2:$A$301,A144,$C$2:$C$301,C144)&gt;1),"⚠ Nome repetido na mesma data. ","")&amp;IF(AND(ISNUMBER(C144),COUNTIFS(FÉRIAS!$A$2:$A$301,A144,FÉRIAS!$C$2:$C$301,"&lt;="&amp;C144,FÉRIAS!$D$2:$D$301,"&gt;="&amp;C144)&gt;0),IF(D144="TRABALHA","⚠ Está de férias e marcado TRABALHA. ","⚠ Já está de férias nesta data. "),"")&amp;IF(AND(ISNUMBER(C144),COUNTIFS(FOLGAS!$A$2:$A$301,A144,FOLGAS!$C$2:$C$301,C144)&gt;0),IF(D144="FOLGA","⚠ Folga também lançada na aba FOLGAS. ",IF(D144="TRABALHA","⚠ Marcado TRABALHA, mas tem folga na aba FOLGAS. ","")),"")&amp;IF(AND(ISNUMBER(C144),D144="FOLGA",B144&lt;&gt;"",COUNTIFS($B$2:$B$301,B144,$C$2:$C$301,C144,$D$2:$D$301,"TRABALHA")=0),"⚠ Ninguém do setor trabalhando nesta data. ","")))</f>
        <v/>
      </c>
    </row>
    <row r="145" customFormat="false" ht="15" hidden="false" customHeight="true" outlineLevel="0" collapsed="false">
      <c r="A145" s="54"/>
      <c r="B145" s="54"/>
      <c r="C145" s="53"/>
      <c r="D145" s="54"/>
      <c r="E145" s="54"/>
      <c r="F145" s="55" t="str">
        <f aca="false">IF(A145="","",TRIM(IF(NOT(ISNUMBER(C145)),"⚠ Falta a data. ","")&amp;IF(ISNUMBER(C145),IF(OR(AND(MONTH(C145)=12,DAY(C145)=31),AND(MONTH(C145)=1,DAY(C145)=1)),"","⚠ Data fora do Ano Novo (31/12 ou 01/01). "),"")&amp;IF(AND(ISNUMBER(C145),COUNTIFS($A$2:$A$301,A145,$C$2:$C$301,C145)&gt;1),"⚠ Nome repetido na mesma data. ","")&amp;IF(AND(ISNUMBER(C145),COUNTIFS(FÉRIAS!$A$2:$A$301,A145,FÉRIAS!$C$2:$C$301,"&lt;="&amp;C145,FÉRIAS!$D$2:$D$301,"&gt;="&amp;C145)&gt;0),IF(D145="TRABALHA","⚠ Está de férias e marcado TRABALHA. ","⚠ Já está de férias nesta data. "),"")&amp;IF(AND(ISNUMBER(C145),COUNTIFS(FOLGAS!$A$2:$A$301,A145,FOLGAS!$C$2:$C$301,C145)&gt;0),IF(D145="FOLGA","⚠ Folga também lançada na aba FOLGAS. ",IF(D145="TRABALHA","⚠ Marcado TRABALHA, mas tem folga na aba FOLGAS. ","")),"")&amp;IF(AND(ISNUMBER(C145),D145="FOLGA",B145&lt;&gt;"",COUNTIFS($B$2:$B$301,B145,$C$2:$C$301,C145,$D$2:$D$301,"TRABALHA")=0),"⚠ Ninguém do setor trabalhando nesta data. ","")))</f>
        <v/>
      </c>
    </row>
    <row r="146" customFormat="false" ht="15" hidden="false" customHeight="true" outlineLevel="0" collapsed="false">
      <c r="A146" s="54"/>
      <c r="B146" s="54"/>
      <c r="C146" s="53"/>
      <c r="D146" s="54"/>
      <c r="E146" s="54"/>
      <c r="F146" s="55" t="str">
        <f aca="false">IF(A146="","",TRIM(IF(NOT(ISNUMBER(C146)),"⚠ Falta a data. ","")&amp;IF(ISNUMBER(C146),IF(OR(AND(MONTH(C146)=12,DAY(C146)=31),AND(MONTH(C146)=1,DAY(C146)=1)),"","⚠ Data fora do Ano Novo (31/12 ou 01/01). "),"")&amp;IF(AND(ISNUMBER(C146),COUNTIFS($A$2:$A$301,A146,$C$2:$C$301,C146)&gt;1),"⚠ Nome repetido na mesma data. ","")&amp;IF(AND(ISNUMBER(C146),COUNTIFS(FÉRIAS!$A$2:$A$301,A146,FÉRIAS!$C$2:$C$301,"&lt;="&amp;C146,FÉRIAS!$D$2:$D$301,"&gt;="&amp;C146)&gt;0),IF(D146="TRABALHA","⚠ Está de férias e marcado TRABALHA. ","⚠ Já está de férias nesta data. "),"")&amp;IF(AND(ISNUMBER(C146),COUNTIFS(FOLGAS!$A$2:$A$301,A146,FOLGAS!$C$2:$C$301,C146)&gt;0),IF(D146="FOLGA","⚠ Folga também lançada na aba FOLGAS. ",IF(D146="TRABALHA","⚠ Marcado TRABALHA, mas tem folga na aba FOLGAS. ","")),"")&amp;IF(AND(ISNUMBER(C146),D146="FOLGA",B146&lt;&gt;"",COUNTIFS($B$2:$B$301,B146,$C$2:$C$301,C146,$D$2:$D$301,"TRABALHA")=0),"⚠ Ninguém do setor trabalhando nesta data. ","")))</f>
        <v/>
      </c>
    </row>
    <row r="147" customFormat="false" ht="15" hidden="false" customHeight="true" outlineLevel="0" collapsed="false">
      <c r="A147" s="54"/>
      <c r="B147" s="54"/>
      <c r="C147" s="53"/>
      <c r="D147" s="54"/>
      <c r="E147" s="54"/>
      <c r="F147" s="55" t="str">
        <f aca="false">IF(A147="","",TRIM(IF(NOT(ISNUMBER(C147)),"⚠ Falta a data. ","")&amp;IF(ISNUMBER(C147),IF(OR(AND(MONTH(C147)=12,DAY(C147)=31),AND(MONTH(C147)=1,DAY(C147)=1)),"","⚠ Data fora do Ano Novo (31/12 ou 01/01). "),"")&amp;IF(AND(ISNUMBER(C147),COUNTIFS($A$2:$A$301,A147,$C$2:$C$301,C147)&gt;1),"⚠ Nome repetido na mesma data. ","")&amp;IF(AND(ISNUMBER(C147),COUNTIFS(FÉRIAS!$A$2:$A$301,A147,FÉRIAS!$C$2:$C$301,"&lt;="&amp;C147,FÉRIAS!$D$2:$D$301,"&gt;="&amp;C147)&gt;0),IF(D147="TRABALHA","⚠ Está de férias e marcado TRABALHA. ","⚠ Já está de férias nesta data. "),"")&amp;IF(AND(ISNUMBER(C147),COUNTIFS(FOLGAS!$A$2:$A$301,A147,FOLGAS!$C$2:$C$301,C147)&gt;0),IF(D147="FOLGA","⚠ Folga também lançada na aba FOLGAS. ",IF(D147="TRABALHA","⚠ Marcado TRABALHA, mas tem folga na aba FOLGAS. ","")),"")&amp;IF(AND(ISNUMBER(C147),D147="FOLGA",B147&lt;&gt;"",COUNTIFS($B$2:$B$301,B147,$C$2:$C$301,C147,$D$2:$D$301,"TRABALHA")=0),"⚠ Ninguém do setor trabalhando nesta data. ","")))</f>
        <v/>
      </c>
    </row>
    <row r="148" customFormat="false" ht="15" hidden="false" customHeight="true" outlineLevel="0" collapsed="false">
      <c r="A148" s="54"/>
      <c r="B148" s="54"/>
      <c r="C148" s="53"/>
      <c r="D148" s="54"/>
      <c r="E148" s="54"/>
      <c r="F148" s="55" t="str">
        <f aca="false">IF(A148="","",TRIM(IF(NOT(ISNUMBER(C148)),"⚠ Falta a data. ","")&amp;IF(ISNUMBER(C148),IF(OR(AND(MONTH(C148)=12,DAY(C148)=31),AND(MONTH(C148)=1,DAY(C148)=1)),"","⚠ Data fora do Ano Novo (31/12 ou 01/01). "),"")&amp;IF(AND(ISNUMBER(C148),COUNTIFS($A$2:$A$301,A148,$C$2:$C$301,C148)&gt;1),"⚠ Nome repetido na mesma data. ","")&amp;IF(AND(ISNUMBER(C148),COUNTIFS(FÉRIAS!$A$2:$A$301,A148,FÉRIAS!$C$2:$C$301,"&lt;="&amp;C148,FÉRIAS!$D$2:$D$301,"&gt;="&amp;C148)&gt;0),IF(D148="TRABALHA","⚠ Está de férias e marcado TRABALHA. ","⚠ Já está de férias nesta data. "),"")&amp;IF(AND(ISNUMBER(C148),COUNTIFS(FOLGAS!$A$2:$A$301,A148,FOLGAS!$C$2:$C$301,C148)&gt;0),IF(D148="FOLGA","⚠ Folga também lançada na aba FOLGAS. ",IF(D148="TRABALHA","⚠ Marcado TRABALHA, mas tem folga na aba FOLGAS. ","")),"")&amp;IF(AND(ISNUMBER(C148),D148="FOLGA",B148&lt;&gt;"",COUNTIFS($B$2:$B$301,B148,$C$2:$C$301,C148,$D$2:$D$301,"TRABALHA")=0),"⚠ Ninguém do setor trabalhando nesta data. ","")))</f>
        <v/>
      </c>
    </row>
    <row r="149" customFormat="false" ht="15" hidden="false" customHeight="true" outlineLevel="0" collapsed="false">
      <c r="A149" s="54"/>
      <c r="B149" s="54"/>
      <c r="C149" s="53"/>
      <c r="D149" s="54"/>
      <c r="E149" s="54"/>
      <c r="F149" s="55" t="str">
        <f aca="false">IF(A149="","",TRIM(IF(NOT(ISNUMBER(C149)),"⚠ Falta a data. ","")&amp;IF(ISNUMBER(C149),IF(OR(AND(MONTH(C149)=12,DAY(C149)=31),AND(MONTH(C149)=1,DAY(C149)=1)),"","⚠ Data fora do Ano Novo (31/12 ou 01/01). "),"")&amp;IF(AND(ISNUMBER(C149),COUNTIFS($A$2:$A$301,A149,$C$2:$C$301,C149)&gt;1),"⚠ Nome repetido na mesma data. ","")&amp;IF(AND(ISNUMBER(C149),COUNTIFS(FÉRIAS!$A$2:$A$301,A149,FÉRIAS!$C$2:$C$301,"&lt;="&amp;C149,FÉRIAS!$D$2:$D$301,"&gt;="&amp;C149)&gt;0),IF(D149="TRABALHA","⚠ Está de férias e marcado TRABALHA. ","⚠ Já está de férias nesta data. "),"")&amp;IF(AND(ISNUMBER(C149),COUNTIFS(FOLGAS!$A$2:$A$301,A149,FOLGAS!$C$2:$C$301,C149)&gt;0),IF(D149="FOLGA","⚠ Folga também lançada na aba FOLGAS. ",IF(D149="TRABALHA","⚠ Marcado TRABALHA, mas tem folga na aba FOLGAS. ","")),"")&amp;IF(AND(ISNUMBER(C149),D149="FOLGA",B149&lt;&gt;"",COUNTIFS($B$2:$B$301,B149,$C$2:$C$301,C149,$D$2:$D$301,"TRABALHA")=0),"⚠ Ninguém do setor trabalhando nesta data. ","")))</f>
        <v/>
      </c>
    </row>
    <row r="150" customFormat="false" ht="15" hidden="false" customHeight="true" outlineLevel="0" collapsed="false">
      <c r="A150" s="54"/>
      <c r="B150" s="54"/>
      <c r="C150" s="53"/>
      <c r="D150" s="54"/>
      <c r="E150" s="54"/>
      <c r="F150" s="55" t="str">
        <f aca="false">IF(A150="","",TRIM(IF(NOT(ISNUMBER(C150)),"⚠ Falta a data. ","")&amp;IF(ISNUMBER(C150),IF(OR(AND(MONTH(C150)=12,DAY(C150)=31),AND(MONTH(C150)=1,DAY(C150)=1)),"","⚠ Data fora do Ano Novo (31/12 ou 01/01). "),"")&amp;IF(AND(ISNUMBER(C150),COUNTIFS($A$2:$A$301,A150,$C$2:$C$301,C150)&gt;1),"⚠ Nome repetido na mesma data. ","")&amp;IF(AND(ISNUMBER(C150),COUNTIFS(FÉRIAS!$A$2:$A$301,A150,FÉRIAS!$C$2:$C$301,"&lt;="&amp;C150,FÉRIAS!$D$2:$D$301,"&gt;="&amp;C150)&gt;0),IF(D150="TRABALHA","⚠ Está de férias e marcado TRABALHA. ","⚠ Já está de férias nesta data. "),"")&amp;IF(AND(ISNUMBER(C150),COUNTIFS(FOLGAS!$A$2:$A$301,A150,FOLGAS!$C$2:$C$301,C150)&gt;0),IF(D150="FOLGA","⚠ Folga também lançada na aba FOLGAS. ",IF(D150="TRABALHA","⚠ Marcado TRABALHA, mas tem folga na aba FOLGAS. ","")),"")&amp;IF(AND(ISNUMBER(C150),D150="FOLGA",B150&lt;&gt;"",COUNTIFS($B$2:$B$301,B150,$C$2:$C$301,C150,$D$2:$D$301,"TRABALHA")=0),"⚠ Ninguém do setor trabalhando nesta data. ","")))</f>
        <v/>
      </c>
    </row>
    <row r="151" customFormat="false" ht="15" hidden="false" customHeight="true" outlineLevel="0" collapsed="false">
      <c r="A151" s="54"/>
      <c r="B151" s="54"/>
      <c r="C151" s="53"/>
      <c r="D151" s="54"/>
      <c r="E151" s="54"/>
      <c r="F151" s="55" t="str">
        <f aca="false">IF(A151="","",TRIM(IF(NOT(ISNUMBER(C151)),"⚠ Falta a data. ","")&amp;IF(ISNUMBER(C151),IF(OR(AND(MONTH(C151)=12,DAY(C151)=31),AND(MONTH(C151)=1,DAY(C151)=1)),"","⚠ Data fora do Ano Novo (31/12 ou 01/01). "),"")&amp;IF(AND(ISNUMBER(C151),COUNTIFS($A$2:$A$301,A151,$C$2:$C$301,C151)&gt;1),"⚠ Nome repetido na mesma data. ","")&amp;IF(AND(ISNUMBER(C151),COUNTIFS(FÉRIAS!$A$2:$A$301,A151,FÉRIAS!$C$2:$C$301,"&lt;="&amp;C151,FÉRIAS!$D$2:$D$301,"&gt;="&amp;C151)&gt;0),IF(D151="TRABALHA","⚠ Está de férias e marcado TRABALHA. ","⚠ Já está de férias nesta data. "),"")&amp;IF(AND(ISNUMBER(C151),COUNTIFS(FOLGAS!$A$2:$A$301,A151,FOLGAS!$C$2:$C$301,C151)&gt;0),IF(D151="FOLGA","⚠ Folga também lançada na aba FOLGAS. ",IF(D151="TRABALHA","⚠ Marcado TRABALHA, mas tem folga na aba FOLGAS. ","")),"")&amp;IF(AND(ISNUMBER(C151),D151="FOLGA",B151&lt;&gt;"",COUNTIFS($B$2:$B$301,B151,$C$2:$C$301,C151,$D$2:$D$301,"TRABALHA")=0),"⚠ Ninguém do setor trabalhando nesta data. ","")))</f>
        <v/>
      </c>
    </row>
    <row r="152" customFormat="false" ht="15" hidden="false" customHeight="true" outlineLevel="0" collapsed="false">
      <c r="A152" s="54"/>
      <c r="B152" s="54"/>
      <c r="C152" s="53"/>
      <c r="D152" s="54"/>
      <c r="E152" s="54"/>
      <c r="F152" s="55" t="str">
        <f aca="false">IF(A152="","",TRIM(IF(NOT(ISNUMBER(C152)),"⚠ Falta a data. ","")&amp;IF(ISNUMBER(C152),IF(OR(AND(MONTH(C152)=12,DAY(C152)=31),AND(MONTH(C152)=1,DAY(C152)=1)),"","⚠ Data fora do Ano Novo (31/12 ou 01/01). "),"")&amp;IF(AND(ISNUMBER(C152),COUNTIFS($A$2:$A$301,A152,$C$2:$C$301,C152)&gt;1),"⚠ Nome repetido na mesma data. ","")&amp;IF(AND(ISNUMBER(C152),COUNTIFS(FÉRIAS!$A$2:$A$301,A152,FÉRIAS!$C$2:$C$301,"&lt;="&amp;C152,FÉRIAS!$D$2:$D$301,"&gt;="&amp;C152)&gt;0),IF(D152="TRABALHA","⚠ Está de férias e marcado TRABALHA. ","⚠ Já está de férias nesta data. "),"")&amp;IF(AND(ISNUMBER(C152),COUNTIFS(FOLGAS!$A$2:$A$301,A152,FOLGAS!$C$2:$C$301,C152)&gt;0),IF(D152="FOLGA","⚠ Folga também lançada na aba FOLGAS. ",IF(D152="TRABALHA","⚠ Marcado TRABALHA, mas tem folga na aba FOLGAS. ","")),"")&amp;IF(AND(ISNUMBER(C152),D152="FOLGA",B152&lt;&gt;"",COUNTIFS($B$2:$B$301,B152,$C$2:$C$301,C152,$D$2:$D$301,"TRABALHA")=0),"⚠ Ninguém do setor trabalhando nesta data. ","")))</f>
        <v/>
      </c>
    </row>
    <row r="153" customFormat="false" ht="15" hidden="false" customHeight="true" outlineLevel="0" collapsed="false">
      <c r="A153" s="54"/>
      <c r="B153" s="54"/>
      <c r="C153" s="53"/>
      <c r="D153" s="54"/>
      <c r="E153" s="54"/>
      <c r="F153" s="55" t="str">
        <f aca="false">IF(A153="","",TRIM(IF(NOT(ISNUMBER(C153)),"⚠ Falta a data. ","")&amp;IF(ISNUMBER(C153),IF(OR(AND(MONTH(C153)=12,DAY(C153)=31),AND(MONTH(C153)=1,DAY(C153)=1)),"","⚠ Data fora do Ano Novo (31/12 ou 01/01). "),"")&amp;IF(AND(ISNUMBER(C153),COUNTIFS($A$2:$A$301,A153,$C$2:$C$301,C153)&gt;1),"⚠ Nome repetido na mesma data. ","")&amp;IF(AND(ISNUMBER(C153),COUNTIFS(FÉRIAS!$A$2:$A$301,A153,FÉRIAS!$C$2:$C$301,"&lt;="&amp;C153,FÉRIAS!$D$2:$D$301,"&gt;="&amp;C153)&gt;0),IF(D153="TRABALHA","⚠ Está de férias e marcado TRABALHA. ","⚠ Já está de férias nesta data. "),"")&amp;IF(AND(ISNUMBER(C153),COUNTIFS(FOLGAS!$A$2:$A$301,A153,FOLGAS!$C$2:$C$301,C153)&gt;0),IF(D153="FOLGA","⚠ Folga também lançada na aba FOLGAS. ",IF(D153="TRABALHA","⚠ Marcado TRABALHA, mas tem folga na aba FOLGAS. ","")),"")&amp;IF(AND(ISNUMBER(C153),D153="FOLGA",B153&lt;&gt;"",COUNTIFS($B$2:$B$301,B153,$C$2:$C$301,C153,$D$2:$D$301,"TRABALHA")=0),"⚠ Ninguém do setor trabalhando nesta data. ","")))</f>
        <v/>
      </c>
    </row>
    <row r="154" customFormat="false" ht="15" hidden="false" customHeight="true" outlineLevel="0" collapsed="false">
      <c r="A154" s="54"/>
      <c r="B154" s="54"/>
      <c r="C154" s="53"/>
      <c r="D154" s="54"/>
      <c r="E154" s="54"/>
      <c r="F154" s="55" t="str">
        <f aca="false">IF(A154="","",TRIM(IF(NOT(ISNUMBER(C154)),"⚠ Falta a data. ","")&amp;IF(ISNUMBER(C154),IF(OR(AND(MONTH(C154)=12,DAY(C154)=31),AND(MONTH(C154)=1,DAY(C154)=1)),"","⚠ Data fora do Ano Novo (31/12 ou 01/01). "),"")&amp;IF(AND(ISNUMBER(C154),COUNTIFS($A$2:$A$301,A154,$C$2:$C$301,C154)&gt;1),"⚠ Nome repetido na mesma data. ","")&amp;IF(AND(ISNUMBER(C154),COUNTIFS(FÉRIAS!$A$2:$A$301,A154,FÉRIAS!$C$2:$C$301,"&lt;="&amp;C154,FÉRIAS!$D$2:$D$301,"&gt;="&amp;C154)&gt;0),IF(D154="TRABALHA","⚠ Está de férias e marcado TRABALHA. ","⚠ Já está de férias nesta data. "),"")&amp;IF(AND(ISNUMBER(C154),COUNTIFS(FOLGAS!$A$2:$A$301,A154,FOLGAS!$C$2:$C$301,C154)&gt;0),IF(D154="FOLGA","⚠ Folga também lançada na aba FOLGAS. ",IF(D154="TRABALHA","⚠ Marcado TRABALHA, mas tem folga na aba FOLGAS. ","")),"")&amp;IF(AND(ISNUMBER(C154),D154="FOLGA",B154&lt;&gt;"",COUNTIFS($B$2:$B$301,B154,$C$2:$C$301,C154,$D$2:$D$301,"TRABALHA")=0),"⚠ Ninguém do setor trabalhando nesta data. ","")))</f>
        <v/>
      </c>
    </row>
    <row r="155" customFormat="false" ht="15" hidden="false" customHeight="true" outlineLevel="0" collapsed="false">
      <c r="A155" s="54"/>
      <c r="B155" s="54"/>
      <c r="C155" s="53"/>
      <c r="D155" s="54"/>
      <c r="E155" s="54"/>
      <c r="F155" s="55" t="str">
        <f aca="false">IF(A155="","",TRIM(IF(NOT(ISNUMBER(C155)),"⚠ Falta a data. ","")&amp;IF(ISNUMBER(C155),IF(OR(AND(MONTH(C155)=12,DAY(C155)=31),AND(MONTH(C155)=1,DAY(C155)=1)),"","⚠ Data fora do Ano Novo (31/12 ou 01/01). "),"")&amp;IF(AND(ISNUMBER(C155),COUNTIFS($A$2:$A$301,A155,$C$2:$C$301,C155)&gt;1),"⚠ Nome repetido na mesma data. ","")&amp;IF(AND(ISNUMBER(C155),COUNTIFS(FÉRIAS!$A$2:$A$301,A155,FÉRIAS!$C$2:$C$301,"&lt;="&amp;C155,FÉRIAS!$D$2:$D$301,"&gt;="&amp;C155)&gt;0),IF(D155="TRABALHA","⚠ Está de férias e marcado TRABALHA. ","⚠ Já está de férias nesta data. "),"")&amp;IF(AND(ISNUMBER(C155),COUNTIFS(FOLGAS!$A$2:$A$301,A155,FOLGAS!$C$2:$C$301,C155)&gt;0),IF(D155="FOLGA","⚠ Folga também lançada na aba FOLGAS. ",IF(D155="TRABALHA","⚠ Marcado TRABALHA, mas tem folga na aba FOLGAS. ","")),"")&amp;IF(AND(ISNUMBER(C155),D155="FOLGA",B155&lt;&gt;"",COUNTIFS($B$2:$B$301,B155,$C$2:$C$301,C155,$D$2:$D$301,"TRABALHA")=0),"⚠ Ninguém do setor trabalhando nesta data. ","")))</f>
        <v/>
      </c>
    </row>
    <row r="156" customFormat="false" ht="15" hidden="false" customHeight="true" outlineLevel="0" collapsed="false">
      <c r="A156" s="54"/>
      <c r="B156" s="54"/>
      <c r="C156" s="53"/>
      <c r="D156" s="54"/>
      <c r="E156" s="54"/>
      <c r="F156" s="55" t="str">
        <f aca="false">IF(A156="","",TRIM(IF(NOT(ISNUMBER(C156)),"⚠ Falta a data. ","")&amp;IF(ISNUMBER(C156),IF(OR(AND(MONTH(C156)=12,DAY(C156)=31),AND(MONTH(C156)=1,DAY(C156)=1)),"","⚠ Data fora do Ano Novo (31/12 ou 01/01). "),"")&amp;IF(AND(ISNUMBER(C156),COUNTIFS($A$2:$A$301,A156,$C$2:$C$301,C156)&gt;1),"⚠ Nome repetido na mesma data. ","")&amp;IF(AND(ISNUMBER(C156),COUNTIFS(FÉRIAS!$A$2:$A$301,A156,FÉRIAS!$C$2:$C$301,"&lt;="&amp;C156,FÉRIAS!$D$2:$D$301,"&gt;="&amp;C156)&gt;0),IF(D156="TRABALHA","⚠ Está de férias e marcado TRABALHA. ","⚠ Já está de férias nesta data. "),"")&amp;IF(AND(ISNUMBER(C156),COUNTIFS(FOLGAS!$A$2:$A$301,A156,FOLGAS!$C$2:$C$301,C156)&gt;0),IF(D156="FOLGA","⚠ Folga também lançada na aba FOLGAS. ",IF(D156="TRABALHA","⚠ Marcado TRABALHA, mas tem folga na aba FOLGAS. ","")),"")&amp;IF(AND(ISNUMBER(C156),D156="FOLGA",B156&lt;&gt;"",COUNTIFS($B$2:$B$301,B156,$C$2:$C$301,C156,$D$2:$D$301,"TRABALHA")=0),"⚠ Ninguém do setor trabalhando nesta data. ","")))</f>
        <v/>
      </c>
    </row>
    <row r="157" customFormat="false" ht="15" hidden="false" customHeight="true" outlineLevel="0" collapsed="false">
      <c r="A157" s="54"/>
      <c r="B157" s="54"/>
      <c r="C157" s="53"/>
      <c r="D157" s="54"/>
      <c r="E157" s="54"/>
      <c r="F157" s="55" t="str">
        <f aca="false">IF(A157="","",TRIM(IF(NOT(ISNUMBER(C157)),"⚠ Falta a data. ","")&amp;IF(ISNUMBER(C157),IF(OR(AND(MONTH(C157)=12,DAY(C157)=31),AND(MONTH(C157)=1,DAY(C157)=1)),"","⚠ Data fora do Ano Novo (31/12 ou 01/01). "),"")&amp;IF(AND(ISNUMBER(C157),COUNTIFS($A$2:$A$301,A157,$C$2:$C$301,C157)&gt;1),"⚠ Nome repetido na mesma data. ","")&amp;IF(AND(ISNUMBER(C157),COUNTIFS(FÉRIAS!$A$2:$A$301,A157,FÉRIAS!$C$2:$C$301,"&lt;="&amp;C157,FÉRIAS!$D$2:$D$301,"&gt;="&amp;C157)&gt;0),IF(D157="TRABALHA","⚠ Está de férias e marcado TRABALHA. ","⚠ Já está de férias nesta data. "),"")&amp;IF(AND(ISNUMBER(C157),COUNTIFS(FOLGAS!$A$2:$A$301,A157,FOLGAS!$C$2:$C$301,C157)&gt;0),IF(D157="FOLGA","⚠ Folga também lançada na aba FOLGAS. ",IF(D157="TRABALHA","⚠ Marcado TRABALHA, mas tem folga na aba FOLGAS. ","")),"")&amp;IF(AND(ISNUMBER(C157),D157="FOLGA",B157&lt;&gt;"",COUNTIFS($B$2:$B$301,B157,$C$2:$C$301,C157,$D$2:$D$301,"TRABALHA")=0),"⚠ Ninguém do setor trabalhando nesta data. ","")))</f>
        <v/>
      </c>
    </row>
    <row r="158" customFormat="false" ht="15" hidden="false" customHeight="true" outlineLevel="0" collapsed="false">
      <c r="A158" s="54"/>
      <c r="B158" s="54"/>
      <c r="C158" s="53"/>
      <c r="D158" s="54"/>
      <c r="E158" s="54"/>
      <c r="F158" s="55" t="str">
        <f aca="false">IF(A158="","",TRIM(IF(NOT(ISNUMBER(C158)),"⚠ Falta a data. ","")&amp;IF(ISNUMBER(C158),IF(OR(AND(MONTH(C158)=12,DAY(C158)=31),AND(MONTH(C158)=1,DAY(C158)=1)),"","⚠ Data fora do Ano Novo (31/12 ou 01/01). "),"")&amp;IF(AND(ISNUMBER(C158),COUNTIFS($A$2:$A$301,A158,$C$2:$C$301,C158)&gt;1),"⚠ Nome repetido na mesma data. ","")&amp;IF(AND(ISNUMBER(C158),COUNTIFS(FÉRIAS!$A$2:$A$301,A158,FÉRIAS!$C$2:$C$301,"&lt;="&amp;C158,FÉRIAS!$D$2:$D$301,"&gt;="&amp;C158)&gt;0),IF(D158="TRABALHA","⚠ Está de férias e marcado TRABALHA. ","⚠ Já está de férias nesta data. "),"")&amp;IF(AND(ISNUMBER(C158),COUNTIFS(FOLGAS!$A$2:$A$301,A158,FOLGAS!$C$2:$C$301,C158)&gt;0),IF(D158="FOLGA","⚠ Folga também lançada na aba FOLGAS. ",IF(D158="TRABALHA","⚠ Marcado TRABALHA, mas tem folga na aba FOLGAS. ","")),"")&amp;IF(AND(ISNUMBER(C158),D158="FOLGA",B158&lt;&gt;"",COUNTIFS($B$2:$B$301,B158,$C$2:$C$301,C158,$D$2:$D$301,"TRABALHA")=0),"⚠ Ninguém do setor trabalhando nesta data. ","")))</f>
        <v/>
      </c>
    </row>
    <row r="159" customFormat="false" ht="15" hidden="false" customHeight="true" outlineLevel="0" collapsed="false">
      <c r="A159" s="54"/>
      <c r="B159" s="54"/>
      <c r="C159" s="53"/>
      <c r="D159" s="54"/>
      <c r="E159" s="54"/>
      <c r="F159" s="55" t="str">
        <f aca="false">IF(A159="","",TRIM(IF(NOT(ISNUMBER(C159)),"⚠ Falta a data. ","")&amp;IF(ISNUMBER(C159),IF(OR(AND(MONTH(C159)=12,DAY(C159)=31),AND(MONTH(C159)=1,DAY(C159)=1)),"","⚠ Data fora do Ano Novo (31/12 ou 01/01). "),"")&amp;IF(AND(ISNUMBER(C159),COUNTIFS($A$2:$A$301,A159,$C$2:$C$301,C159)&gt;1),"⚠ Nome repetido na mesma data. ","")&amp;IF(AND(ISNUMBER(C159),COUNTIFS(FÉRIAS!$A$2:$A$301,A159,FÉRIAS!$C$2:$C$301,"&lt;="&amp;C159,FÉRIAS!$D$2:$D$301,"&gt;="&amp;C159)&gt;0),IF(D159="TRABALHA","⚠ Está de férias e marcado TRABALHA. ","⚠ Já está de férias nesta data. "),"")&amp;IF(AND(ISNUMBER(C159),COUNTIFS(FOLGAS!$A$2:$A$301,A159,FOLGAS!$C$2:$C$301,C159)&gt;0),IF(D159="FOLGA","⚠ Folga também lançada na aba FOLGAS. ",IF(D159="TRABALHA","⚠ Marcado TRABALHA, mas tem folga na aba FOLGAS. ","")),"")&amp;IF(AND(ISNUMBER(C159),D159="FOLGA",B159&lt;&gt;"",COUNTIFS($B$2:$B$301,B159,$C$2:$C$301,C159,$D$2:$D$301,"TRABALHA")=0),"⚠ Ninguém do setor trabalhando nesta data. ","")))</f>
        <v/>
      </c>
    </row>
    <row r="160" customFormat="false" ht="15" hidden="false" customHeight="true" outlineLevel="0" collapsed="false">
      <c r="A160" s="54"/>
      <c r="B160" s="54"/>
      <c r="C160" s="53"/>
      <c r="D160" s="54"/>
      <c r="E160" s="54"/>
      <c r="F160" s="55" t="str">
        <f aca="false">IF(A160="","",TRIM(IF(NOT(ISNUMBER(C160)),"⚠ Falta a data. ","")&amp;IF(ISNUMBER(C160),IF(OR(AND(MONTH(C160)=12,DAY(C160)=31),AND(MONTH(C160)=1,DAY(C160)=1)),"","⚠ Data fora do Ano Novo (31/12 ou 01/01). "),"")&amp;IF(AND(ISNUMBER(C160),COUNTIFS($A$2:$A$301,A160,$C$2:$C$301,C160)&gt;1),"⚠ Nome repetido na mesma data. ","")&amp;IF(AND(ISNUMBER(C160),COUNTIFS(FÉRIAS!$A$2:$A$301,A160,FÉRIAS!$C$2:$C$301,"&lt;="&amp;C160,FÉRIAS!$D$2:$D$301,"&gt;="&amp;C160)&gt;0),IF(D160="TRABALHA","⚠ Está de férias e marcado TRABALHA. ","⚠ Já está de férias nesta data. "),"")&amp;IF(AND(ISNUMBER(C160),COUNTIFS(FOLGAS!$A$2:$A$301,A160,FOLGAS!$C$2:$C$301,C160)&gt;0),IF(D160="FOLGA","⚠ Folga também lançada na aba FOLGAS. ",IF(D160="TRABALHA","⚠ Marcado TRABALHA, mas tem folga na aba FOLGAS. ","")),"")&amp;IF(AND(ISNUMBER(C160),D160="FOLGA",B160&lt;&gt;"",COUNTIFS($B$2:$B$301,B160,$C$2:$C$301,C160,$D$2:$D$301,"TRABALHA")=0),"⚠ Ninguém do setor trabalhando nesta data. ","")))</f>
        <v/>
      </c>
    </row>
    <row r="161" customFormat="false" ht="15" hidden="false" customHeight="true" outlineLevel="0" collapsed="false">
      <c r="A161" s="54"/>
      <c r="B161" s="54"/>
      <c r="C161" s="53"/>
      <c r="D161" s="54"/>
      <c r="E161" s="54"/>
      <c r="F161" s="55" t="str">
        <f aca="false">IF(A161="","",TRIM(IF(NOT(ISNUMBER(C161)),"⚠ Falta a data. ","")&amp;IF(ISNUMBER(C161),IF(OR(AND(MONTH(C161)=12,DAY(C161)=31),AND(MONTH(C161)=1,DAY(C161)=1)),"","⚠ Data fora do Ano Novo (31/12 ou 01/01). "),"")&amp;IF(AND(ISNUMBER(C161),COUNTIFS($A$2:$A$301,A161,$C$2:$C$301,C161)&gt;1),"⚠ Nome repetido na mesma data. ","")&amp;IF(AND(ISNUMBER(C161),COUNTIFS(FÉRIAS!$A$2:$A$301,A161,FÉRIAS!$C$2:$C$301,"&lt;="&amp;C161,FÉRIAS!$D$2:$D$301,"&gt;="&amp;C161)&gt;0),IF(D161="TRABALHA","⚠ Está de férias e marcado TRABALHA. ","⚠ Já está de férias nesta data. "),"")&amp;IF(AND(ISNUMBER(C161),COUNTIFS(FOLGAS!$A$2:$A$301,A161,FOLGAS!$C$2:$C$301,C161)&gt;0),IF(D161="FOLGA","⚠ Folga também lançada na aba FOLGAS. ",IF(D161="TRABALHA","⚠ Marcado TRABALHA, mas tem folga na aba FOLGAS. ","")),"")&amp;IF(AND(ISNUMBER(C161),D161="FOLGA",B161&lt;&gt;"",COUNTIFS($B$2:$B$301,B161,$C$2:$C$301,C161,$D$2:$D$301,"TRABALHA")=0),"⚠ Ninguém do setor trabalhando nesta data. ","")))</f>
        <v/>
      </c>
    </row>
    <row r="162" customFormat="false" ht="15" hidden="false" customHeight="true" outlineLevel="0" collapsed="false">
      <c r="A162" s="54"/>
      <c r="B162" s="54"/>
      <c r="C162" s="53"/>
      <c r="D162" s="54"/>
      <c r="E162" s="54"/>
      <c r="F162" s="55" t="str">
        <f aca="false">IF(A162="","",TRIM(IF(NOT(ISNUMBER(C162)),"⚠ Falta a data. ","")&amp;IF(ISNUMBER(C162),IF(OR(AND(MONTH(C162)=12,DAY(C162)=31),AND(MONTH(C162)=1,DAY(C162)=1)),"","⚠ Data fora do Ano Novo (31/12 ou 01/01). "),"")&amp;IF(AND(ISNUMBER(C162),COUNTIFS($A$2:$A$301,A162,$C$2:$C$301,C162)&gt;1),"⚠ Nome repetido na mesma data. ","")&amp;IF(AND(ISNUMBER(C162),COUNTIFS(FÉRIAS!$A$2:$A$301,A162,FÉRIAS!$C$2:$C$301,"&lt;="&amp;C162,FÉRIAS!$D$2:$D$301,"&gt;="&amp;C162)&gt;0),IF(D162="TRABALHA","⚠ Está de férias e marcado TRABALHA. ","⚠ Já está de férias nesta data. "),"")&amp;IF(AND(ISNUMBER(C162),COUNTIFS(FOLGAS!$A$2:$A$301,A162,FOLGAS!$C$2:$C$301,C162)&gt;0),IF(D162="FOLGA","⚠ Folga também lançada na aba FOLGAS. ",IF(D162="TRABALHA","⚠ Marcado TRABALHA, mas tem folga na aba FOLGAS. ","")),"")&amp;IF(AND(ISNUMBER(C162),D162="FOLGA",B162&lt;&gt;"",COUNTIFS($B$2:$B$301,B162,$C$2:$C$301,C162,$D$2:$D$301,"TRABALHA")=0),"⚠ Ninguém do setor trabalhando nesta data. ","")))</f>
        <v/>
      </c>
    </row>
    <row r="163" customFormat="false" ht="15" hidden="false" customHeight="true" outlineLevel="0" collapsed="false">
      <c r="A163" s="54"/>
      <c r="B163" s="54"/>
      <c r="C163" s="53"/>
      <c r="D163" s="54"/>
      <c r="E163" s="54"/>
      <c r="F163" s="55" t="str">
        <f aca="false">IF(A163="","",TRIM(IF(NOT(ISNUMBER(C163)),"⚠ Falta a data. ","")&amp;IF(ISNUMBER(C163),IF(OR(AND(MONTH(C163)=12,DAY(C163)=31),AND(MONTH(C163)=1,DAY(C163)=1)),"","⚠ Data fora do Ano Novo (31/12 ou 01/01). "),"")&amp;IF(AND(ISNUMBER(C163),COUNTIFS($A$2:$A$301,A163,$C$2:$C$301,C163)&gt;1),"⚠ Nome repetido na mesma data. ","")&amp;IF(AND(ISNUMBER(C163),COUNTIFS(FÉRIAS!$A$2:$A$301,A163,FÉRIAS!$C$2:$C$301,"&lt;="&amp;C163,FÉRIAS!$D$2:$D$301,"&gt;="&amp;C163)&gt;0),IF(D163="TRABALHA","⚠ Está de férias e marcado TRABALHA. ","⚠ Já está de férias nesta data. "),"")&amp;IF(AND(ISNUMBER(C163),COUNTIFS(FOLGAS!$A$2:$A$301,A163,FOLGAS!$C$2:$C$301,C163)&gt;0),IF(D163="FOLGA","⚠ Folga também lançada na aba FOLGAS. ",IF(D163="TRABALHA","⚠ Marcado TRABALHA, mas tem folga na aba FOLGAS. ","")),"")&amp;IF(AND(ISNUMBER(C163),D163="FOLGA",B163&lt;&gt;"",COUNTIFS($B$2:$B$301,B163,$C$2:$C$301,C163,$D$2:$D$301,"TRABALHA")=0),"⚠ Ninguém do setor trabalhando nesta data. ","")))</f>
        <v/>
      </c>
    </row>
    <row r="164" customFormat="false" ht="15" hidden="false" customHeight="true" outlineLevel="0" collapsed="false">
      <c r="A164" s="54"/>
      <c r="B164" s="54"/>
      <c r="C164" s="53"/>
      <c r="D164" s="54"/>
      <c r="E164" s="54"/>
      <c r="F164" s="55" t="str">
        <f aca="false">IF(A164="","",TRIM(IF(NOT(ISNUMBER(C164)),"⚠ Falta a data. ","")&amp;IF(ISNUMBER(C164),IF(OR(AND(MONTH(C164)=12,DAY(C164)=31),AND(MONTH(C164)=1,DAY(C164)=1)),"","⚠ Data fora do Ano Novo (31/12 ou 01/01). "),"")&amp;IF(AND(ISNUMBER(C164),COUNTIFS($A$2:$A$301,A164,$C$2:$C$301,C164)&gt;1),"⚠ Nome repetido na mesma data. ","")&amp;IF(AND(ISNUMBER(C164),COUNTIFS(FÉRIAS!$A$2:$A$301,A164,FÉRIAS!$C$2:$C$301,"&lt;="&amp;C164,FÉRIAS!$D$2:$D$301,"&gt;="&amp;C164)&gt;0),IF(D164="TRABALHA","⚠ Está de férias e marcado TRABALHA. ","⚠ Já está de férias nesta data. "),"")&amp;IF(AND(ISNUMBER(C164),COUNTIFS(FOLGAS!$A$2:$A$301,A164,FOLGAS!$C$2:$C$301,C164)&gt;0),IF(D164="FOLGA","⚠ Folga também lançada na aba FOLGAS. ",IF(D164="TRABALHA","⚠ Marcado TRABALHA, mas tem folga na aba FOLGAS. ","")),"")&amp;IF(AND(ISNUMBER(C164),D164="FOLGA",B164&lt;&gt;"",COUNTIFS($B$2:$B$301,B164,$C$2:$C$301,C164,$D$2:$D$301,"TRABALHA")=0),"⚠ Ninguém do setor trabalhando nesta data. ","")))</f>
        <v/>
      </c>
    </row>
    <row r="165" customFormat="false" ht="15" hidden="false" customHeight="true" outlineLevel="0" collapsed="false">
      <c r="A165" s="54"/>
      <c r="B165" s="54"/>
      <c r="C165" s="53"/>
      <c r="D165" s="54"/>
      <c r="E165" s="54"/>
      <c r="F165" s="55" t="str">
        <f aca="false">IF(A165="","",TRIM(IF(NOT(ISNUMBER(C165)),"⚠ Falta a data. ","")&amp;IF(ISNUMBER(C165),IF(OR(AND(MONTH(C165)=12,DAY(C165)=31),AND(MONTH(C165)=1,DAY(C165)=1)),"","⚠ Data fora do Ano Novo (31/12 ou 01/01). "),"")&amp;IF(AND(ISNUMBER(C165),COUNTIFS($A$2:$A$301,A165,$C$2:$C$301,C165)&gt;1),"⚠ Nome repetido na mesma data. ","")&amp;IF(AND(ISNUMBER(C165),COUNTIFS(FÉRIAS!$A$2:$A$301,A165,FÉRIAS!$C$2:$C$301,"&lt;="&amp;C165,FÉRIAS!$D$2:$D$301,"&gt;="&amp;C165)&gt;0),IF(D165="TRABALHA","⚠ Está de férias e marcado TRABALHA. ","⚠ Já está de férias nesta data. "),"")&amp;IF(AND(ISNUMBER(C165),COUNTIFS(FOLGAS!$A$2:$A$301,A165,FOLGAS!$C$2:$C$301,C165)&gt;0),IF(D165="FOLGA","⚠ Folga também lançada na aba FOLGAS. ",IF(D165="TRABALHA","⚠ Marcado TRABALHA, mas tem folga na aba FOLGAS. ","")),"")&amp;IF(AND(ISNUMBER(C165),D165="FOLGA",B165&lt;&gt;"",COUNTIFS($B$2:$B$301,B165,$C$2:$C$301,C165,$D$2:$D$301,"TRABALHA")=0),"⚠ Ninguém do setor trabalhando nesta data. ","")))</f>
        <v/>
      </c>
    </row>
    <row r="166" customFormat="false" ht="15" hidden="false" customHeight="true" outlineLevel="0" collapsed="false">
      <c r="A166" s="54"/>
      <c r="B166" s="54"/>
      <c r="C166" s="53"/>
      <c r="D166" s="54"/>
      <c r="E166" s="54"/>
      <c r="F166" s="55" t="str">
        <f aca="false">IF(A166="","",TRIM(IF(NOT(ISNUMBER(C166)),"⚠ Falta a data. ","")&amp;IF(ISNUMBER(C166),IF(OR(AND(MONTH(C166)=12,DAY(C166)=31),AND(MONTH(C166)=1,DAY(C166)=1)),"","⚠ Data fora do Ano Novo (31/12 ou 01/01). "),"")&amp;IF(AND(ISNUMBER(C166),COUNTIFS($A$2:$A$301,A166,$C$2:$C$301,C166)&gt;1),"⚠ Nome repetido na mesma data. ","")&amp;IF(AND(ISNUMBER(C166),COUNTIFS(FÉRIAS!$A$2:$A$301,A166,FÉRIAS!$C$2:$C$301,"&lt;="&amp;C166,FÉRIAS!$D$2:$D$301,"&gt;="&amp;C166)&gt;0),IF(D166="TRABALHA","⚠ Está de férias e marcado TRABALHA. ","⚠ Já está de férias nesta data. "),"")&amp;IF(AND(ISNUMBER(C166),COUNTIFS(FOLGAS!$A$2:$A$301,A166,FOLGAS!$C$2:$C$301,C166)&gt;0),IF(D166="FOLGA","⚠ Folga também lançada na aba FOLGAS. ",IF(D166="TRABALHA","⚠ Marcado TRABALHA, mas tem folga na aba FOLGAS. ","")),"")&amp;IF(AND(ISNUMBER(C166),D166="FOLGA",B166&lt;&gt;"",COUNTIFS($B$2:$B$301,B166,$C$2:$C$301,C166,$D$2:$D$301,"TRABALHA")=0),"⚠ Ninguém do setor trabalhando nesta data. ","")))</f>
        <v/>
      </c>
    </row>
    <row r="167" customFormat="false" ht="15" hidden="false" customHeight="true" outlineLevel="0" collapsed="false">
      <c r="A167" s="54"/>
      <c r="B167" s="54"/>
      <c r="C167" s="53"/>
      <c r="D167" s="54"/>
      <c r="E167" s="54"/>
      <c r="F167" s="55" t="str">
        <f aca="false">IF(A167="","",TRIM(IF(NOT(ISNUMBER(C167)),"⚠ Falta a data. ","")&amp;IF(ISNUMBER(C167),IF(OR(AND(MONTH(C167)=12,DAY(C167)=31),AND(MONTH(C167)=1,DAY(C167)=1)),"","⚠ Data fora do Ano Novo (31/12 ou 01/01). "),"")&amp;IF(AND(ISNUMBER(C167),COUNTIFS($A$2:$A$301,A167,$C$2:$C$301,C167)&gt;1),"⚠ Nome repetido na mesma data. ","")&amp;IF(AND(ISNUMBER(C167),COUNTIFS(FÉRIAS!$A$2:$A$301,A167,FÉRIAS!$C$2:$C$301,"&lt;="&amp;C167,FÉRIAS!$D$2:$D$301,"&gt;="&amp;C167)&gt;0),IF(D167="TRABALHA","⚠ Está de férias e marcado TRABALHA. ","⚠ Já está de férias nesta data. "),"")&amp;IF(AND(ISNUMBER(C167),COUNTIFS(FOLGAS!$A$2:$A$301,A167,FOLGAS!$C$2:$C$301,C167)&gt;0),IF(D167="FOLGA","⚠ Folga também lançada na aba FOLGAS. ",IF(D167="TRABALHA","⚠ Marcado TRABALHA, mas tem folga na aba FOLGAS. ","")),"")&amp;IF(AND(ISNUMBER(C167),D167="FOLGA",B167&lt;&gt;"",COUNTIFS($B$2:$B$301,B167,$C$2:$C$301,C167,$D$2:$D$301,"TRABALHA")=0),"⚠ Ninguém do setor trabalhando nesta data. ","")))</f>
        <v/>
      </c>
    </row>
    <row r="168" customFormat="false" ht="15" hidden="false" customHeight="true" outlineLevel="0" collapsed="false">
      <c r="A168" s="54"/>
      <c r="B168" s="54"/>
      <c r="C168" s="53"/>
      <c r="D168" s="54"/>
      <c r="E168" s="54"/>
      <c r="F168" s="55" t="str">
        <f aca="false">IF(A168="","",TRIM(IF(NOT(ISNUMBER(C168)),"⚠ Falta a data. ","")&amp;IF(ISNUMBER(C168),IF(OR(AND(MONTH(C168)=12,DAY(C168)=31),AND(MONTH(C168)=1,DAY(C168)=1)),"","⚠ Data fora do Ano Novo (31/12 ou 01/01). "),"")&amp;IF(AND(ISNUMBER(C168),COUNTIFS($A$2:$A$301,A168,$C$2:$C$301,C168)&gt;1),"⚠ Nome repetido na mesma data. ","")&amp;IF(AND(ISNUMBER(C168),COUNTIFS(FÉRIAS!$A$2:$A$301,A168,FÉRIAS!$C$2:$C$301,"&lt;="&amp;C168,FÉRIAS!$D$2:$D$301,"&gt;="&amp;C168)&gt;0),IF(D168="TRABALHA","⚠ Está de férias e marcado TRABALHA. ","⚠ Já está de férias nesta data. "),"")&amp;IF(AND(ISNUMBER(C168),COUNTIFS(FOLGAS!$A$2:$A$301,A168,FOLGAS!$C$2:$C$301,C168)&gt;0),IF(D168="FOLGA","⚠ Folga também lançada na aba FOLGAS. ",IF(D168="TRABALHA","⚠ Marcado TRABALHA, mas tem folga na aba FOLGAS. ","")),"")&amp;IF(AND(ISNUMBER(C168),D168="FOLGA",B168&lt;&gt;"",COUNTIFS($B$2:$B$301,B168,$C$2:$C$301,C168,$D$2:$D$301,"TRABALHA")=0),"⚠ Ninguém do setor trabalhando nesta data. ","")))</f>
        <v/>
      </c>
    </row>
    <row r="169" customFormat="false" ht="15" hidden="false" customHeight="true" outlineLevel="0" collapsed="false">
      <c r="A169" s="54"/>
      <c r="B169" s="54"/>
      <c r="C169" s="53"/>
      <c r="D169" s="54"/>
      <c r="E169" s="54"/>
      <c r="F169" s="55" t="str">
        <f aca="false">IF(A169="","",TRIM(IF(NOT(ISNUMBER(C169)),"⚠ Falta a data. ","")&amp;IF(ISNUMBER(C169),IF(OR(AND(MONTH(C169)=12,DAY(C169)=31),AND(MONTH(C169)=1,DAY(C169)=1)),"","⚠ Data fora do Ano Novo (31/12 ou 01/01). "),"")&amp;IF(AND(ISNUMBER(C169),COUNTIFS($A$2:$A$301,A169,$C$2:$C$301,C169)&gt;1),"⚠ Nome repetido na mesma data. ","")&amp;IF(AND(ISNUMBER(C169),COUNTIFS(FÉRIAS!$A$2:$A$301,A169,FÉRIAS!$C$2:$C$301,"&lt;="&amp;C169,FÉRIAS!$D$2:$D$301,"&gt;="&amp;C169)&gt;0),IF(D169="TRABALHA","⚠ Está de férias e marcado TRABALHA. ","⚠ Já está de férias nesta data. "),"")&amp;IF(AND(ISNUMBER(C169),COUNTIFS(FOLGAS!$A$2:$A$301,A169,FOLGAS!$C$2:$C$301,C169)&gt;0),IF(D169="FOLGA","⚠ Folga também lançada na aba FOLGAS. ",IF(D169="TRABALHA","⚠ Marcado TRABALHA, mas tem folga na aba FOLGAS. ","")),"")&amp;IF(AND(ISNUMBER(C169),D169="FOLGA",B169&lt;&gt;"",COUNTIFS($B$2:$B$301,B169,$C$2:$C$301,C169,$D$2:$D$301,"TRABALHA")=0),"⚠ Ninguém do setor trabalhando nesta data. ","")))</f>
        <v/>
      </c>
    </row>
    <row r="170" customFormat="false" ht="15" hidden="false" customHeight="true" outlineLevel="0" collapsed="false">
      <c r="A170" s="54"/>
      <c r="B170" s="54"/>
      <c r="C170" s="53"/>
      <c r="D170" s="54"/>
      <c r="E170" s="54"/>
      <c r="F170" s="55" t="str">
        <f aca="false">IF(A170="","",TRIM(IF(NOT(ISNUMBER(C170)),"⚠ Falta a data. ","")&amp;IF(ISNUMBER(C170),IF(OR(AND(MONTH(C170)=12,DAY(C170)=31),AND(MONTH(C170)=1,DAY(C170)=1)),"","⚠ Data fora do Ano Novo (31/12 ou 01/01). "),"")&amp;IF(AND(ISNUMBER(C170),COUNTIFS($A$2:$A$301,A170,$C$2:$C$301,C170)&gt;1),"⚠ Nome repetido na mesma data. ","")&amp;IF(AND(ISNUMBER(C170),COUNTIFS(FÉRIAS!$A$2:$A$301,A170,FÉRIAS!$C$2:$C$301,"&lt;="&amp;C170,FÉRIAS!$D$2:$D$301,"&gt;="&amp;C170)&gt;0),IF(D170="TRABALHA","⚠ Está de férias e marcado TRABALHA. ","⚠ Já está de férias nesta data. "),"")&amp;IF(AND(ISNUMBER(C170),COUNTIFS(FOLGAS!$A$2:$A$301,A170,FOLGAS!$C$2:$C$301,C170)&gt;0),IF(D170="FOLGA","⚠ Folga também lançada na aba FOLGAS. ",IF(D170="TRABALHA","⚠ Marcado TRABALHA, mas tem folga na aba FOLGAS. ","")),"")&amp;IF(AND(ISNUMBER(C170),D170="FOLGA",B170&lt;&gt;"",COUNTIFS($B$2:$B$301,B170,$C$2:$C$301,C170,$D$2:$D$301,"TRABALHA")=0),"⚠ Ninguém do setor trabalhando nesta data. ","")))</f>
        <v/>
      </c>
    </row>
    <row r="171" customFormat="false" ht="15" hidden="false" customHeight="true" outlineLevel="0" collapsed="false">
      <c r="A171" s="54"/>
      <c r="B171" s="54"/>
      <c r="C171" s="53"/>
      <c r="D171" s="54"/>
      <c r="E171" s="54"/>
      <c r="F171" s="55" t="str">
        <f aca="false">IF(A171="","",TRIM(IF(NOT(ISNUMBER(C171)),"⚠ Falta a data. ","")&amp;IF(ISNUMBER(C171),IF(OR(AND(MONTH(C171)=12,DAY(C171)=31),AND(MONTH(C171)=1,DAY(C171)=1)),"","⚠ Data fora do Ano Novo (31/12 ou 01/01). "),"")&amp;IF(AND(ISNUMBER(C171),COUNTIFS($A$2:$A$301,A171,$C$2:$C$301,C171)&gt;1),"⚠ Nome repetido na mesma data. ","")&amp;IF(AND(ISNUMBER(C171),COUNTIFS(FÉRIAS!$A$2:$A$301,A171,FÉRIAS!$C$2:$C$301,"&lt;="&amp;C171,FÉRIAS!$D$2:$D$301,"&gt;="&amp;C171)&gt;0),IF(D171="TRABALHA","⚠ Está de férias e marcado TRABALHA. ","⚠ Já está de férias nesta data. "),"")&amp;IF(AND(ISNUMBER(C171),COUNTIFS(FOLGAS!$A$2:$A$301,A171,FOLGAS!$C$2:$C$301,C171)&gt;0),IF(D171="FOLGA","⚠ Folga também lançada na aba FOLGAS. ",IF(D171="TRABALHA","⚠ Marcado TRABALHA, mas tem folga na aba FOLGAS. ","")),"")&amp;IF(AND(ISNUMBER(C171),D171="FOLGA",B171&lt;&gt;"",COUNTIFS($B$2:$B$301,B171,$C$2:$C$301,C171,$D$2:$D$301,"TRABALHA")=0),"⚠ Ninguém do setor trabalhando nesta data. ","")))</f>
        <v/>
      </c>
    </row>
    <row r="172" customFormat="false" ht="15" hidden="false" customHeight="true" outlineLevel="0" collapsed="false">
      <c r="A172" s="54"/>
      <c r="B172" s="54"/>
      <c r="C172" s="53"/>
      <c r="D172" s="54"/>
      <c r="E172" s="54"/>
      <c r="F172" s="55" t="str">
        <f aca="false">IF(A172="","",TRIM(IF(NOT(ISNUMBER(C172)),"⚠ Falta a data. ","")&amp;IF(ISNUMBER(C172),IF(OR(AND(MONTH(C172)=12,DAY(C172)=31),AND(MONTH(C172)=1,DAY(C172)=1)),"","⚠ Data fora do Ano Novo (31/12 ou 01/01). "),"")&amp;IF(AND(ISNUMBER(C172),COUNTIFS($A$2:$A$301,A172,$C$2:$C$301,C172)&gt;1),"⚠ Nome repetido na mesma data. ","")&amp;IF(AND(ISNUMBER(C172),COUNTIFS(FÉRIAS!$A$2:$A$301,A172,FÉRIAS!$C$2:$C$301,"&lt;="&amp;C172,FÉRIAS!$D$2:$D$301,"&gt;="&amp;C172)&gt;0),IF(D172="TRABALHA","⚠ Está de férias e marcado TRABALHA. ","⚠ Já está de férias nesta data. "),"")&amp;IF(AND(ISNUMBER(C172),COUNTIFS(FOLGAS!$A$2:$A$301,A172,FOLGAS!$C$2:$C$301,C172)&gt;0),IF(D172="FOLGA","⚠ Folga também lançada na aba FOLGAS. ",IF(D172="TRABALHA","⚠ Marcado TRABALHA, mas tem folga na aba FOLGAS. ","")),"")&amp;IF(AND(ISNUMBER(C172),D172="FOLGA",B172&lt;&gt;"",COUNTIFS($B$2:$B$301,B172,$C$2:$C$301,C172,$D$2:$D$301,"TRABALHA")=0),"⚠ Ninguém do setor trabalhando nesta data. ","")))</f>
        <v/>
      </c>
    </row>
    <row r="173" customFormat="false" ht="15" hidden="false" customHeight="true" outlineLevel="0" collapsed="false">
      <c r="A173" s="54"/>
      <c r="B173" s="54"/>
      <c r="C173" s="53"/>
      <c r="D173" s="54"/>
      <c r="E173" s="54"/>
      <c r="F173" s="55" t="str">
        <f aca="false">IF(A173="","",TRIM(IF(NOT(ISNUMBER(C173)),"⚠ Falta a data. ","")&amp;IF(ISNUMBER(C173),IF(OR(AND(MONTH(C173)=12,DAY(C173)=31),AND(MONTH(C173)=1,DAY(C173)=1)),"","⚠ Data fora do Ano Novo (31/12 ou 01/01). "),"")&amp;IF(AND(ISNUMBER(C173),COUNTIFS($A$2:$A$301,A173,$C$2:$C$301,C173)&gt;1),"⚠ Nome repetido na mesma data. ","")&amp;IF(AND(ISNUMBER(C173),COUNTIFS(FÉRIAS!$A$2:$A$301,A173,FÉRIAS!$C$2:$C$301,"&lt;="&amp;C173,FÉRIAS!$D$2:$D$301,"&gt;="&amp;C173)&gt;0),IF(D173="TRABALHA","⚠ Está de férias e marcado TRABALHA. ","⚠ Já está de férias nesta data. "),"")&amp;IF(AND(ISNUMBER(C173),COUNTIFS(FOLGAS!$A$2:$A$301,A173,FOLGAS!$C$2:$C$301,C173)&gt;0),IF(D173="FOLGA","⚠ Folga também lançada na aba FOLGAS. ",IF(D173="TRABALHA","⚠ Marcado TRABALHA, mas tem folga na aba FOLGAS. ","")),"")&amp;IF(AND(ISNUMBER(C173),D173="FOLGA",B173&lt;&gt;"",COUNTIFS($B$2:$B$301,B173,$C$2:$C$301,C173,$D$2:$D$301,"TRABALHA")=0),"⚠ Ninguém do setor trabalhando nesta data. ","")))</f>
        <v/>
      </c>
    </row>
    <row r="174" customFormat="false" ht="15" hidden="false" customHeight="true" outlineLevel="0" collapsed="false">
      <c r="A174" s="54"/>
      <c r="B174" s="54"/>
      <c r="C174" s="53"/>
      <c r="D174" s="54"/>
      <c r="E174" s="54"/>
      <c r="F174" s="55" t="str">
        <f aca="false">IF(A174="","",TRIM(IF(NOT(ISNUMBER(C174)),"⚠ Falta a data. ","")&amp;IF(ISNUMBER(C174),IF(OR(AND(MONTH(C174)=12,DAY(C174)=31),AND(MONTH(C174)=1,DAY(C174)=1)),"","⚠ Data fora do Ano Novo (31/12 ou 01/01). "),"")&amp;IF(AND(ISNUMBER(C174),COUNTIFS($A$2:$A$301,A174,$C$2:$C$301,C174)&gt;1),"⚠ Nome repetido na mesma data. ","")&amp;IF(AND(ISNUMBER(C174),COUNTIFS(FÉRIAS!$A$2:$A$301,A174,FÉRIAS!$C$2:$C$301,"&lt;="&amp;C174,FÉRIAS!$D$2:$D$301,"&gt;="&amp;C174)&gt;0),IF(D174="TRABALHA","⚠ Está de férias e marcado TRABALHA. ","⚠ Já está de férias nesta data. "),"")&amp;IF(AND(ISNUMBER(C174),COUNTIFS(FOLGAS!$A$2:$A$301,A174,FOLGAS!$C$2:$C$301,C174)&gt;0),IF(D174="FOLGA","⚠ Folga também lançada na aba FOLGAS. ",IF(D174="TRABALHA","⚠ Marcado TRABALHA, mas tem folga na aba FOLGAS. ","")),"")&amp;IF(AND(ISNUMBER(C174),D174="FOLGA",B174&lt;&gt;"",COUNTIFS($B$2:$B$301,B174,$C$2:$C$301,C174,$D$2:$D$301,"TRABALHA")=0),"⚠ Ninguém do setor trabalhando nesta data. ","")))</f>
        <v/>
      </c>
    </row>
    <row r="175" customFormat="false" ht="15" hidden="false" customHeight="true" outlineLevel="0" collapsed="false">
      <c r="A175" s="54"/>
      <c r="B175" s="54"/>
      <c r="C175" s="53"/>
      <c r="D175" s="54"/>
      <c r="E175" s="54"/>
      <c r="F175" s="55" t="str">
        <f aca="false">IF(A175="","",TRIM(IF(NOT(ISNUMBER(C175)),"⚠ Falta a data. ","")&amp;IF(ISNUMBER(C175),IF(OR(AND(MONTH(C175)=12,DAY(C175)=31),AND(MONTH(C175)=1,DAY(C175)=1)),"","⚠ Data fora do Ano Novo (31/12 ou 01/01). "),"")&amp;IF(AND(ISNUMBER(C175),COUNTIFS($A$2:$A$301,A175,$C$2:$C$301,C175)&gt;1),"⚠ Nome repetido na mesma data. ","")&amp;IF(AND(ISNUMBER(C175),COUNTIFS(FÉRIAS!$A$2:$A$301,A175,FÉRIAS!$C$2:$C$301,"&lt;="&amp;C175,FÉRIAS!$D$2:$D$301,"&gt;="&amp;C175)&gt;0),IF(D175="TRABALHA","⚠ Está de férias e marcado TRABALHA. ","⚠ Já está de férias nesta data. "),"")&amp;IF(AND(ISNUMBER(C175),COUNTIFS(FOLGAS!$A$2:$A$301,A175,FOLGAS!$C$2:$C$301,C175)&gt;0),IF(D175="FOLGA","⚠ Folga também lançada na aba FOLGAS. ",IF(D175="TRABALHA","⚠ Marcado TRABALHA, mas tem folga na aba FOLGAS. ","")),"")&amp;IF(AND(ISNUMBER(C175),D175="FOLGA",B175&lt;&gt;"",COUNTIFS($B$2:$B$301,B175,$C$2:$C$301,C175,$D$2:$D$301,"TRABALHA")=0),"⚠ Ninguém do setor trabalhando nesta data. ","")))</f>
        <v/>
      </c>
    </row>
    <row r="176" customFormat="false" ht="15" hidden="false" customHeight="true" outlineLevel="0" collapsed="false">
      <c r="A176" s="54"/>
      <c r="B176" s="54"/>
      <c r="C176" s="53"/>
      <c r="D176" s="54"/>
      <c r="E176" s="54"/>
      <c r="F176" s="55" t="str">
        <f aca="false">IF(A176="","",TRIM(IF(NOT(ISNUMBER(C176)),"⚠ Falta a data. ","")&amp;IF(ISNUMBER(C176),IF(OR(AND(MONTH(C176)=12,DAY(C176)=31),AND(MONTH(C176)=1,DAY(C176)=1)),"","⚠ Data fora do Ano Novo (31/12 ou 01/01). "),"")&amp;IF(AND(ISNUMBER(C176),COUNTIFS($A$2:$A$301,A176,$C$2:$C$301,C176)&gt;1),"⚠ Nome repetido na mesma data. ","")&amp;IF(AND(ISNUMBER(C176),COUNTIFS(FÉRIAS!$A$2:$A$301,A176,FÉRIAS!$C$2:$C$301,"&lt;="&amp;C176,FÉRIAS!$D$2:$D$301,"&gt;="&amp;C176)&gt;0),IF(D176="TRABALHA","⚠ Está de férias e marcado TRABALHA. ","⚠ Já está de férias nesta data. "),"")&amp;IF(AND(ISNUMBER(C176),COUNTIFS(FOLGAS!$A$2:$A$301,A176,FOLGAS!$C$2:$C$301,C176)&gt;0),IF(D176="FOLGA","⚠ Folga também lançada na aba FOLGAS. ",IF(D176="TRABALHA","⚠ Marcado TRABALHA, mas tem folga na aba FOLGAS. ","")),"")&amp;IF(AND(ISNUMBER(C176),D176="FOLGA",B176&lt;&gt;"",COUNTIFS($B$2:$B$301,B176,$C$2:$C$301,C176,$D$2:$D$301,"TRABALHA")=0),"⚠ Ninguém do setor trabalhando nesta data. ","")))</f>
        <v/>
      </c>
    </row>
    <row r="177" customFormat="false" ht="15" hidden="false" customHeight="true" outlineLevel="0" collapsed="false">
      <c r="A177" s="54"/>
      <c r="B177" s="54"/>
      <c r="C177" s="53"/>
      <c r="D177" s="54"/>
      <c r="E177" s="54"/>
      <c r="F177" s="55" t="str">
        <f aca="false">IF(A177="","",TRIM(IF(NOT(ISNUMBER(C177)),"⚠ Falta a data. ","")&amp;IF(ISNUMBER(C177),IF(OR(AND(MONTH(C177)=12,DAY(C177)=31),AND(MONTH(C177)=1,DAY(C177)=1)),"","⚠ Data fora do Ano Novo (31/12 ou 01/01). "),"")&amp;IF(AND(ISNUMBER(C177),COUNTIFS($A$2:$A$301,A177,$C$2:$C$301,C177)&gt;1),"⚠ Nome repetido na mesma data. ","")&amp;IF(AND(ISNUMBER(C177),COUNTIFS(FÉRIAS!$A$2:$A$301,A177,FÉRIAS!$C$2:$C$301,"&lt;="&amp;C177,FÉRIAS!$D$2:$D$301,"&gt;="&amp;C177)&gt;0),IF(D177="TRABALHA","⚠ Está de férias e marcado TRABALHA. ","⚠ Já está de férias nesta data. "),"")&amp;IF(AND(ISNUMBER(C177),COUNTIFS(FOLGAS!$A$2:$A$301,A177,FOLGAS!$C$2:$C$301,C177)&gt;0),IF(D177="FOLGA","⚠ Folga também lançada na aba FOLGAS. ",IF(D177="TRABALHA","⚠ Marcado TRABALHA, mas tem folga na aba FOLGAS. ","")),"")&amp;IF(AND(ISNUMBER(C177),D177="FOLGA",B177&lt;&gt;"",COUNTIFS($B$2:$B$301,B177,$C$2:$C$301,C177,$D$2:$D$301,"TRABALHA")=0),"⚠ Ninguém do setor trabalhando nesta data. ","")))</f>
        <v/>
      </c>
    </row>
    <row r="178" customFormat="false" ht="15" hidden="false" customHeight="true" outlineLevel="0" collapsed="false">
      <c r="A178" s="54"/>
      <c r="B178" s="54"/>
      <c r="C178" s="53"/>
      <c r="D178" s="54"/>
      <c r="E178" s="54"/>
      <c r="F178" s="55" t="str">
        <f aca="false">IF(A178="","",TRIM(IF(NOT(ISNUMBER(C178)),"⚠ Falta a data. ","")&amp;IF(ISNUMBER(C178),IF(OR(AND(MONTH(C178)=12,DAY(C178)=31),AND(MONTH(C178)=1,DAY(C178)=1)),"","⚠ Data fora do Ano Novo (31/12 ou 01/01). "),"")&amp;IF(AND(ISNUMBER(C178),COUNTIFS($A$2:$A$301,A178,$C$2:$C$301,C178)&gt;1),"⚠ Nome repetido na mesma data. ","")&amp;IF(AND(ISNUMBER(C178),COUNTIFS(FÉRIAS!$A$2:$A$301,A178,FÉRIAS!$C$2:$C$301,"&lt;="&amp;C178,FÉRIAS!$D$2:$D$301,"&gt;="&amp;C178)&gt;0),IF(D178="TRABALHA","⚠ Está de férias e marcado TRABALHA. ","⚠ Já está de férias nesta data. "),"")&amp;IF(AND(ISNUMBER(C178),COUNTIFS(FOLGAS!$A$2:$A$301,A178,FOLGAS!$C$2:$C$301,C178)&gt;0),IF(D178="FOLGA","⚠ Folga também lançada na aba FOLGAS. ",IF(D178="TRABALHA","⚠ Marcado TRABALHA, mas tem folga na aba FOLGAS. ","")),"")&amp;IF(AND(ISNUMBER(C178),D178="FOLGA",B178&lt;&gt;"",COUNTIFS($B$2:$B$301,B178,$C$2:$C$301,C178,$D$2:$D$301,"TRABALHA")=0),"⚠ Ninguém do setor trabalhando nesta data. ","")))</f>
        <v/>
      </c>
    </row>
    <row r="179" customFormat="false" ht="15" hidden="false" customHeight="true" outlineLevel="0" collapsed="false">
      <c r="A179" s="54"/>
      <c r="B179" s="54"/>
      <c r="C179" s="53"/>
      <c r="D179" s="54"/>
      <c r="E179" s="54"/>
      <c r="F179" s="55" t="str">
        <f aca="false">IF(A179="","",TRIM(IF(NOT(ISNUMBER(C179)),"⚠ Falta a data. ","")&amp;IF(ISNUMBER(C179),IF(OR(AND(MONTH(C179)=12,DAY(C179)=31),AND(MONTH(C179)=1,DAY(C179)=1)),"","⚠ Data fora do Ano Novo (31/12 ou 01/01). "),"")&amp;IF(AND(ISNUMBER(C179),COUNTIFS($A$2:$A$301,A179,$C$2:$C$301,C179)&gt;1),"⚠ Nome repetido na mesma data. ","")&amp;IF(AND(ISNUMBER(C179),COUNTIFS(FÉRIAS!$A$2:$A$301,A179,FÉRIAS!$C$2:$C$301,"&lt;="&amp;C179,FÉRIAS!$D$2:$D$301,"&gt;="&amp;C179)&gt;0),IF(D179="TRABALHA","⚠ Está de férias e marcado TRABALHA. ","⚠ Já está de férias nesta data. "),"")&amp;IF(AND(ISNUMBER(C179),COUNTIFS(FOLGAS!$A$2:$A$301,A179,FOLGAS!$C$2:$C$301,C179)&gt;0),IF(D179="FOLGA","⚠ Folga também lançada na aba FOLGAS. ",IF(D179="TRABALHA","⚠ Marcado TRABALHA, mas tem folga na aba FOLGAS. ","")),"")&amp;IF(AND(ISNUMBER(C179),D179="FOLGA",B179&lt;&gt;"",COUNTIFS($B$2:$B$301,B179,$C$2:$C$301,C179,$D$2:$D$301,"TRABALHA")=0),"⚠ Ninguém do setor trabalhando nesta data. ","")))</f>
        <v/>
      </c>
    </row>
    <row r="180" customFormat="false" ht="15" hidden="false" customHeight="true" outlineLevel="0" collapsed="false">
      <c r="A180" s="54"/>
      <c r="B180" s="54"/>
      <c r="C180" s="53"/>
      <c r="D180" s="54"/>
      <c r="E180" s="54"/>
      <c r="F180" s="55" t="str">
        <f aca="false">IF(A180="","",TRIM(IF(NOT(ISNUMBER(C180)),"⚠ Falta a data. ","")&amp;IF(ISNUMBER(C180),IF(OR(AND(MONTH(C180)=12,DAY(C180)=31),AND(MONTH(C180)=1,DAY(C180)=1)),"","⚠ Data fora do Ano Novo (31/12 ou 01/01). "),"")&amp;IF(AND(ISNUMBER(C180),COUNTIFS($A$2:$A$301,A180,$C$2:$C$301,C180)&gt;1),"⚠ Nome repetido na mesma data. ","")&amp;IF(AND(ISNUMBER(C180),COUNTIFS(FÉRIAS!$A$2:$A$301,A180,FÉRIAS!$C$2:$C$301,"&lt;="&amp;C180,FÉRIAS!$D$2:$D$301,"&gt;="&amp;C180)&gt;0),IF(D180="TRABALHA","⚠ Está de férias e marcado TRABALHA. ","⚠ Já está de férias nesta data. "),"")&amp;IF(AND(ISNUMBER(C180),COUNTIFS(FOLGAS!$A$2:$A$301,A180,FOLGAS!$C$2:$C$301,C180)&gt;0),IF(D180="FOLGA","⚠ Folga também lançada na aba FOLGAS. ",IF(D180="TRABALHA","⚠ Marcado TRABALHA, mas tem folga na aba FOLGAS. ","")),"")&amp;IF(AND(ISNUMBER(C180),D180="FOLGA",B180&lt;&gt;"",COUNTIFS($B$2:$B$301,B180,$C$2:$C$301,C180,$D$2:$D$301,"TRABALHA")=0),"⚠ Ninguém do setor trabalhando nesta data. ","")))</f>
        <v/>
      </c>
    </row>
    <row r="181" customFormat="false" ht="15" hidden="false" customHeight="true" outlineLevel="0" collapsed="false">
      <c r="A181" s="54"/>
      <c r="B181" s="54"/>
      <c r="C181" s="53"/>
      <c r="D181" s="54"/>
      <c r="E181" s="54"/>
      <c r="F181" s="55" t="str">
        <f aca="false">IF(A181="","",TRIM(IF(NOT(ISNUMBER(C181)),"⚠ Falta a data. ","")&amp;IF(ISNUMBER(C181),IF(OR(AND(MONTH(C181)=12,DAY(C181)=31),AND(MONTH(C181)=1,DAY(C181)=1)),"","⚠ Data fora do Ano Novo (31/12 ou 01/01). "),"")&amp;IF(AND(ISNUMBER(C181),COUNTIFS($A$2:$A$301,A181,$C$2:$C$301,C181)&gt;1),"⚠ Nome repetido na mesma data. ","")&amp;IF(AND(ISNUMBER(C181),COUNTIFS(FÉRIAS!$A$2:$A$301,A181,FÉRIAS!$C$2:$C$301,"&lt;="&amp;C181,FÉRIAS!$D$2:$D$301,"&gt;="&amp;C181)&gt;0),IF(D181="TRABALHA","⚠ Está de férias e marcado TRABALHA. ","⚠ Já está de férias nesta data. "),"")&amp;IF(AND(ISNUMBER(C181),COUNTIFS(FOLGAS!$A$2:$A$301,A181,FOLGAS!$C$2:$C$301,C181)&gt;0),IF(D181="FOLGA","⚠ Folga também lançada na aba FOLGAS. ",IF(D181="TRABALHA","⚠ Marcado TRABALHA, mas tem folga na aba FOLGAS. ","")),"")&amp;IF(AND(ISNUMBER(C181),D181="FOLGA",B181&lt;&gt;"",COUNTIFS($B$2:$B$301,B181,$C$2:$C$301,C181,$D$2:$D$301,"TRABALHA")=0),"⚠ Ninguém do setor trabalhando nesta data. ","")))</f>
        <v/>
      </c>
    </row>
    <row r="182" customFormat="false" ht="15" hidden="false" customHeight="true" outlineLevel="0" collapsed="false">
      <c r="A182" s="54"/>
      <c r="B182" s="54"/>
      <c r="C182" s="53"/>
      <c r="D182" s="54"/>
      <c r="E182" s="54"/>
      <c r="F182" s="55" t="str">
        <f aca="false">IF(A182="","",TRIM(IF(NOT(ISNUMBER(C182)),"⚠ Falta a data. ","")&amp;IF(ISNUMBER(C182),IF(OR(AND(MONTH(C182)=12,DAY(C182)=31),AND(MONTH(C182)=1,DAY(C182)=1)),"","⚠ Data fora do Ano Novo (31/12 ou 01/01). "),"")&amp;IF(AND(ISNUMBER(C182),COUNTIFS($A$2:$A$301,A182,$C$2:$C$301,C182)&gt;1),"⚠ Nome repetido na mesma data. ","")&amp;IF(AND(ISNUMBER(C182),COUNTIFS(FÉRIAS!$A$2:$A$301,A182,FÉRIAS!$C$2:$C$301,"&lt;="&amp;C182,FÉRIAS!$D$2:$D$301,"&gt;="&amp;C182)&gt;0),IF(D182="TRABALHA","⚠ Está de férias e marcado TRABALHA. ","⚠ Já está de férias nesta data. "),"")&amp;IF(AND(ISNUMBER(C182),COUNTIFS(FOLGAS!$A$2:$A$301,A182,FOLGAS!$C$2:$C$301,C182)&gt;0),IF(D182="FOLGA","⚠ Folga também lançada na aba FOLGAS. ",IF(D182="TRABALHA","⚠ Marcado TRABALHA, mas tem folga na aba FOLGAS. ","")),"")&amp;IF(AND(ISNUMBER(C182),D182="FOLGA",B182&lt;&gt;"",COUNTIFS($B$2:$B$301,B182,$C$2:$C$301,C182,$D$2:$D$301,"TRABALHA")=0),"⚠ Ninguém do setor trabalhando nesta data. ","")))</f>
        <v/>
      </c>
    </row>
    <row r="183" customFormat="false" ht="15" hidden="false" customHeight="true" outlineLevel="0" collapsed="false">
      <c r="A183" s="54"/>
      <c r="B183" s="54"/>
      <c r="C183" s="53"/>
      <c r="D183" s="54"/>
      <c r="E183" s="54"/>
      <c r="F183" s="55" t="str">
        <f aca="false">IF(A183="","",TRIM(IF(NOT(ISNUMBER(C183)),"⚠ Falta a data. ","")&amp;IF(ISNUMBER(C183),IF(OR(AND(MONTH(C183)=12,DAY(C183)=31),AND(MONTH(C183)=1,DAY(C183)=1)),"","⚠ Data fora do Ano Novo (31/12 ou 01/01). "),"")&amp;IF(AND(ISNUMBER(C183),COUNTIFS($A$2:$A$301,A183,$C$2:$C$301,C183)&gt;1),"⚠ Nome repetido na mesma data. ","")&amp;IF(AND(ISNUMBER(C183),COUNTIFS(FÉRIAS!$A$2:$A$301,A183,FÉRIAS!$C$2:$C$301,"&lt;="&amp;C183,FÉRIAS!$D$2:$D$301,"&gt;="&amp;C183)&gt;0),IF(D183="TRABALHA","⚠ Está de férias e marcado TRABALHA. ","⚠ Já está de férias nesta data. "),"")&amp;IF(AND(ISNUMBER(C183),COUNTIFS(FOLGAS!$A$2:$A$301,A183,FOLGAS!$C$2:$C$301,C183)&gt;0),IF(D183="FOLGA","⚠ Folga também lançada na aba FOLGAS. ",IF(D183="TRABALHA","⚠ Marcado TRABALHA, mas tem folga na aba FOLGAS. ","")),"")&amp;IF(AND(ISNUMBER(C183),D183="FOLGA",B183&lt;&gt;"",COUNTIFS($B$2:$B$301,B183,$C$2:$C$301,C183,$D$2:$D$301,"TRABALHA")=0),"⚠ Ninguém do setor trabalhando nesta data. ","")))</f>
        <v/>
      </c>
    </row>
    <row r="184" customFormat="false" ht="15" hidden="false" customHeight="true" outlineLevel="0" collapsed="false">
      <c r="A184" s="54"/>
      <c r="B184" s="54"/>
      <c r="C184" s="53"/>
      <c r="D184" s="54"/>
      <c r="E184" s="54"/>
      <c r="F184" s="55" t="str">
        <f aca="false">IF(A184="","",TRIM(IF(NOT(ISNUMBER(C184)),"⚠ Falta a data. ","")&amp;IF(ISNUMBER(C184),IF(OR(AND(MONTH(C184)=12,DAY(C184)=31),AND(MONTH(C184)=1,DAY(C184)=1)),"","⚠ Data fora do Ano Novo (31/12 ou 01/01). "),"")&amp;IF(AND(ISNUMBER(C184),COUNTIFS($A$2:$A$301,A184,$C$2:$C$301,C184)&gt;1),"⚠ Nome repetido na mesma data. ","")&amp;IF(AND(ISNUMBER(C184),COUNTIFS(FÉRIAS!$A$2:$A$301,A184,FÉRIAS!$C$2:$C$301,"&lt;="&amp;C184,FÉRIAS!$D$2:$D$301,"&gt;="&amp;C184)&gt;0),IF(D184="TRABALHA","⚠ Está de férias e marcado TRABALHA. ","⚠ Já está de férias nesta data. "),"")&amp;IF(AND(ISNUMBER(C184),COUNTIFS(FOLGAS!$A$2:$A$301,A184,FOLGAS!$C$2:$C$301,C184)&gt;0),IF(D184="FOLGA","⚠ Folga também lançada na aba FOLGAS. ",IF(D184="TRABALHA","⚠ Marcado TRABALHA, mas tem folga na aba FOLGAS. ","")),"")&amp;IF(AND(ISNUMBER(C184),D184="FOLGA",B184&lt;&gt;"",COUNTIFS($B$2:$B$301,B184,$C$2:$C$301,C184,$D$2:$D$301,"TRABALHA")=0),"⚠ Ninguém do setor trabalhando nesta data. ","")))</f>
        <v/>
      </c>
    </row>
    <row r="185" customFormat="false" ht="15" hidden="false" customHeight="true" outlineLevel="0" collapsed="false">
      <c r="A185" s="54"/>
      <c r="B185" s="54"/>
      <c r="C185" s="53"/>
      <c r="D185" s="54"/>
      <c r="E185" s="54"/>
      <c r="F185" s="55" t="str">
        <f aca="false">IF(A185="","",TRIM(IF(NOT(ISNUMBER(C185)),"⚠ Falta a data. ","")&amp;IF(ISNUMBER(C185),IF(OR(AND(MONTH(C185)=12,DAY(C185)=31),AND(MONTH(C185)=1,DAY(C185)=1)),"","⚠ Data fora do Ano Novo (31/12 ou 01/01). "),"")&amp;IF(AND(ISNUMBER(C185),COUNTIFS($A$2:$A$301,A185,$C$2:$C$301,C185)&gt;1),"⚠ Nome repetido na mesma data. ","")&amp;IF(AND(ISNUMBER(C185),COUNTIFS(FÉRIAS!$A$2:$A$301,A185,FÉRIAS!$C$2:$C$301,"&lt;="&amp;C185,FÉRIAS!$D$2:$D$301,"&gt;="&amp;C185)&gt;0),IF(D185="TRABALHA","⚠ Está de férias e marcado TRABALHA. ","⚠ Já está de férias nesta data. "),"")&amp;IF(AND(ISNUMBER(C185),COUNTIFS(FOLGAS!$A$2:$A$301,A185,FOLGAS!$C$2:$C$301,C185)&gt;0),IF(D185="FOLGA","⚠ Folga também lançada na aba FOLGAS. ",IF(D185="TRABALHA","⚠ Marcado TRABALHA, mas tem folga na aba FOLGAS. ","")),"")&amp;IF(AND(ISNUMBER(C185),D185="FOLGA",B185&lt;&gt;"",COUNTIFS($B$2:$B$301,B185,$C$2:$C$301,C185,$D$2:$D$301,"TRABALHA")=0),"⚠ Ninguém do setor trabalhando nesta data. ","")))</f>
        <v/>
      </c>
    </row>
    <row r="186" customFormat="false" ht="15" hidden="false" customHeight="true" outlineLevel="0" collapsed="false">
      <c r="A186" s="54"/>
      <c r="B186" s="54"/>
      <c r="C186" s="53"/>
      <c r="D186" s="54"/>
      <c r="E186" s="54"/>
      <c r="F186" s="55" t="str">
        <f aca="false">IF(A186="","",TRIM(IF(NOT(ISNUMBER(C186)),"⚠ Falta a data. ","")&amp;IF(ISNUMBER(C186),IF(OR(AND(MONTH(C186)=12,DAY(C186)=31),AND(MONTH(C186)=1,DAY(C186)=1)),"","⚠ Data fora do Ano Novo (31/12 ou 01/01). "),"")&amp;IF(AND(ISNUMBER(C186),COUNTIFS($A$2:$A$301,A186,$C$2:$C$301,C186)&gt;1),"⚠ Nome repetido na mesma data. ","")&amp;IF(AND(ISNUMBER(C186),COUNTIFS(FÉRIAS!$A$2:$A$301,A186,FÉRIAS!$C$2:$C$301,"&lt;="&amp;C186,FÉRIAS!$D$2:$D$301,"&gt;="&amp;C186)&gt;0),IF(D186="TRABALHA","⚠ Está de férias e marcado TRABALHA. ","⚠ Já está de férias nesta data. "),"")&amp;IF(AND(ISNUMBER(C186),COUNTIFS(FOLGAS!$A$2:$A$301,A186,FOLGAS!$C$2:$C$301,C186)&gt;0),IF(D186="FOLGA","⚠ Folga também lançada na aba FOLGAS. ",IF(D186="TRABALHA","⚠ Marcado TRABALHA, mas tem folga na aba FOLGAS. ","")),"")&amp;IF(AND(ISNUMBER(C186),D186="FOLGA",B186&lt;&gt;"",COUNTIFS($B$2:$B$301,B186,$C$2:$C$301,C186,$D$2:$D$301,"TRABALHA")=0),"⚠ Ninguém do setor trabalhando nesta data. ","")))</f>
        <v/>
      </c>
    </row>
    <row r="187" customFormat="false" ht="15" hidden="false" customHeight="true" outlineLevel="0" collapsed="false">
      <c r="A187" s="54"/>
      <c r="B187" s="54"/>
      <c r="C187" s="53"/>
      <c r="D187" s="54"/>
      <c r="E187" s="54"/>
      <c r="F187" s="55" t="str">
        <f aca="false">IF(A187="","",TRIM(IF(NOT(ISNUMBER(C187)),"⚠ Falta a data. ","")&amp;IF(ISNUMBER(C187),IF(OR(AND(MONTH(C187)=12,DAY(C187)=31),AND(MONTH(C187)=1,DAY(C187)=1)),"","⚠ Data fora do Ano Novo (31/12 ou 01/01). "),"")&amp;IF(AND(ISNUMBER(C187),COUNTIFS($A$2:$A$301,A187,$C$2:$C$301,C187)&gt;1),"⚠ Nome repetido na mesma data. ","")&amp;IF(AND(ISNUMBER(C187),COUNTIFS(FÉRIAS!$A$2:$A$301,A187,FÉRIAS!$C$2:$C$301,"&lt;="&amp;C187,FÉRIAS!$D$2:$D$301,"&gt;="&amp;C187)&gt;0),IF(D187="TRABALHA","⚠ Está de férias e marcado TRABALHA. ","⚠ Já está de férias nesta data. "),"")&amp;IF(AND(ISNUMBER(C187),COUNTIFS(FOLGAS!$A$2:$A$301,A187,FOLGAS!$C$2:$C$301,C187)&gt;0),IF(D187="FOLGA","⚠ Folga também lançada na aba FOLGAS. ",IF(D187="TRABALHA","⚠ Marcado TRABALHA, mas tem folga na aba FOLGAS. ","")),"")&amp;IF(AND(ISNUMBER(C187),D187="FOLGA",B187&lt;&gt;"",COUNTIFS($B$2:$B$301,B187,$C$2:$C$301,C187,$D$2:$D$301,"TRABALHA")=0),"⚠ Ninguém do setor trabalhando nesta data. ","")))</f>
        <v/>
      </c>
    </row>
    <row r="188" customFormat="false" ht="15" hidden="false" customHeight="true" outlineLevel="0" collapsed="false">
      <c r="A188" s="54"/>
      <c r="B188" s="54"/>
      <c r="C188" s="53"/>
      <c r="D188" s="54"/>
      <c r="E188" s="54"/>
      <c r="F188" s="55" t="str">
        <f aca="false">IF(A188="","",TRIM(IF(NOT(ISNUMBER(C188)),"⚠ Falta a data. ","")&amp;IF(ISNUMBER(C188),IF(OR(AND(MONTH(C188)=12,DAY(C188)=31),AND(MONTH(C188)=1,DAY(C188)=1)),"","⚠ Data fora do Ano Novo (31/12 ou 01/01). "),"")&amp;IF(AND(ISNUMBER(C188),COUNTIFS($A$2:$A$301,A188,$C$2:$C$301,C188)&gt;1),"⚠ Nome repetido na mesma data. ","")&amp;IF(AND(ISNUMBER(C188),COUNTIFS(FÉRIAS!$A$2:$A$301,A188,FÉRIAS!$C$2:$C$301,"&lt;="&amp;C188,FÉRIAS!$D$2:$D$301,"&gt;="&amp;C188)&gt;0),IF(D188="TRABALHA","⚠ Está de férias e marcado TRABALHA. ","⚠ Já está de férias nesta data. "),"")&amp;IF(AND(ISNUMBER(C188),COUNTIFS(FOLGAS!$A$2:$A$301,A188,FOLGAS!$C$2:$C$301,C188)&gt;0),IF(D188="FOLGA","⚠ Folga também lançada na aba FOLGAS. ",IF(D188="TRABALHA","⚠ Marcado TRABALHA, mas tem folga na aba FOLGAS. ","")),"")&amp;IF(AND(ISNUMBER(C188),D188="FOLGA",B188&lt;&gt;"",COUNTIFS($B$2:$B$301,B188,$C$2:$C$301,C188,$D$2:$D$301,"TRABALHA")=0),"⚠ Ninguém do setor trabalhando nesta data. ","")))</f>
        <v/>
      </c>
    </row>
    <row r="189" customFormat="false" ht="15" hidden="false" customHeight="true" outlineLevel="0" collapsed="false">
      <c r="A189" s="54"/>
      <c r="B189" s="54"/>
      <c r="C189" s="53"/>
      <c r="D189" s="54"/>
      <c r="E189" s="54"/>
      <c r="F189" s="55" t="str">
        <f aca="false">IF(A189="","",TRIM(IF(NOT(ISNUMBER(C189)),"⚠ Falta a data. ","")&amp;IF(ISNUMBER(C189),IF(OR(AND(MONTH(C189)=12,DAY(C189)=31),AND(MONTH(C189)=1,DAY(C189)=1)),"","⚠ Data fora do Ano Novo (31/12 ou 01/01). "),"")&amp;IF(AND(ISNUMBER(C189),COUNTIFS($A$2:$A$301,A189,$C$2:$C$301,C189)&gt;1),"⚠ Nome repetido na mesma data. ","")&amp;IF(AND(ISNUMBER(C189),COUNTIFS(FÉRIAS!$A$2:$A$301,A189,FÉRIAS!$C$2:$C$301,"&lt;="&amp;C189,FÉRIAS!$D$2:$D$301,"&gt;="&amp;C189)&gt;0),IF(D189="TRABALHA","⚠ Está de férias e marcado TRABALHA. ","⚠ Já está de férias nesta data. "),"")&amp;IF(AND(ISNUMBER(C189),COUNTIFS(FOLGAS!$A$2:$A$301,A189,FOLGAS!$C$2:$C$301,C189)&gt;0),IF(D189="FOLGA","⚠ Folga também lançada na aba FOLGAS. ",IF(D189="TRABALHA","⚠ Marcado TRABALHA, mas tem folga na aba FOLGAS. ","")),"")&amp;IF(AND(ISNUMBER(C189),D189="FOLGA",B189&lt;&gt;"",COUNTIFS($B$2:$B$301,B189,$C$2:$C$301,C189,$D$2:$D$301,"TRABALHA")=0),"⚠ Ninguém do setor trabalhando nesta data. ","")))</f>
        <v/>
      </c>
    </row>
    <row r="190" customFormat="false" ht="15" hidden="false" customHeight="true" outlineLevel="0" collapsed="false">
      <c r="A190" s="54"/>
      <c r="B190" s="54"/>
      <c r="C190" s="53"/>
      <c r="D190" s="54"/>
      <c r="E190" s="54"/>
      <c r="F190" s="55" t="str">
        <f aca="false">IF(A190="","",TRIM(IF(NOT(ISNUMBER(C190)),"⚠ Falta a data. ","")&amp;IF(ISNUMBER(C190),IF(OR(AND(MONTH(C190)=12,DAY(C190)=31),AND(MONTH(C190)=1,DAY(C190)=1)),"","⚠ Data fora do Ano Novo (31/12 ou 01/01). "),"")&amp;IF(AND(ISNUMBER(C190),COUNTIFS($A$2:$A$301,A190,$C$2:$C$301,C190)&gt;1),"⚠ Nome repetido na mesma data. ","")&amp;IF(AND(ISNUMBER(C190),COUNTIFS(FÉRIAS!$A$2:$A$301,A190,FÉRIAS!$C$2:$C$301,"&lt;="&amp;C190,FÉRIAS!$D$2:$D$301,"&gt;="&amp;C190)&gt;0),IF(D190="TRABALHA","⚠ Está de férias e marcado TRABALHA. ","⚠ Já está de férias nesta data. "),"")&amp;IF(AND(ISNUMBER(C190),COUNTIFS(FOLGAS!$A$2:$A$301,A190,FOLGAS!$C$2:$C$301,C190)&gt;0),IF(D190="FOLGA","⚠ Folga também lançada na aba FOLGAS. ",IF(D190="TRABALHA","⚠ Marcado TRABALHA, mas tem folga na aba FOLGAS. ","")),"")&amp;IF(AND(ISNUMBER(C190),D190="FOLGA",B190&lt;&gt;"",COUNTIFS($B$2:$B$301,B190,$C$2:$C$301,C190,$D$2:$D$301,"TRABALHA")=0),"⚠ Ninguém do setor trabalhando nesta data. ","")))</f>
        <v/>
      </c>
    </row>
    <row r="191" customFormat="false" ht="15" hidden="false" customHeight="true" outlineLevel="0" collapsed="false">
      <c r="A191" s="54"/>
      <c r="B191" s="54"/>
      <c r="C191" s="53"/>
      <c r="D191" s="54"/>
      <c r="E191" s="54"/>
      <c r="F191" s="55" t="str">
        <f aca="false">IF(A191="","",TRIM(IF(NOT(ISNUMBER(C191)),"⚠ Falta a data. ","")&amp;IF(ISNUMBER(C191),IF(OR(AND(MONTH(C191)=12,DAY(C191)=31),AND(MONTH(C191)=1,DAY(C191)=1)),"","⚠ Data fora do Ano Novo (31/12 ou 01/01). "),"")&amp;IF(AND(ISNUMBER(C191),COUNTIFS($A$2:$A$301,A191,$C$2:$C$301,C191)&gt;1),"⚠ Nome repetido na mesma data. ","")&amp;IF(AND(ISNUMBER(C191),COUNTIFS(FÉRIAS!$A$2:$A$301,A191,FÉRIAS!$C$2:$C$301,"&lt;="&amp;C191,FÉRIAS!$D$2:$D$301,"&gt;="&amp;C191)&gt;0),IF(D191="TRABALHA","⚠ Está de férias e marcado TRABALHA. ","⚠ Já está de férias nesta data. "),"")&amp;IF(AND(ISNUMBER(C191),COUNTIFS(FOLGAS!$A$2:$A$301,A191,FOLGAS!$C$2:$C$301,C191)&gt;0),IF(D191="FOLGA","⚠ Folga também lançada na aba FOLGAS. ",IF(D191="TRABALHA","⚠ Marcado TRABALHA, mas tem folga na aba FOLGAS. ","")),"")&amp;IF(AND(ISNUMBER(C191),D191="FOLGA",B191&lt;&gt;"",COUNTIFS($B$2:$B$301,B191,$C$2:$C$301,C191,$D$2:$D$301,"TRABALHA")=0),"⚠ Ninguém do setor trabalhando nesta data. ","")))</f>
        <v/>
      </c>
    </row>
    <row r="192" customFormat="false" ht="15" hidden="false" customHeight="true" outlineLevel="0" collapsed="false">
      <c r="A192" s="54"/>
      <c r="B192" s="54"/>
      <c r="C192" s="53"/>
      <c r="D192" s="54"/>
      <c r="E192" s="54"/>
      <c r="F192" s="55" t="str">
        <f aca="false">IF(A192="","",TRIM(IF(NOT(ISNUMBER(C192)),"⚠ Falta a data. ","")&amp;IF(ISNUMBER(C192),IF(OR(AND(MONTH(C192)=12,DAY(C192)=31),AND(MONTH(C192)=1,DAY(C192)=1)),"","⚠ Data fora do Ano Novo (31/12 ou 01/01). "),"")&amp;IF(AND(ISNUMBER(C192),COUNTIFS($A$2:$A$301,A192,$C$2:$C$301,C192)&gt;1),"⚠ Nome repetido na mesma data. ","")&amp;IF(AND(ISNUMBER(C192),COUNTIFS(FÉRIAS!$A$2:$A$301,A192,FÉRIAS!$C$2:$C$301,"&lt;="&amp;C192,FÉRIAS!$D$2:$D$301,"&gt;="&amp;C192)&gt;0),IF(D192="TRABALHA","⚠ Está de férias e marcado TRABALHA. ","⚠ Já está de férias nesta data. "),"")&amp;IF(AND(ISNUMBER(C192),COUNTIFS(FOLGAS!$A$2:$A$301,A192,FOLGAS!$C$2:$C$301,C192)&gt;0),IF(D192="FOLGA","⚠ Folga também lançada na aba FOLGAS. ",IF(D192="TRABALHA","⚠ Marcado TRABALHA, mas tem folga na aba FOLGAS. ","")),"")&amp;IF(AND(ISNUMBER(C192),D192="FOLGA",B192&lt;&gt;"",COUNTIFS($B$2:$B$301,B192,$C$2:$C$301,C192,$D$2:$D$301,"TRABALHA")=0),"⚠ Ninguém do setor trabalhando nesta data. ","")))</f>
        <v/>
      </c>
    </row>
    <row r="193" customFormat="false" ht="15" hidden="false" customHeight="true" outlineLevel="0" collapsed="false">
      <c r="A193" s="54"/>
      <c r="B193" s="54"/>
      <c r="C193" s="53"/>
      <c r="D193" s="54"/>
      <c r="E193" s="54"/>
      <c r="F193" s="55" t="str">
        <f aca="false">IF(A193="","",TRIM(IF(NOT(ISNUMBER(C193)),"⚠ Falta a data. ","")&amp;IF(ISNUMBER(C193),IF(OR(AND(MONTH(C193)=12,DAY(C193)=31),AND(MONTH(C193)=1,DAY(C193)=1)),"","⚠ Data fora do Ano Novo (31/12 ou 01/01). "),"")&amp;IF(AND(ISNUMBER(C193),COUNTIFS($A$2:$A$301,A193,$C$2:$C$301,C193)&gt;1),"⚠ Nome repetido na mesma data. ","")&amp;IF(AND(ISNUMBER(C193),COUNTIFS(FÉRIAS!$A$2:$A$301,A193,FÉRIAS!$C$2:$C$301,"&lt;="&amp;C193,FÉRIAS!$D$2:$D$301,"&gt;="&amp;C193)&gt;0),IF(D193="TRABALHA","⚠ Está de férias e marcado TRABALHA. ","⚠ Já está de férias nesta data. "),"")&amp;IF(AND(ISNUMBER(C193),COUNTIFS(FOLGAS!$A$2:$A$301,A193,FOLGAS!$C$2:$C$301,C193)&gt;0),IF(D193="FOLGA","⚠ Folga também lançada na aba FOLGAS. ",IF(D193="TRABALHA","⚠ Marcado TRABALHA, mas tem folga na aba FOLGAS. ","")),"")&amp;IF(AND(ISNUMBER(C193),D193="FOLGA",B193&lt;&gt;"",COUNTIFS($B$2:$B$301,B193,$C$2:$C$301,C193,$D$2:$D$301,"TRABALHA")=0),"⚠ Ninguém do setor trabalhando nesta data. ","")))</f>
        <v/>
      </c>
    </row>
    <row r="194" customFormat="false" ht="15" hidden="false" customHeight="true" outlineLevel="0" collapsed="false">
      <c r="A194" s="54"/>
      <c r="B194" s="54"/>
      <c r="C194" s="53"/>
      <c r="D194" s="54"/>
      <c r="E194" s="54"/>
      <c r="F194" s="55" t="str">
        <f aca="false">IF(A194="","",TRIM(IF(NOT(ISNUMBER(C194)),"⚠ Falta a data. ","")&amp;IF(ISNUMBER(C194),IF(OR(AND(MONTH(C194)=12,DAY(C194)=31),AND(MONTH(C194)=1,DAY(C194)=1)),"","⚠ Data fora do Ano Novo (31/12 ou 01/01). "),"")&amp;IF(AND(ISNUMBER(C194),COUNTIFS($A$2:$A$301,A194,$C$2:$C$301,C194)&gt;1),"⚠ Nome repetido na mesma data. ","")&amp;IF(AND(ISNUMBER(C194),COUNTIFS(FÉRIAS!$A$2:$A$301,A194,FÉRIAS!$C$2:$C$301,"&lt;="&amp;C194,FÉRIAS!$D$2:$D$301,"&gt;="&amp;C194)&gt;0),IF(D194="TRABALHA","⚠ Está de férias e marcado TRABALHA. ","⚠ Já está de férias nesta data. "),"")&amp;IF(AND(ISNUMBER(C194),COUNTIFS(FOLGAS!$A$2:$A$301,A194,FOLGAS!$C$2:$C$301,C194)&gt;0),IF(D194="FOLGA","⚠ Folga também lançada na aba FOLGAS. ",IF(D194="TRABALHA","⚠ Marcado TRABALHA, mas tem folga na aba FOLGAS. ","")),"")&amp;IF(AND(ISNUMBER(C194),D194="FOLGA",B194&lt;&gt;"",COUNTIFS($B$2:$B$301,B194,$C$2:$C$301,C194,$D$2:$D$301,"TRABALHA")=0),"⚠ Ninguém do setor trabalhando nesta data. ","")))</f>
        <v/>
      </c>
    </row>
    <row r="195" customFormat="false" ht="15" hidden="false" customHeight="true" outlineLevel="0" collapsed="false">
      <c r="A195" s="54"/>
      <c r="B195" s="54"/>
      <c r="C195" s="53"/>
      <c r="D195" s="54"/>
      <c r="E195" s="54"/>
      <c r="F195" s="55" t="str">
        <f aca="false">IF(A195="","",TRIM(IF(NOT(ISNUMBER(C195)),"⚠ Falta a data. ","")&amp;IF(ISNUMBER(C195),IF(OR(AND(MONTH(C195)=12,DAY(C195)=31),AND(MONTH(C195)=1,DAY(C195)=1)),"","⚠ Data fora do Ano Novo (31/12 ou 01/01). "),"")&amp;IF(AND(ISNUMBER(C195),COUNTIFS($A$2:$A$301,A195,$C$2:$C$301,C195)&gt;1),"⚠ Nome repetido na mesma data. ","")&amp;IF(AND(ISNUMBER(C195),COUNTIFS(FÉRIAS!$A$2:$A$301,A195,FÉRIAS!$C$2:$C$301,"&lt;="&amp;C195,FÉRIAS!$D$2:$D$301,"&gt;="&amp;C195)&gt;0),IF(D195="TRABALHA","⚠ Está de férias e marcado TRABALHA. ","⚠ Já está de férias nesta data. "),"")&amp;IF(AND(ISNUMBER(C195),COUNTIFS(FOLGAS!$A$2:$A$301,A195,FOLGAS!$C$2:$C$301,C195)&gt;0),IF(D195="FOLGA","⚠ Folga também lançada na aba FOLGAS. ",IF(D195="TRABALHA","⚠ Marcado TRABALHA, mas tem folga na aba FOLGAS. ","")),"")&amp;IF(AND(ISNUMBER(C195),D195="FOLGA",B195&lt;&gt;"",COUNTIFS($B$2:$B$301,B195,$C$2:$C$301,C195,$D$2:$D$301,"TRABALHA")=0),"⚠ Ninguém do setor trabalhando nesta data. ","")))</f>
        <v/>
      </c>
    </row>
    <row r="196" customFormat="false" ht="15" hidden="false" customHeight="true" outlineLevel="0" collapsed="false">
      <c r="A196" s="54"/>
      <c r="B196" s="54"/>
      <c r="C196" s="53"/>
      <c r="D196" s="54"/>
      <c r="E196" s="54"/>
      <c r="F196" s="55" t="str">
        <f aca="false">IF(A196="","",TRIM(IF(NOT(ISNUMBER(C196)),"⚠ Falta a data. ","")&amp;IF(ISNUMBER(C196),IF(OR(AND(MONTH(C196)=12,DAY(C196)=31),AND(MONTH(C196)=1,DAY(C196)=1)),"","⚠ Data fora do Ano Novo (31/12 ou 01/01). "),"")&amp;IF(AND(ISNUMBER(C196),COUNTIFS($A$2:$A$301,A196,$C$2:$C$301,C196)&gt;1),"⚠ Nome repetido na mesma data. ","")&amp;IF(AND(ISNUMBER(C196),COUNTIFS(FÉRIAS!$A$2:$A$301,A196,FÉRIAS!$C$2:$C$301,"&lt;="&amp;C196,FÉRIAS!$D$2:$D$301,"&gt;="&amp;C196)&gt;0),IF(D196="TRABALHA","⚠ Está de férias e marcado TRABALHA. ","⚠ Já está de férias nesta data. "),"")&amp;IF(AND(ISNUMBER(C196),COUNTIFS(FOLGAS!$A$2:$A$301,A196,FOLGAS!$C$2:$C$301,C196)&gt;0),IF(D196="FOLGA","⚠ Folga também lançada na aba FOLGAS. ",IF(D196="TRABALHA","⚠ Marcado TRABALHA, mas tem folga na aba FOLGAS. ","")),"")&amp;IF(AND(ISNUMBER(C196),D196="FOLGA",B196&lt;&gt;"",COUNTIFS($B$2:$B$301,B196,$C$2:$C$301,C196,$D$2:$D$301,"TRABALHA")=0),"⚠ Ninguém do setor trabalhando nesta data. ","")))</f>
        <v/>
      </c>
    </row>
    <row r="197" customFormat="false" ht="15" hidden="false" customHeight="true" outlineLevel="0" collapsed="false">
      <c r="A197" s="54"/>
      <c r="B197" s="54"/>
      <c r="C197" s="53"/>
      <c r="D197" s="54"/>
      <c r="E197" s="54"/>
      <c r="F197" s="55" t="str">
        <f aca="false">IF(A197="","",TRIM(IF(NOT(ISNUMBER(C197)),"⚠ Falta a data. ","")&amp;IF(ISNUMBER(C197),IF(OR(AND(MONTH(C197)=12,DAY(C197)=31),AND(MONTH(C197)=1,DAY(C197)=1)),"","⚠ Data fora do Ano Novo (31/12 ou 01/01). "),"")&amp;IF(AND(ISNUMBER(C197),COUNTIFS($A$2:$A$301,A197,$C$2:$C$301,C197)&gt;1),"⚠ Nome repetido na mesma data. ","")&amp;IF(AND(ISNUMBER(C197),COUNTIFS(FÉRIAS!$A$2:$A$301,A197,FÉRIAS!$C$2:$C$301,"&lt;="&amp;C197,FÉRIAS!$D$2:$D$301,"&gt;="&amp;C197)&gt;0),IF(D197="TRABALHA","⚠ Está de férias e marcado TRABALHA. ","⚠ Já está de férias nesta data. "),"")&amp;IF(AND(ISNUMBER(C197),COUNTIFS(FOLGAS!$A$2:$A$301,A197,FOLGAS!$C$2:$C$301,C197)&gt;0),IF(D197="FOLGA","⚠ Folga também lançada na aba FOLGAS. ",IF(D197="TRABALHA","⚠ Marcado TRABALHA, mas tem folga na aba FOLGAS. ","")),"")&amp;IF(AND(ISNUMBER(C197),D197="FOLGA",B197&lt;&gt;"",COUNTIFS($B$2:$B$301,B197,$C$2:$C$301,C197,$D$2:$D$301,"TRABALHA")=0),"⚠ Ninguém do setor trabalhando nesta data. ","")))</f>
        <v/>
      </c>
    </row>
    <row r="198" customFormat="false" ht="15" hidden="false" customHeight="true" outlineLevel="0" collapsed="false">
      <c r="A198" s="54"/>
      <c r="B198" s="54"/>
      <c r="C198" s="53"/>
      <c r="D198" s="54"/>
      <c r="E198" s="54"/>
      <c r="F198" s="55" t="str">
        <f aca="false">IF(A198="","",TRIM(IF(NOT(ISNUMBER(C198)),"⚠ Falta a data. ","")&amp;IF(ISNUMBER(C198),IF(OR(AND(MONTH(C198)=12,DAY(C198)=31),AND(MONTH(C198)=1,DAY(C198)=1)),"","⚠ Data fora do Ano Novo (31/12 ou 01/01). "),"")&amp;IF(AND(ISNUMBER(C198),COUNTIFS($A$2:$A$301,A198,$C$2:$C$301,C198)&gt;1),"⚠ Nome repetido na mesma data. ","")&amp;IF(AND(ISNUMBER(C198),COUNTIFS(FÉRIAS!$A$2:$A$301,A198,FÉRIAS!$C$2:$C$301,"&lt;="&amp;C198,FÉRIAS!$D$2:$D$301,"&gt;="&amp;C198)&gt;0),IF(D198="TRABALHA","⚠ Está de férias e marcado TRABALHA. ","⚠ Já está de férias nesta data. "),"")&amp;IF(AND(ISNUMBER(C198),COUNTIFS(FOLGAS!$A$2:$A$301,A198,FOLGAS!$C$2:$C$301,C198)&gt;0),IF(D198="FOLGA","⚠ Folga também lançada na aba FOLGAS. ",IF(D198="TRABALHA","⚠ Marcado TRABALHA, mas tem folga na aba FOLGAS. ","")),"")&amp;IF(AND(ISNUMBER(C198),D198="FOLGA",B198&lt;&gt;"",COUNTIFS($B$2:$B$301,B198,$C$2:$C$301,C198,$D$2:$D$301,"TRABALHA")=0),"⚠ Ninguém do setor trabalhando nesta data. ","")))</f>
        <v/>
      </c>
    </row>
    <row r="199" customFormat="false" ht="15" hidden="false" customHeight="true" outlineLevel="0" collapsed="false">
      <c r="A199" s="54"/>
      <c r="B199" s="54"/>
      <c r="C199" s="53"/>
      <c r="D199" s="54"/>
      <c r="E199" s="54"/>
      <c r="F199" s="55" t="str">
        <f aca="false">IF(A199="","",TRIM(IF(NOT(ISNUMBER(C199)),"⚠ Falta a data. ","")&amp;IF(ISNUMBER(C199),IF(OR(AND(MONTH(C199)=12,DAY(C199)=31),AND(MONTH(C199)=1,DAY(C199)=1)),"","⚠ Data fora do Ano Novo (31/12 ou 01/01). "),"")&amp;IF(AND(ISNUMBER(C199),COUNTIFS($A$2:$A$301,A199,$C$2:$C$301,C199)&gt;1),"⚠ Nome repetido na mesma data. ","")&amp;IF(AND(ISNUMBER(C199),COUNTIFS(FÉRIAS!$A$2:$A$301,A199,FÉRIAS!$C$2:$C$301,"&lt;="&amp;C199,FÉRIAS!$D$2:$D$301,"&gt;="&amp;C199)&gt;0),IF(D199="TRABALHA","⚠ Está de férias e marcado TRABALHA. ","⚠ Já está de férias nesta data. "),"")&amp;IF(AND(ISNUMBER(C199),COUNTIFS(FOLGAS!$A$2:$A$301,A199,FOLGAS!$C$2:$C$301,C199)&gt;0),IF(D199="FOLGA","⚠ Folga também lançada na aba FOLGAS. ",IF(D199="TRABALHA","⚠ Marcado TRABALHA, mas tem folga na aba FOLGAS. ","")),"")&amp;IF(AND(ISNUMBER(C199),D199="FOLGA",B199&lt;&gt;"",COUNTIFS($B$2:$B$301,B199,$C$2:$C$301,C199,$D$2:$D$301,"TRABALHA")=0),"⚠ Ninguém do setor trabalhando nesta data. ","")))</f>
        <v/>
      </c>
    </row>
    <row r="200" customFormat="false" ht="15" hidden="false" customHeight="true" outlineLevel="0" collapsed="false">
      <c r="A200" s="54"/>
      <c r="B200" s="54"/>
      <c r="C200" s="53"/>
      <c r="D200" s="54"/>
      <c r="E200" s="54"/>
      <c r="F200" s="55" t="str">
        <f aca="false">IF(A200="","",TRIM(IF(NOT(ISNUMBER(C200)),"⚠ Falta a data. ","")&amp;IF(ISNUMBER(C200),IF(OR(AND(MONTH(C200)=12,DAY(C200)=31),AND(MONTH(C200)=1,DAY(C200)=1)),"","⚠ Data fora do Ano Novo (31/12 ou 01/01). "),"")&amp;IF(AND(ISNUMBER(C200),COUNTIFS($A$2:$A$301,A200,$C$2:$C$301,C200)&gt;1),"⚠ Nome repetido na mesma data. ","")&amp;IF(AND(ISNUMBER(C200),COUNTIFS(FÉRIAS!$A$2:$A$301,A200,FÉRIAS!$C$2:$C$301,"&lt;="&amp;C200,FÉRIAS!$D$2:$D$301,"&gt;="&amp;C200)&gt;0),IF(D200="TRABALHA","⚠ Está de férias e marcado TRABALHA. ","⚠ Já está de férias nesta data. "),"")&amp;IF(AND(ISNUMBER(C200),COUNTIFS(FOLGAS!$A$2:$A$301,A200,FOLGAS!$C$2:$C$301,C200)&gt;0),IF(D200="FOLGA","⚠ Folga também lançada na aba FOLGAS. ",IF(D200="TRABALHA","⚠ Marcado TRABALHA, mas tem folga na aba FOLGAS. ","")),"")&amp;IF(AND(ISNUMBER(C200),D200="FOLGA",B200&lt;&gt;"",COUNTIFS($B$2:$B$301,B200,$C$2:$C$301,C200,$D$2:$D$301,"TRABALHA")=0),"⚠ Ninguém do setor trabalhando nesta data. ","")))</f>
        <v/>
      </c>
    </row>
    <row r="201" customFormat="false" ht="15" hidden="false" customHeight="true" outlineLevel="0" collapsed="false">
      <c r="A201" s="54"/>
      <c r="B201" s="54"/>
      <c r="C201" s="53"/>
      <c r="D201" s="54"/>
      <c r="E201" s="54"/>
      <c r="F201" s="55" t="str">
        <f aca="false">IF(A201="","",TRIM(IF(NOT(ISNUMBER(C201)),"⚠ Falta a data. ","")&amp;IF(ISNUMBER(C201),IF(OR(AND(MONTH(C201)=12,DAY(C201)=31),AND(MONTH(C201)=1,DAY(C201)=1)),"","⚠ Data fora do Ano Novo (31/12 ou 01/01). "),"")&amp;IF(AND(ISNUMBER(C201),COUNTIFS($A$2:$A$301,A201,$C$2:$C$301,C201)&gt;1),"⚠ Nome repetido na mesma data. ","")&amp;IF(AND(ISNUMBER(C201),COUNTIFS(FÉRIAS!$A$2:$A$301,A201,FÉRIAS!$C$2:$C$301,"&lt;="&amp;C201,FÉRIAS!$D$2:$D$301,"&gt;="&amp;C201)&gt;0),IF(D201="TRABALHA","⚠ Está de férias e marcado TRABALHA. ","⚠ Já está de férias nesta data. "),"")&amp;IF(AND(ISNUMBER(C201),COUNTIFS(FOLGAS!$A$2:$A$301,A201,FOLGAS!$C$2:$C$301,C201)&gt;0),IF(D201="FOLGA","⚠ Folga também lançada na aba FOLGAS. ",IF(D201="TRABALHA","⚠ Marcado TRABALHA, mas tem folga na aba FOLGAS. ","")),"")&amp;IF(AND(ISNUMBER(C201),D201="FOLGA",B201&lt;&gt;"",COUNTIFS($B$2:$B$301,B201,$C$2:$C$301,C201,$D$2:$D$301,"TRABALHA")=0),"⚠ Ninguém do setor trabalhando nesta data. ","")))</f>
        <v/>
      </c>
    </row>
    <row r="202" customFormat="false" ht="15" hidden="false" customHeight="true" outlineLevel="0" collapsed="false">
      <c r="A202" s="54"/>
      <c r="B202" s="54"/>
      <c r="C202" s="53"/>
      <c r="D202" s="54"/>
      <c r="E202" s="54"/>
      <c r="F202" s="55" t="str">
        <f aca="false">IF(A202="","",TRIM(IF(NOT(ISNUMBER(C202)),"⚠ Falta a data. ","")&amp;IF(ISNUMBER(C202),IF(OR(AND(MONTH(C202)=12,DAY(C202)=31),AND(MONTH(C202)=1,DAY(C202)=1)),"","⚠ Data fora do Ano Novo (31/12 ou 01/01). "),"")&amp;IF(AND(ISNUMBER(C202),COUNTIFS($A$2:$A$301,A202,$C$2:$C$301,C202)&gt;1),"⚠ Nome repetido na mesma data. ","")&amp;IF(AND(ISNUMBER(C202),COUNTIFS(FÉRIAS!$A$2:$A$301,A202,FÉRIAS!$C$2:$C$301,"&lt;="&amp;C202,FÉRIAS!$D$2:$D$301,"&gt;="&amp;C202)&gt;0),IF(D202="TRABALHA","⚠ Está de férias e marcado TRABALHA. ","⚠ Já está de férias nesta data. "),"")&amp;IF(AND(ISNUMBER(C202),COUNTIFS(FOLGAS!$A$2:$A$301,A202,FOLGAS!$C$2:$C$301,C202)&gt;0),IF(D202="FOLGA","⚠ Folga também lançada na aba FOLGAS. ",IF(D202="TRABALHA","⚠ Marcado TRABALHA, mas tem folga na aba FOLGAS. ","")),"")&amp;IF(AND(ISNUMBER(C202),D202="FOLGA",B202&lt;&gt;"",COUNTIFS($B$2:$B$301,B202,$C$2:$C$301,C202,$D$2:$D$301,"TRABALHA")=0),"⚠ Ninguém do setor trabalhando nesta data. ","")))</f>
        <v/>
      </c>
    </row>
    <row r="203" customFormat="false" ht="15" hidden="false" customHeight="true" outlineLevel="0" collapsed="false">
      <c r="A203" s="54"/>
      <c r="B203" s="54"/>
      <c r="C203" s="53"/>
      <c r="D203" s="54"/>
      <c r="E203" s="54"/>
      <c r="F203" s="55" t="str">
        <f aca="false">IF(A203="","",TRIM(IF(NOT(ISNUMBER(C203)),"⚠ Falta a data. ","")&amp;IF(ISNUMBER(C203),IF(OR(AND(MONTH(C203)=12,DAY(C203)=31),AND(MONTH(C203)=1,DAY(C203)=1)),"","⚠ Data fora do Ano Novo (31/12 ou 01/01). "),"")&amp;IF(AND(ISNUMBER(C203),COUNTIFS($A$2:$A$301,A203,$C$2:$C$301,C203)&gt;1),"⚠ Nome repetido na mesma data. ","")&amp;IF(AND(ISNUMBER(C203),COUNTIFS(FÉRIAS!$A$2:$A$301,A203,FÉRIAS!$C$2:$C$301,"&lt;="&amp;C203,FÉRIAS!$D$2:$D$301,"&gt;="&amp;C203)&gt;0),IF(D203="TRABALHA","⚠ Está de férias e marcado TRABALHA. ","⚠ Já está de férias nesta data. "),"")&amp;IF(AND(ISNUMBER(C203),COUNTIFS(FOLGAS!$A$2:$A$301,A203,FOLGAS!$C$2:$C$301,C203)&gt;0),IF(D203="FOLGA","⚠ Folga também lançada na aba FOLGAS. ",IF(D203="TRABALHA","⚠ Marcado TRABALHA, mas tem folga na aba FOLGAS. ","")),"")&amp;IF(AND(ISNUMBER(C203),D203="FOLGA",B203&lt;&gt;"",COUNTIFS($B$2:$B$301,B203,$C$2:$C$301,C203,$D$2:$D$301,"TRABALHA")=0),"⚠ Ninguém do setor trabalhando nesta data. ","")))</f>
        <v/>
      </c>
    </row>
    <row r="204" customFormat="false" ht="15" hidden="false" customHeight="true" outlineLevel="0" collapsed="false">
      <c r="A204" s="54"/>
      <c r="B204" s="54"/>
      <c r="C204" s="53"/>
      <c r="D204" s="54"/>
      <c r="E204" s="54"/>
      <c r="F204" s="55" t="str">
        <f aca="false">IF(A204="","",TRIM(IF(NOT(ISNUMBER(C204)),"⚠ Falta a data. ","")&amp;IF(ISNUMBER(C204),IF(OR(AND(MONTH(C204)=12,DAY(C204)=31),AND(MONTH(C204)=1,DAY(C204)=1)),"","⚠ Data fora do Ano Novo (31/12 ou 01/01). "),"")&amp;IF(AND(ISNUMBER(C204),COUNTIFS($A$2:$A$301,A204,$C$2:$C$301,C204)&gt;1),"⚠ Nome repetido na mesma data. ","")&amp;IF(AND(ISNUMBER(C204),COUNTIFS(FÉRIAS!$A$2:$A$301,A204,FÉRIAS!$C$2:$C$301,"&lt;="&amp;C204,FÉRIAS!$D$2:$D$301,"&gt;="&amp;C204)&gt;0),IF(D204="TRABALHA","⚠ Está de férias e marcado TRABALHA. ","⚠ Já está de férias nesta data. "),"")&amp;IF(AND(ISNUMBER(C204),COUNTIFS(FOLGAS!$A$2:$A$301,A204,FOLGAS!$C$2:$C$301,C204)&gt;0),IF(D204="FOLGA","⚠ Folga também lançada na aba FOLGAS. ",IF(D204="TRABALHA","⚠ Marcado TRABALHA, mas tem folga na aba FOLGAS. ","")),"")&amp;IF(AND(ISNUMBER(C204),D204="FOLGA",B204&lt;&gt;"",COUNTIFS($B$2:$B$301,B204,$C$2:$C$301,C204,$D$2:$D$301,"TRABALHA")=0),"⚠ Ninguém do setor trabalhando nesta data. ","")))</f>
        <v/>
      </c>
    </row>
    <row r="205" customFormat="false" ht="15" hidden="false" customHeight="true" outlineLevel="0" collapsed="false">
      <c r="A205" s="54"/>
      <c r="B205" s="54"/>
      <c r="C205" s="53"/>
      <c r="D205" s="54"/>
      <c r="E205" s="54"/>
      <c r="F205" s="55" t="str">
        <f aca="false">IF(A205="","",TRIM(IF(NOT(ISNUMBER(C205)),"⚠ Falta a data. ","")&amp;IF(ISNUMBER(C205),IF(OR(AND(MONTH(C205)=12,DAY(C205)=31),AND(MONTH(C205)=1,DAY(C205)=1)),"","⚠ Data fora do Ano Novo (31/12 ou 01/01). "),"")&amp;IF(AND(ISNUMBER(C205),COUNTIFS($A$2:$A$301,A205,$C$2:$C$301,C205)&gt;1),"⚠ Nome repetido na mesma data. ","")&amp;IF(AND(ISNUMBER(C205),COUNTIFS(FÉRIAS!$A$2:$A$301,A205,FÉRIAS!$C$2:$C$301,"&lt;="&amp;C205,FÉRIAS!$D$2:$D$301,"&gt;="&amp;C205)&gt;0),IF(D205="TRABALHA","⚠ Está de férias e marcado TRABALHA. ","⚠ Já está de férias nesta data. "),"")&amp;IF(AND(ISNUMBER(C205),COUNTIFS(FOLGAS!$A$2:$A$301,A205,FOLGAS!$C$2:$C$301,C205)&gt;0),IF(D205="FOLGA","⚠ Folga também lançada na aba FOLGAS. ",IF(D205="TRABALHA","⚠ Marcado TRABALHA, mas tem folga na aba FOLGAS. ","")),"")&amp;IF(AND(ISNUMBER(C205),D205="FOLGA",B205&lt;&gt;"",COUNTIFS($B$2:$B$301,B205,$C$2:$C$301,C205,$D$2:$D$301,"TRABALHA")=0),"⚠ Ninguém do setor trabalhando nesta data. ","")))</f>
        <v/>
      </c>
    </row>
    <row r="206" customFormat="false" ht="15" hidden="false" customHeight="true" outlineLevel="0" collapsed="false">
      <c r="A206" s="54"/>
      <c r="B206" s="54"/>
      <c r="C206" s="53"/>
      <c r="D206" s="54"/>
      <c r="E206" s="54"/>
      <c r="F206" s="55" t="str">
        <f aca="false">IF(A206="","",TRIM(IF(NOT(ISNUMBER(C206)),"⚠ Falta a data. ","")&amp;IF(ISNUMBER(C206),IF(OR(AND(MONTH(C206)=12,DAY(C206)=31),AND(MONTH(C206)=1,DAY(C206)=1)),"","⚠ Data fora do Ano Novo (31/12 ou 01/01). "),"")&amp;IF(AND(ISNUMBER(C206),COUNTIFS($A$2:$A$301,A206,$C$2:$C$301,C206)&gt;1),"⚠ Nome repetido na mesma data. ","")&amp;IF(AND(ISNUMBER(C206),COUNTIFS(FÉRIAS!$A$2:$A$301,A206,FÉRIAS!$C$2:$C$301,"&lt;="&amp;C206,FÉRIAS!$D$2:$D$301,"&gt;="&amp;C206)&gt;0),IF(D206="TRABALHA","⚠ Está de férias e marcado TRABALHA. ","⚠ Já está de férias nesta data. "),"")&amp;IF(AND(ISNUMBER(C206),COUNTIFS(FOLGAS!$A$2:$A$301,A206,FOLGAS!$C$2:$C$301,C206)&gt;0),IF(D206="FOLGA","⚠ Folga também lançada na aba FOLGAS. ",IF(D206="TRABALHA","⚠ Marcado TRABALHA, mas tem folga na aba FOLGAS. ","")),"")&amp;IF(AND(ISNUMBER(C206),D206="FOLGA",B206&lt;&gt;"",COUNTIFS($B$2:$B$301,B206,$C$2:$C$301,C206,$D$2:$D$301,"TRABALHA")=0),"⚠ Ninguém do setor trabalhando nesta data. ","")))</f>
        <v/>
      </c>
    </row>
    <row r="207" customFormat="false" ht="15" hidden="false" customHeight="true" outlineLevel="0" collapsed="false">
      <c r="A207" s="54"/>
      <c r="B207" s="54"/>
      <c r="C207" s="53"/>
      <c r="D207" s="54"/>
      <c r="E207" s="54"/>
      <c r="F207" s="55" t="str">
        <f aca="false">IF(A207="","",TRIM(IF(NOT(ISNUMBER(C207)),"⚠ Falta a data. ","")&amp;IF(ISNUMBER(C207),IF(OR(AND(MONTH(C207)=12,DAY(C207)=31),AND(MONTH(C207)=1,DAY(C207)=1)),"","⚠ Data fora do Ano Novo (31/12 ou 01/01). "),"")&amp;IF(AND(ISNUMBER(C207),COUNTIFS($A$2:$A$301,A207,$C$2:$C$301,C207)&gt;1),"⚠ Nome repetido na mesma data. ","")&amp;IF(AND(ISNUMBER(C207),COUNTIFS(FÉRIAS!$A$2:$A$301,A207,FÉRIAS!$C$2:$C$301,"&lt;="&amp;C207,FÉRIAS!$D$2:$D$301,"&gt;="&amp;C207)&gt;0),IF(D207="TRABALHA","⚠ Está de férias e marcado TRABALHA. ","⚠ Já está de férias nesta data. "),"")&amp;IF(AND(ISNUMBER(C207),COUNTIFS(FOLGAS!$A$2:$A$301,A207,FOLGAS!$C$2:$C$301,C207)&gt;0),IF(D207="FOLGA","⚠ Folga também lançada na aba FOLGAS. ",IF(D207="TRABALHA","⚠ Marcado TRABALHA, mas tem folga na aba FOLGAS. ","")),"")&amp;IF(AND(ISNUMBER(C207),D207="FOLGA",B207&lt;&gt;"",COUNTIFS($B$2:$B$301,B207,$C$2:$C$301,C207,$D$2:$D$301,"TRABALHA")=0),"⚠ Ninguém do setor trabalhando nesta data. ","")))</f>
        <v/>
      </c>
    </row>
    <row r="208" customFormat="false" ht="15" hidden="false" customHeight="true" outlineLevel="0" collapsed="false">
      <c r="A208" s="54"/>
      <c r="B208" s="54"/>
      <c r="C208" s="53"/>
      <c r="D208" s="54"/>
      <c r="E208" s="54"/>
      <c r="F208" s="55" t="str">
        <f aca="false">IF(A208="","",TRIM(IF(NOT(ISNUMBER(C208)),"⚠ Falta a data. ","")&amp;IF(ISNUMBER(C208),IF(OR(AND(MONTH(C208)=12,DAY(C208)=31),AND(MONTH(C208)=1,DAY(C208)=1)),"","⚠ Data fora do Ano Novo (31/12 ou 01/01). "),"")&amp;IF(AND(ISNUMBER(C208),COUNTIFS($A$2:$A$301,A208,$C$2:$C$301,C208)&gt;1),"⚠ Nome repetido na mesma data. ","")&amp;IF(AND(ISNUMBER(C208),COUNTIFS(FÉRIAS!$A$2:$A$301,A208,FÉRIAS!$C$2:$C$301,"&lt;="&amp;C208,FÉRIAS!$D$2:$D$301,"&gt;="&amp;C208)&gt;0),IF(D208="TRABALHA","⚠ Está de férias e marcado TRABALHA. ","⚠ Já está de férias nesta data. "),"")&amp;IF(AND(ISNUMBER(C208),COUNTIFS(FOLGAS!$A$2:$A$301,A208,FOLGAS!$C$2:$C$301,C208)&gt;0),IF(D208="FOLGA","⚠ Folga também lançada na aba FOLGAS. ",IF(D208="TRABALHA","⚠ Marcado TRABALHA, mas tem folga na aba FOLGAS. ","")),"")&amp;IF(AND(ISNUMBER(C208),D208="FOLGA",B208&lt;&gt;"",COUNTIFS($B$2:$B$301,B208,$C$2:$C$301,C208,$D$2:$D$301,"TRABALHA")=0),"⚠ Ninguém do setor trabalhando nesta data. ","")))</f>
        <v/>
      </c>
    </row>
    <row r="209" customFormat="false" ht="15" hidden="false" customHeight="true" outlineLevel="0" collapsed="false">
      <c r="A209" s="54"/>
      <c r="B209" s="54"/>
      <c r="C209" s="53"/>
      <c r="D209" s="54"/>
      <c r="E209" s="54"/>
      <c r="F209" s="55" t="str">
        <f aca="false">IF(A209="","",TRIM(IF(NOT(ISNUMBER(C209)),"⚠ Falta a data. ","")&amp;IF(ISNUMBER(C209),IF(OR(AND(MONTH(C209)=12,DAY(C209)=31),AND(MONTH(C209)=1,DAY(C209)=1)),"","⚠ Data fora do Ano Novo (31/12 ou 01/01). "),"")&amp;IF(AND(ISNUMBER(C209),COUNTIFS($A$2:$A$301,A209,$C$2:$C$301,C209)&gt;1),"⚠ Nome repetido na mesma data. ","")&amp;IF(AND(ISNUMBER(C209),COUNTIFS(FÉRIAS!$A$2:$A$301,A209,FÉRIAS!$C$2:$C$301,"&lt;="&amp;C209,FÉRIAS!$D$2:$D$301,"&gt;="&amp;C209)&gt;0),IF(D209="TRABALHA","⚠ Está de férias e marcado TRABALHA. ","⚠ Já está de férias nesta data. "),"")&amp;IF(AND(ISNUMBER(C209),COUNTIFS(FOLGAS!$A$2:$A$301,A209,FOLGAS!$C$2:$C$301,C209)&gt;0),IF(D209="FOLGA","⚠ Folga também lançada na aba FOLGAS. ",IF(D209="TRABALHA","⚠ Marcado TRABALHA, mas tem folga na aba FOLGAS. ","")),"")&amp;IF(AND(ISNUMBER(C209),D209="FOLGA",B209&lt;&gt;"",COUNTIFS($B$2:$B$301,B209,$C$2:$C$301,C209,$D$2:$D$301,"TRABALHA")=0),"⚠ Ninguém do setor trabalhando nesta data. ","")))</f>
        <v/>
      </c>
    </row>
    <row r="210" customFormat="false" ht="15" hidden="false" customHeight="true" outlineLevel="0" collapsed="false">
      <c r="A210" s="54"/>
      <c r="B210" s="54"/>
      <c r="C210" s="53"/>
      <c r="D210" s="54"/>
      <c r="E210" s="54"/>
      <c r="F210" s="55" t="str">
        <f aca="false">IF(A210="","",TRIM(IF(NOT(ISNUMBER(C210)),"⚠ Falta a data. ","")&amp;IF(ISNUMBER(C210),IF(OR(AND(MONTH(C210)=12,DAY(C210)=31),AND(MONTH(C210)=1,DAY(C210)=1)),"","⚠ Data fora do Ano Novo (31/12 ou 01/01). "),"")&amp;IF(AND(ISNUMBER(C210),COUNTIFS($A$2:$A$301,A210,$C$2:$C$301,C210)&gt;1),"⚠ Nome repetido na mesma data. ","")&amp;IF(AND(ISNUMBER(C210),COUNTIFS(FÉRIAS!$A$2:$A$301,A210,FÉRIAS!$C$2:$C$301,"&lt;="&amp;C210,FÉRIAS!$D$2:$D$301,"&gt;="&amp;C210)&gt;0),IF(D210="TRABALHA","⚠ Está de férias e marcado TRABALHA. ","⚠ Já está de férias nesta data. "),"")&amp;IF(AND(ISNUMBER(C210),COUNTIFS(FOLGAS!$A$2:$A$301,A210,FOLGAS!$C$2:$C$301,C210)&gt;0),IF(D210="FOLGA","⚠ Folga também lançada na aba FOLGAS. ",IF(D210="TRABALHA","⚠ Marcado TRABALHA, mas tem folga na aba FOLGAS. ","")),"")&amp;IF(AND(ISNUMBER(C210),D210="FOLGA",B210&lt;&gt;"",COUNTIFS($B$2:$B$301,B210,$C$2:$C$301,C210,$D$2:$D$301,"TRABALHA")=0),"⚠ Ninguém do setor trabalhando nesta data. ","")))</f>
        <v/>
      </c>
    </row>
    <row r="211" customFormat="false" ht="15" hidden="false" customHeight="true" outlineLevel="0" collapsed="false">
      <c r="A211" s="54"/>
      <c r="B211" s="54"/>
      <c r="C211" s="53"/>
      <c r="D211" s="54"/>
      <c r="E211" s="54"/>
      <c r="F211" s="55" t="str">
        <f aca="false">IF(A211="","",TRIM(IF(NOT(ISNUMBER(C211)),"⚠ Falta a data. ","")&amp;IF(ISNUMBER(C211),IF(OR(AND(MONTH(C211)=12,DAY(C211)=31),AND(MONTH(C211)=1,DAY(C211)=1)),"","⚠ Data fora do Ano Novo (31/12 ou 01/01). "),"")&amp;IF(AND(ISNUMBER(C211),COUNTIFS($A$2:$A$301,A211,$C$2:$C$301,C211)&gt;1),"⚠ Nome repetido na mesma data. ","")&amp;IF(AND(ISNUMBER(C211),COUNTIFS(FÉRIAS!$A$2:$A$301,A211,FÉRIAS!$C$2:$C$301,"&lt;="&amp;C211,FÉRIAS!$D$2:$D$301,"&gt;="&amp;C211)&gt;0),IF(D211="TRABALHA","⚠ Está de férias e marcado TRABALHA. ","⚠ Já está de férias nesta data. "),"")&amp;IF(AND(ISNUMBER(C211),COUNTIFS(FOLGAS!$A$2:$A$301,A211,FOLGAS!$C$2:$C$301,C211)&gt;0),IF(D211="FOLGA","⚠ Folga também lançada na aba FOLGAS. ",IF(D211="TRABALHA","⚠ Marcado TRABALHA, mas tem folga na aba FOLGAS. ","")),"")&amp;IF(AND(ISNUMBER(C211),D211="FOLGA",B211&lt;&gt;"",COUNTIFS($B$2:$B$301,B211,$C$2:$C$301,C211,$D$2:$D$301,"TRABALHA")=0),"⚠ Ninguém do setor trabalhando nesta data. ","")))</f>
        <v/>
      </c>
    </row>
    <row r="212" customFormat="false" ht="15" hidden="false" customHeight="true" outlineLevel="0" collapsed="false">
      <c r="A212" s="54"/>
      <c r="B212" s="54"/>
      <c r="C212" s="53"/>
      <c r="D212" s="54"/>
      <c r="E212" s="54"/>
      <c r="F212" s="55" t="str">
        <f aca="false">IF(A212="","",TRIM(IF(NOT(ISNUMBER(C212)),"⚠ Falta a data. ","")&amp;IF(ISNUMBER(C212),IF(OR(AND(MONTH(C212)=12,DAY(C212)=31),AND(MONTH(C212)=1,DAY(C212)=1)),"","⚠ Data fora do Ano Novo (31/12 ou 01/01). "),"")&amp;IF(AND(ISNUMBER(C212),COUNTIFS($A$2:$A$301,A212,$C$2:$C$301,C212)&gt;1),"⚠ Nome repetido na mesma data. ","")&amp;IF(AND(ISNUMBER(C212),COUNTIFS(FÉRIAS!$A$2:$A$301,A212,FÉRIAS!$C$2:$C$301,"&lt;="&amp;C212,FÉRIAS!$D$2:$D$301,"&gt;="&amp;C212)&gt;0),IF(D212="TRABALHA","⚠ Está de férias e marcado TRABALHA. ","⚠ Já está de férias nesta data. "),"")&amp;IF(AND(ISNUMBER(C212),COUNTIFS(FOLGAS!$A$2:$A$301,A212,FOLGAS!$C$2:$C$301,C212)&gt;0),IF(D212="FOLGA","⚠ Folga também lançada na aba FOLGAS. ",IF(D212="TRABALHA","⚠ Marcado TRABALHA, mas tem folga na aba FOLGAS. ","")),"")&amp;IF(AND(ISNUMBER(C212),D212="FOLGA",B212&lt;&gt;"",COUNTIFS($B$2:$B$301,B212,$C$2:$C$301,C212,$D$2:$D$301,"TRABALHA")=0),"⚠ Ninguém do setor trabalhando nesta data. ","")))</f>
        <v/>
      </c>
    </row>
    <row r="213" customFormat="false" ht="15" hidden="false" customHeight="true" outlineLevel="0" collapsed="false">
      <c r="A213" s="54"/>
      <c r="B213" s="54"/>
      <c r="C213" s="53"/>
      <c r="D213" s="54"/>
      <c r="E213" s="54"/>
      <c r="F213" s="55" t="str">
        <f aca="false">IF(A213="","",TRIM(IF(NOT(ISNUMBER(C213)),"⚠ Falta a data. ","")&amp;IF(ISNUMBER(C213),IF(OR(AND(MONTH(C213)=12,DAY(C213)=31),AND(MONTH(C213)=1,DAY(C213)=1)),"","⚠ Data fora do Ano Novo (31/12 ou 01/01). "),"")&amp;IF(AND(ISNUMBER(C213),COUNTIFS($A$2:$A$301,A213,$C$2:$C$301,C213)&gt;1),"⚠ Nome repetido na mesma data. ","")&amp;IF(AND(ISNUMBER(C213),COUNTIFS(FÉRIAS!$A$2:$A$301,A213,FÉRIAS!$C$2:$C$301,"&lt;="&amp;C213,FÉRIAS!$D$2:$D$301,"&gt;="&amp;C213)&gt;0),IF(D213="TRABALHA","⚠ Está de férias e marcado TRABALHA. ","⚠ Já está de férias nesta data. "),"")&amp;IF(AND(ISNUMBER(C213),COUNTIFS(FOLGAS!$A$2:$A$301,A213,FOLGAS!$C$2:$C$301,C213)&gt;0),IF(D213="FOLGA","⚠ Folga também lançada na aba FOLGAS. ",IF(D213="TRABALHA","⚠ Marcado TRABALHA, mas tem folga na aba FOLGAS. ","")),"")&amp;IF(AND(ISNUMBER(C213),D213="FOLGA",B213&lt;&gt;"",COUNTIFS($B$2:$B$301,B213,$C$2:$C$301,C213,$D$2:$D$301,"TRABALHA")=0),"⚠ Ninguém do setor trabalhando nesta data. ","")))</f>
        <v/>
      </c>
    </row>
    <row r="214" customFormat="false" ht="15" hidden="false" customHeight="true" outlineLevel="0" collapsed="false">
      <c r="A214" s="54"/>
      <c r="B214" s="54"/>
      <c r="C214" s="53"/>
      <c r="D214" s="54"/>
      <c r="E214" s="54"/>
      <c r="F214" s="55" t="str">
        <f aca="false">IF(A214="","",TRIM(IF(NOT(ISNUMBER(C214)),"⚠ Falta a data. ","")&amp;IF(ISNUMBER(C214),IF(OR(AND(MONTH(C214)=12,DAY(C214)=31),AND(MONTH(C214)=1,DAY(C214)=1)),"","⚠ Data fora do Ano Novo (31/12 ou 01/01). "),"")&amp;IF(AND(ISNUMBER(C214),COUNTIFS($A$2:$A$301,A214,$C$2:$C$301,C214)&gt;1),"⚠ Nome repetido na mesma data. ","")&amp;IF(AND(ISNUMBER(C214),COUNTIFS(FÉRIAS!$A$2:$A$301,A214,FÉRIAS!$C$2:$C$301,"&lt;="&amp;C214,FÉRIAS!$D$2:$D$301,"&gt;="&amp;C214)&gt;0),IF(D214="TRABALHA","⚠ Está de férias e marcado TRABALHA. ","⚠ Já está de férias nesta data. "),"")&amp;IF(AND(ISNUMBER(C214),COUNTIFS(FOLGAS!$A$2:$A$301,A214,FOLGAS!$C$2:$C$301,C214)&gt;0),IF(D214="FOLGA","⚠ Folga também lançada na aba FOLGAS. ",IF(D214="TRABALHA","⚠ Marcado TRABALHA, mas tem folga na aba FOLGAS. ","")),"")&amp;IF(AND(ISNUMBER(C214),D214="FOLGA",B214&lt;&gt;"",COUNTIFS($B$2:$B$301,B214,$C$2:$C$301,C214,$D$2:$D$301,"TRABALHA")=0),"⚠ Ninguém do setor trabalhando nesta data. ","")))</f>
        <v/>
      </c>
    </row>
    <row r="215" customFormat="false" ht="15" hidden="false" customHeight="true" outlineLevel="0" collapsed="false">
      <c r="A215" s="54"/>
      <c r="B215" s="54"/>
      <c r="C215" s="53"/>
      <c r="D215" s="54"/>
      <c r="E215" s="54"/>
      <c r="F215" s="55" t="str">
        <f aca="false">IF(A215="","",TRIM(IF(NOT(ISNUMBER(C215)),"⚠ Falta a data. ","")&amp;IF(ISNUMBER(C215),IF(OR(AND(MONTH(C215)=12,DAY(C215)=31),AND(MONTH(C215)=1,DAY(C215)=1)),"","⚠ Data fora do Ano Novo (31/12 ou 01/01). "),"")&amp;IF(AND(ISNUMBER(C215),COUNTIFS($A$2:$A$301,A215,$C$2:$C$301,C215)&gt;1),"⚠ Nome repetido na mesma data. ","")&amp;IF(AND(ISNUMBER(C215),COUNTIFS(FÉRIAS!$A$2:$A$301,A215,FÉRIAS!$C$2:$C$301,"&lt;="&amp;C215,FÉRIAS!$D$2:$D$301,"&gt;="&amp;C215)&gt;0),IF(D215="TRABALHA","⚠ Está de férias e marcado TRABALHA. ","⚠ Já está de férias nesta data. "),"")&amp;IF(AND(ISNUMBER(C215),COUNTIFS(FOLGAS!$A$2:$A$301,A215,FOLGAS!$C$2:$C$301,C215)&gt;0),IF(D215="FOLGA","⚠ Folga também lançada na aba FOLGAS. ",IF(D215="TRABALHA","⚠ Marcado TRABALHA, mas tem folga na aba FOLGAS. ","")),"")&amp;IF(AND(ISNUMBER(C215),D215="FOLGA",B215&lt;&gt;"",COUNTIFS($B$2:$B$301,B215,$C$2:$C$301,C215,$D$2:$D$301,"TRABALHA")=0),"⚠ Ninguém do setor trabalhando nesta data. ","")))</f>
        <v/>
      </c>
    </row>
    <row r="216" customFormat="false" ht="15" hidden="false" customHeight="true" outlineLevel="0" collapsed="false">
      <c r="A216" s="54"/>
      <c r="B216" s="54"/>
      <c r="C216" s="53"/>
      <c r="D216" s="54"/>
      <c r="E216" s="54"/>
      <c r="F216" s="55" t="str">
        <f aca="false">IF(A216="","",TRIM(IF(NOT(ISNUMBER(C216)),"⚠ Falta a data. ","")&amp;IF(ISNUMBER(C216),IF(OR(AND(MONTH(C216)=12,DAY(C216)=31),AND(MONTH(C216)=1,DAY(C216)=1)),"","⚠ Data fora do Ano Novo (31/12 ou 01/01). "),"")&amp;IF(AND(ISNUMBER(C216),COUNTIFS($A$2:$A$301,A216,$C$2:$C$301,C216)&gt;1),"⚠ Nome repetido na mesma data. ","")&amp;IF(AND(ISNUMBER(C216),COUNTIFS(FÉRIAS!$A$2:$A$301,A216,FÉRIAS!$C$2:$C$301,"&lt;="&amp;C216,FÉRIAS!$D$2:$D$301,"&gt;="&amp;C216)&gt;0),IF(D216="TRABALHA","⚠ Está de férias e marcado TRABALHA. ","⚠ Já está de férias nesta data. "),"")&amp;IF(AND(ISNUMBER(C216),COUNTIFS(FOLGAS!$A$2:$A$301,A216,FOLGAS!$C$2:$C$301,C216)&gt;0),IF(D216="FOLGA","⚠ Folga também lançada na aba FOLGAS. ",IF(D216="TRABALHA","⚠ Marcado TRABALHA, mas tem folga na aba FOLGAS. ","")),"")&amp;IF(AND(ISNUMBER(C216),D216="FOLGA",B216&lt;&gt;"",COUNTIFS($B$2:$B$301,B216,$C$2:$C$301,C216,$D$2:$D$301,"TRABALHA")=0),"⚠ Ninguém do setor trabalhando nesta data. ","")))</f>
        <v/>
      </c>
    </row>
    <row r="217" customFormat="false" ht="15" hidden="false" customHeight="true" outlineLevel="0" collapsed="false">
      <c r="A217" s="54"/>
      <c r="B217" s="54"/>
      <c r="C217" s="53"/>
      <c r="D217" s="54"/>
      <c r="E217" s="54"/>
      <c r="F217" s="55" t="str">
        <f aca="false">IF(A217="","",TRIM(IF(NOT(ISNUMBER(C217)),"⚠ Falta a data. ","")&amp;IF(ISNUMBER(C217),IF(OR(AND(MONTH(C217)=12,DAY(C217)=31),AND(MONTH(C217)=1,DAY(C217)=1)),"","⚠ Data fora do Ano Novo (31/12 ou 01/01). "),"")&amp;IF(AND(ISNUMBER(C217),COUNTIFS($A$2:$A$301,A217,$C$2:$C$301,C217)&gt;1),"⚠ Nome repetido na mesma data. ","")&amp;IF(AND(ISNUMBER(C217),COUNTIFS(FÉRIAS!$A$2:$A$301,A217,FÉRIAS!$C$2:$C$301,"&lt;="&amp;C217,FÉRIAS!$D$2:$D$301,"&gt;="&amp;C217)&gt;0),IF(D217="TRABALHA","⚠ Está de férias e marcado TRABALHA. ","⚠ Já está de férias nesta data. "),"")&amp;IF(AND(ISNUMBER(C217),COUNTIFS(FOLGAS!$A$2:$A$301,A217,FOLGAS!$C$2:$C$301,C217)&gt;0),IF(D217="FOLGA","⚠ Folga também lançada na aba FOLGAS. ",IF(D217="TRABALHA","⚠ Marcado TRABALHA, mas tem folga na aba FOLGAS. ","")),"")&amp;IF(AND(ISNUMBER(C217),D217="FOLGA",B217&lt;&gt;"",COUNTIFS($B$2:$B$301,B217,$C$2:$C$301,C217,$D$2:$D$301,"TRABALHA")=0),"⚠ Ninguém do setor trabalhando nesta data. ","")))</f>
        <v/>
      </c>
    </row>
    <row r="218" customFormat="false" ht="15" hidden="false" customHeight="true" outlineLevel="0" collapsed="false">
      <c r="A218" s="54"/>
      <c r="B218" s="54"/>
      <c r="C218" s="53"/>
      <c r="D218" s="54"/>
      <c r="E218" s="54"/>
      <c r="F218" s="55" t="str">
        <f aca="false">IF(A218="","",TRIM(IF(NOT(ISNUMBER(C218)),"⚠ Falta a data. ","")&amp;IF(ISNUMBER(C218),IF(OR(AND(MONTH(C218)=12,DAY(C218)=31),AND(MONTH(C218)=1,DAY(C218)=1)),"","⚠ Data fora do Ano Novo (31/12 ou 01/01). "),"")&amp;IF(AND(ISNUMBER(C218),COUNTIFS($A$2:$A$301,A218,$C$2:$C$301,C218)&gt;1),"⚠ Nome repetido na mesma data. ","")&amp;IF(AND(ISNUMBER(C218),COUNTIFS(FÉRIAS!$A$2:$A$301,A218,FÉRIAS!$C$2:$C$301,"&lt;="&amp;C218,FÉRIAS!$D$2:$D$301,"&gt;="&amp;C218)&gt;0),IF(D218="TRABALHA","⚠ Está de férias e marcado TRABALHA. ","⚠ Já está de férias nesta data. "),"")&amp;IF(AND(ISNUMBER(C218),COUNTIFS(FOLGAS!$A$2:$A$301,A218,FOLGAS!$C$2:$C$301,C218)&gt;0),IF(D218="FOLGA","⚠ Folga também lançada na aba FOLGAS. ",IF(D218="TRABALHA","⚠ Marcado TRABALHA, mas tem folga na aba FOLGAS. ","")),"")&amp;IF(AND(ISNUMBER(C218),D218="FOLGA",B218&lt;&gt;"",COUNTIFS($B$2:$B$301,B218,$C$2:$C$301,C218,$D$2:$D$301,"TRABALHA")=0),"⚠ Ninguém do setor trabalhando nesta data. ","")))</f>
        <v/>
      </c>
    </row>
    <row r="219" customFormat="false" ht="15" hidden="false" customHeight="true" outlineLevel="0" collapsed="false">
      <c r="A219" s="54"/>
      <c r="B219" s="54"/>
      <c r="C219" s="53"/>
      <c r="D219" s="54"/>
      <c r="E219" s="54"/>
      <c r="F219" s="55" t="str">
        <f aca="false">IF(A219="","",TRIM(IF(NOT(ISNUMBER(C219)),"⚠ Falta a data. ","")&amp;IF(ISNUMBER(C219),IF(OR(AND(MONTH(C219)=12,DAY(C219)=31),AND(MONTH(C219)=1,DAY(C219)=1)),"","⚠ Data fora do Ano Novo (31/12 ou 01/01). "),"")&amp;IF(AND(ISNUMBER(C219),COUNTIFS($A$2:$A$301,A219,$C$2:$C$301,C219)&gt;1),"⚠ Nome repetido na mesma data. ","")&amp;IF(AND(ISNUMBER(C219),COUNTIFS(FÉRIAS!$A$2:$A$301,A219,FÉRIAS!$C$2:$C$301,"&lt;="&amp;C219,FÉRIAS!$D$2:$D$301,"&gt;="&amp;C219)&gt;0),IF(D219="TRABALHA","⚠ Está de férias e marcado TRABALHA. ","⚠ Já está de férias nesta data. "),"")&amp;IF(AND(ISNUMBER(C219),COUNTIFS(FOLGAS!$A$2:$A$301,A219,FOLGAS!$C$2:$C$301,C219)&gt;0),IF(D219="FOLGA","⚠ Folga também lançada na aba FOLGAS. ",IF(D219="TRABALHA","⚠ Marcado TRABALHA, mas tem folga na aba FOLGAS. ","")),"")&amp;IF(AND(ISNUMBER(C219),D219="FOLGA",B219&lt;&gt;"",COUNTIFS($B$2:$B$301,B219,$C$2:$C$301,C219,$D$2:$D$301,"TRABALHA")=0),"⚠ Ninguém do setor trabalhando nesta data. ","")))</f>
        <v/>
      </c>
    </row>
    <row r="220" customFormat="false" ht="15" hidden="false" customHeight="true" outlineLevel="0" collapsed="false">
      <c r="A220" s="54"/>
      <c r="B220" s="54"/>
      <c r="C220" s="53"/>
      <c r="D220" s="54"/>
      <c r="E220" s="54"/>
      <c r="F220" s="55" t="str">
        <f aca="false">IF(A220="","",TRIM(IF(NOT(ISNUMBER(C220)),"⚠ Falta a data. ","")&amp;IF(ISNUMBER(C220),IF(OR(AND(MONTH(C220)=12,DAY(C220)=31),AND(MONTH(C220)=1,DAY(C220)=1)),"","⚠ Data fora do Ano Novo (31/12 ou 01/01). "),"")&amp;IF(AND(ISNUMBER(C220),COUNTIFS($A$2:$A$301,A220,$C$2:$C$301,C220)&gt;1),"⚠ Nome repetido na mesma data. ","")&amp;IF(AND(ISNUMBER(C220),COUNTIFS(FÉRIAS!$A$2:$A$301,A220,FÉRIAS!$C$2:$C$301,"&lt;="&amp;C220,FÉRIAS!$D$2:$D$301,"&gt;="&amp;C220)&gt;0),IF(D220="TRABALHA","⚠ Está de férias e marcado TRABALHA. ","⚠ Já está de férias nesta data. "),"")&amp;IF(AND(ISNUMBER(C220),COUNTIFS(FOLGAS!$A$2:$A$301,A220,FOLGAS!$C$2:$C$301,C220)&gt;0),IF(D220="FOLGA","⚠ Folga também lançada na aba FOLGAS. ",IF(D220="TRABALHA","⚠ Marcado TRABALHA, mas tem folga na aba FOLGAS. ","")),"")&amp;IF(AND(ISNUMBER(C220),D220="FOLGA",B220&lt;&gt;"",COUNTIFS($B$2:$B$301,B220,$C$2:$C$301,C220,$D$2:$D$301,"TRABALHA")=0),"⚠ Ninguém do setor trabalhando nesta data. ","")))</f>
        <v/>
      </c>
    </row>
    <row r="221" customFormat="false" ht="15" hidden="false" customHeight="true" outlineLevel="0" collapsed="false">
      <c r="A221" s="54"/>
      <c r="B221" s="54"/>
      <c r="C221" s="53"/>
      <c r="D221" s="54"/>
      <c r="E221" s="54"/>
      <c r="F221" s="55" t="str">
        <f aca="false">IF(A221="","",TRIM(IF(NOT(ISNUMBER(C221)),"⚠ Falta a data. ","")&amp;IF(ISNUMBER(C221),IF(OR(AND(MONTH(C221)=12,DAY(C221)=31),AND(MONTH(C221)=1,DAY(C221)=1)),"","⚠ Data fora do Ano Novo (31/12 ou 01/01). "),"")&amp;IF(AND(ISNUMBER(C221),COUNTIFS($A$2:$A$301,A221,$C$2:$C$301,C221)&gt;1),"⚠ Nome repetido na mesma data. ","")&amp;IF(AND(ISNUMBER(C221),COUNTIFS(FÉRIAS!$A$2:$A$301,A221,FÉRIAS!$C$2:$C$301,"&lt;="&amp;C221,FÉRIAS!$D$2:$D$301,"&gt;="&amp;C221)&gt;0),IF(D221="TRABALHA","⚠ Está de férias e marcado TRABALHA. ","⚠ Já está de férias nesta data. "),"")&amp;IF(AND(ISNUMBER(C221),COUNTIFS(FOLGAS!$A$2:$A$301,A221,FOLGAS!$C$2:$C$301,C221)&gt;0),IF(D221="FOLGA","⚠ Folga também lançada na aba FOLGAS. ",IF(D221="TRABALHA","⚠ Marcado TRABALHA, mas tem folga na aba FOLGAS. ","")),"")&amp;IF(AND(ISNUMBER(C221),D221="FOLGA",B221&lt;&gt;"",COUNTIFS($B$2:$B$301,B221,$C$2:$C$301,C221,$D$2:$D$301,"TRABALHA")=0),"⚠ Ninguém do setor trabalhando nesta data. ","")))</f>
        <v/>
      </c>
    </row>
    <row r="222" customFormat="false" ht="15" hidden="false" customHeight="true" outlineLevel="0" collapsed="false">
      <c r="A222" s="54"/>
      <c r="B222" s="54"/>
      <c r="C222" s="53"/>
      <c r="D222" s="54"/>
      <c r="E222" s="54"/>
      <c r="F222" s="55" t="str">
        <f aca="false">IF(A222="","",TRIM(IF(NOT(ISNUMBER(C222)),"⚠ Falta a data. ","")&amp;IF(ISNUMBER(C222),IF(OR(AND(MONTH(C222)=12,DAY(C222)=31),AND(MONTH(C222)=1,DAY(C222)=1)),"","⚠ Data fora do Ano Novo (31/12 ou 01/01). "),"")&amp;IF(AND(ISNUMBER(C222),COUNTIFS($A$2:$A$301,A222,$C$2:$C$301,C222)&gt;1),"⚠ Nome repetido na mesma data. ","")&amp;IF(AND(ISNUMBER(C222),COUNTIFS(FÉRIAS!$A$2:$A$301,A222,FÉRIAS!$C$2:$C$301,"&lt;="&amp;C222,FÉRIAS!$D$2:$D$301,"&gt;="&amp;C222)&gt;0),IF(D222="TRABALHA","⚠ Está de férias e marcado TRABALHA. ","⚠ Já está de férias nesta data. "),"")&amp;IF(AND(ISNUMBER(C222),COUNTIFS(FOLGAS!$A$2:$A$301,A222,FOLGAS!$C$2:$C$301,C222)&gt;0),IF(D222="FOLGA","⚠ Folga também lançada na aba FOLGAS. ",IF(D222="TRABALHA","⚠ Marcado TRABALHA, mas tem folga na aba FOLGAS. ","")),"")&amp;IF(AND(ISNUMBER(C222),D222="FOLGA",B222&lt;&gt;"",COUNTIFS($B$2:$B$301,B222,$C$2:$C$301,C222,$D$2:$D$301,"TRABALHA")=0),"⚠ Ninguém do setor trabalhando nesta data. ","")))</f>
        <v/>
      </c>
    </row>
    <row r="223" customFormat="false" ht="15" hidden="false" customHeight="true" outlineLevel="0" collapsed="false">
      <c r="A223" s="54"/>
      <c r="B223" s="54"/>
      <c r="C223" s="53"/>
      <c r="D223" s="54"/>
      <c r="E223" s="54"/>
      <c r="F223" s="55" t="str">
        <f aca="false">IF(A223="","",TRIM(IF(NOT(ISNUMBER(C223)),"⚠ Falta a data. ","")&amp;IF(ISNUMBER(C223),IF(OR(AND(MONTH(C223)=12,DAY(C223)=31),AND(MONTH(C223)=1,DAY(C223)=1)),"","⚠ Data fora do Ano Novo (31/12 ou 01/01). "),"")&amp;IF(AND(ISNUMBER(C223),COUNTIFS($A$2:$A$301,A223,$C$2:$C$301,C223)&gt;1),"⚠ Nome repetido na mesma data. ","")&amp;IF(AND(ISNUMBER(C223),COUNTIFS(FÉRIAS!$A$2:$A$301,A223,FÉRIAS!$C$2:$C$301,"&lt;="&amp;C223,FÉRIAS!$D$2:$D$301,"&gt;="&amp;C223)&gt;0),IF(D223="TRABALHA","⚠ Está de férias e marcado TRABALHA. ","⚠ Já está de férias nesta data. "),"")&amp;IF(AND(ISNUMBER(C223),COUNTIFS(FOLGAS!$A$2:$A$301,A223,FOLGAS!$C$2:$C$301,C223)&gt;0),IF(D223="FOLGA","⚠ Folga também lançada na aba FOLGAS. ",IF(D223="TRABALHA","⚠ Marcado TRABALHA, mas tem folga na aba FOLGAS. ","")),"")&amp;IF(AND(ISNUMBER(C223),D223="FOLGA",B223&lt;&gt;"",COUNTIFS($B$2:$B$301,B223,$C$2:$C$301,C223,$D$2:$D$301,"TRABALHA")=0),"⚠ Ninguém do setor trabalhando nesta data. ","")))</f>
        <v/>
      </c>
    </row>
    <row r="224" customFormat="false" ht="15" hidden="false" customHeight="true" outlineLevel="0" collapsed="false">
      <c r="A224" s="54"/>
      <c r="B224" s="54"/>
      <c r="C224" s="53"/>
      <c r="D224" s="54"/>
      <c r="E224" s="54"/>
      <c r="F224" s="55" t="str">
        <f aca="false">IF(A224="","",TRIM(IF(NOT(ISNUMBER(C224)),"⚠ Falta a data. ","")&amp;IF(ISNUMBER(C224),IF(OR(AND(MONTH(C224)=12,DAY(C224)=31),AND(MONTH(C224)=1,DAY(C224)=1)),"","⚠ Data fora do Ano Novo (31/12 ou 01/01). "),"")&amp;IF(AND(ISNUMBER(C224),COUNTIFS($A$2:$A$301,A224,$C$2:$C$301,C224)&gt;1),"⚠ Nome repetido na mesma data. ","")&amp;IF(AND(ISNUMBER(C224),COUNTIFS(FÉRIAS!$A$2:$A$301,A224,FÉRIAS!$C$2:$C$301,"&lt;="&amp;C224,FÉRIAS!$D$2:$D$301,"&gt;="&amp;C224)&gt;0),IF(D224="TRABALHA","⚠ Está de férias e marcado TRABALHA. ","⚠ Já está de férias nesta data. "),"")&amp;IF(AND(ISNUMBER(C224),COUNTIFS(FOLGAS!$A$2:$A$301,A224,FOLGAS!$C$2:$C$301,C224)&gt;0),IF(D224="FOLGA","⚠ Folga também lançada na aba FOLGAS. ",IF(D224="TRABALHA","⚠ Marcado TRABALHA, mas tem folga na aba FOLGAS. ","")),"")&amp;IF(AND(ISNUMBER(C224),D224="FOLGA",B224&lt;&gt;"",COUNTIFS($B$2:$B$301,B224,$C$2:$C$301,C224,$D$2:$D$301,"TRABALHA")=0),"⚠ Ninguém do setor trabalhando nesta data. ","")))</f>
        <v/>
      </c>
    </row>
    <row r="225" customFormat="false" ht="15" hidden="false" customHeight="true" outlineLevel="0" collapsed="false">
      <c r="A225" s="54"/>
      <c r="B225" s="54"/>
      <c r="C225" s="53"/>
      <c r="D225" s="54"/>
      <c r="E225" s="54"/>
      <c r="F225" s="55" t="str">
        <f aca="false">IF(A225="","",TRIM(IF(NOT(ISNUMBER(C225)),"⚠ Falta a data. ","")&amp;IF(ISNUMBER(C225),IF(OR(AND(MONTH(C225)=12,DAY(C225)=31),AND(MONTH(C225)=1,DAY(C225)=1)),"","⚠ Data fora do Ano Novo (31/12 ou 01/01). "),"")&amp;IF(AND(ISNUMBER(C225),COUNTIFS($A$2:$A$301,A225,$C$2:$C$301,C225)&gt;1),"⚠ Nome repetido na mesma data. ","")&amp;IF(AND(ISNUMBER(C225),COUNTIFS(FÉRIAS!$A$2:$A$301,A225,FÉRIAS!$C$2:$C$301,"&lt;="&amp;C225,FÉRIAS!$D$2:$D$301,"&gt;="&amp;C225)&gt;0),IF(D225="TRABALHA","⚠ Está de férias e marcado TRABALHA. ","⚠ Já está de férias nesta data. "),"")&amp;IF(AND(ISNUMBER(C225),COUNTIFS(FOLGAS!$A$2:$A$301,A225,FOLGAS!$C$2:$C$301,C225)&gt;0),IF(D225="FOLGA","⚠ Folga também lançada na aba FOLGAS. ",IF(D225="TRABALHA","⚠ Marcado TRABALHA, mas tem folga na aba FOLGAS. ","")),"")&amp;IF(AND(ISNUMBER(C225),D225="FOLGA",B225&lt;&gt;"",COUNTIFS($B$2:$B$301,B225,$C$2:$C$301,C225,$D$2:$D$301,"TRABALHA")=0),"⚠ Ninguém do setor trabalhando nesta data. ","")))</f>
        <v/>
      </c>
    </row>
    <row r="226" customFormat="false" ht="15" hidden="false" customHeight="true" outlineLevel="0" collapsed="false">
      <c r="A226" s="54"/>
      <c r="B226" s="54"/>
      <c r="C226" s="53"/>
      <c r="D226" s="54"/>
      <c r="E226" s="54"/>
      <c r="F226" s="55" t="str">
        <f aca="false">IF(A226="","",TRIM(IF(NOT(ISNUMBER(C226)),"⚠ Falta a data. ","")&amp;IF(ISNUMBER(C226),IF(OR(AND(MONTH(C226)=12,DAY(C226)=31),AND(MONTH(C226)=1,DAY(C226)=1)),"","⚠ Data fora do Ano Novo (31/12 ou 01/01). "),"")&amp;IF(AND(ISNUMBER(C226),COUNTIFS($A$2:$A$301,A226,$C$2:$C$301,C226)&gt;1),"⚠ Nome repetido na mesma data. ","")&amp;IF(AND(ISNUMBER(C226),COUNTIFS(FÉRIAS!$A$2:$A$301,A226,FÉRIAS!$C$2:$C$301,"&lt;="&amp;C226,FÉRIAS!$D$2:$D$301,"&gt;="&amp;C226)&gt;0),IF(D226="TRABALHA","⚠ Está de férias e marcado TRABALHA. ","⚠ Já está de férias nesta data. "),"")&amp;IF(AND(ISNUMBER(C226),COUNTIFS(FOLGAS!$A$2:$A$301,A226,FOLGAS!$C$2:$C$301,C226)&gt;0),IF(D226="FOLGA","⚠ Folga também lançada na aba FOLGAS. ",IF(D226="TRABALHA","⚠ Marcado TRABALHA, mas tem folga na aba FOLGAS. ","")),"")&amp;IF(AND(ISNUMBER(C226),D226="FOLGA",B226&lt;&gt;"",COUNTIFS($B$2:$B$301,B226,$C$2:$C$301,C226,$D$2:$D$301,"TRABALHA")=0),"⚠ Ninguém do setor trabalhando nesta data. ","")))</f>
        <v/>
      </c>
    </row>
    <row r="227" customFormat="false" ht="15" hidden="false" customHeight="true" outlineLevel="0" collapsed="false">
      <c r="A227" s="54"/>
      <c r="B227" s="54"/>
      <c r="C227" s="53"/>
      <c r="D227" s="54"/>
      <c r="E227" s="54"/>
      <c r="F227" s="55" t="str">
        <f aca="false">IF(A227="","",TRIM(IF(NOT(ISNUMBER(C227)),"⚠ Falta a data. ","")&amp;IF(ISNUMBER(C227),IF(OR(AND(MONTH(C227)=12,DAY(C227)=31),AND(MONTH(C227)=1,DAY(C227)=1)),"","⚠ Data fora do Ano Novo (31/12 ou 01/01). "),"")&amp;IF(AND(ISNUMBER(C227),COUNTIFS($A$2:$A$301,A227,$C$2:$C$301,C227)&gt;1),"⚠ Nome repetido na mesma data. ","")&amp;IF(AND(ISNUMBER(C227),COUNTIFS(FÉRIAS!$A$2:$A$301,A227,FÉRIAS!$C$2:$C$301,"&lt;="&amp;C227,FÉRIAS!$D$2:$D$301,"&gt;="&amp;C227)&gt;0),IF(D227="TRABALHA","⚠ Está de férias e marcado TRABALHA. ","⚠ Já está de férias nesta data. "),"")&amp;IF(AND(ISNUMBER(C227),COUNTIFS(FOLGAS!$A$2:$A$301,A227,FOLGAS!$C$2:$C$301,C227)&gt;0),IF(D227="FOLGA","⚠ Folga também lançada na aba FOLGAS. ",IF(D227="TRABALHA","⚠ Marcado TRABALHA, mas tem folga na aba FOLGAS. ","")),"")&amp;IF(AND(ISNUMBER(C227),D227="FOLGA",B227&lt;&gt;"",COUNTIFS($B$2:$B$301,B227,$C$2:$C$301,C227,$D$2:$D$301,"TRABALHA")=0),"⚠ Ninguém do setor trabalhando nesta data. ","")))</f>
        <v/>
      </c>
    </row>
    <row r="228" customFormat="false" ht="15" hidden="false" customHeight="true" outlineLevel="0" collapsed="false">
      <c r="A228" s="54"/>
      <c r="B228" s="54"/>
      <c r="C228" s="53"/>
      <c r="D228" s="54"/>
      <c r="E228" s="54"/>
      <c r="F228" s="55" t="str">
        <f aca="false">IF(A228="","",TRIM(IF(NOT(ISNUMBER(C228)),"⚠ Falta a data. ","")&amp;IF(ISNUMBER(C228),IF(OR(AND(MONTH(C228)=12,DAY(C228)=31),AND(MONTH(C228)=1,DAY(C228)=1)),"","⚠ Data fora do Ano Novo (31/12 ou 01/01). "),"")&amp;IF(AND(ISNUMBER(C228),COUNTIFS($A$2:$A$301,A228,$C$2:$C$301,C228)&gt;1),"⚠ Nome repetido na mesma data. ","")&amp;IF(AND(ISNUMBER(C228),COUNTIFS(FÉRIAS!$A$2:$A$301,A228,FÉRIAS!$C$2:$C$301,"&lt;="&amp;C228,FÉRIAS!$D$2:$D$301,"&gt;="&amp;C228)&gt;0),IF(D228="TRABALHA","⚠ Está de férias e marcado TRABALHA. ","⚠ Já está de férias nesta data. "),"")&amp;IF(AND(ISNUMBER(C228),COUNTIFS(FOLGAS!$A$2:$A$301,A228,FOLGAS!$C$2:$C$301,C228)&gt;0),IF(D228="FOLGA","⚠ Folga também lançada na aba FOLGAS. ",IF(D228="TRABALHA","⚠ Marcado TRABALHA, mas tem folga na aba FOLGAS. ","")),"")&amp;IF(AND(ISNUMBER(C228),D228="FOLGA",B228&lt;&gt;"",COUNTIFS($B$2:$B$301,B228,$C$2:$C$301,C228,$D$2:$D$301,"TRABALHA")=0),"⚠ Ninguém do setor trabalhando nesta data. ","")))</f>
        <v/>
      </c>
    </row>
    <row r="229" customFormat="false" ht="15" hidden="false" customHeight="true" outlineLevel="0" collapsed="false">
      <c r="A229" s="54"/>
      <c r="B229" s="54"/>
      <c r="C229" s="53"/>
      <c r="D229" s="54"/>
      <c r="E229" s="54"/>
      <c r="F229" s="55" t="str">
        <f aca="false">IF(A229="","",TRIM(IF(NOT(ISNUMBER(C229)),"⚠ Falta a data. ","")&amp;IF(ISNUMBER(C229),IF(OR(AND(MONTH(C229)=12,DAY(C229)=31),AND(MONTH(C229)=1,DAY(C229)=1)),"","⚠ Data fora do Ano Novo (31/12 ou 01/01). "),"")&amp;IF(AND(ISNUMBER(C229),COUNTIFS($A$2:$A$301,A229,$C$2:$C$301,C229)&gt;1),"⚠ Nome repetido na mesma data. ","")&amp;IF(AND(ISNUMBER(C229),COUNTIFS(FÉRIAS!$A$2:$A$301,A229,FÉRIAS!$C$2:$C$301,"&lt;="&amp;C229,FÉRIAS!$D$2:$D$301,"&gt;="&amp;C229)&gt;0),IF(D229="TRABALHA","⚠ Está de férias e marcado TRABALHA. ","⚠ Já está de férias nesta data. "),"")&amp;IF(AND(ISNUMBER(C229),COUNTIFS(FOLGAS!$A$2:$A$301,A229,FOLGAS!$C$2:$C$301,C229)&gt;0),IF(D229="FOLGA","⚠ Folga também lançada na aba FOLGAS. ",IF(D229="TRABALHA","⚠ Marcado TRABALHA, mas tem folga na aba FOLGAS. ","")),"")&amp;IF(AND(ISNUMBER(C229),D229="FOLGA",B229&lt;&gt;"",COUNTIFS($B$2:$B$301,B229,$C$2:$C$301,C229,$D$2:$D$301,"TRABALHA")=0),"⚠ Ninguém do setor trabalhando nesta data. ","")))</f>
        <v/>
      </c>
    </row>
    <row r="230" customFormat="false" ht="15" hidden="false" customHeight="true" outlineLevel="0" collapsed="false">
      <c r="A230" s="54"/>
      <c r="B230" s="54"/>
      <c r="C230" s="53"/>
      <c r="D230" s="54"/>
      <c r="E230" s="54"/>
      <c r="F230" s="55" t="str">
        <f aca="false">IF(A230="","",TRIM(IF(NOT(ISNUMBER(C230)),"⚠ Falta a data. ","")&amp;IF(ISNUMBER(C230),IF(OR(AND(MONTH(C230)=12,DAY(C230)=31),AND(MONTH(C230)=1,DAY(C230)=1)),"","⚠ Data fora do Ano Novo (31/12 ou 01/01). "),"")&amp;IF(AND(ISNUMBER(C230),COUNTIFS($A$2:$A$301,A230,$C$2:$C$301,C230)&gt;1),"⚠ Nome repetido na mesma data. ","")&amp;IF(AND(ISNUMBER(C230),COUNTIFS(FÉRIAS!$A$2:$A$301,A230,FÉRIAS!$C$2:$C$301,"&lt;="&amp;C230,FÉRIAS!$D$2:$D$301,"&gt;="&amp;C230)&gt;0),IF(D230="TRABALHA","⚠ Está de férias e marcado TRABALHA. ","⚠ Já está de férias nesta data. "),"")&amp;IF(AND(ISNUMBER(C230),COUNTIFS(FOLGAS!$A$2:$A$301,A230,FOLGAS!$C$2:$C$301,C230)&gt;0),IF(D230="FOLGA","⚠ Folga também lançada na aba FOLGAS. ",IF(D230="TRABALHA","⚠ Marcado TRABALHA, mas tem folga na aba FOLGAS. ","")),"")&amp;IF(AND(ISNUMBER(C230),D230="FOLGA",B230&lt;&gt;"",COUNTIFS($B$2:$B$301,B230,$C$2:$C$301,C230,$D$2:$D$301,"TRABALHA")=0),"⚠ Ninguém do setor trabalhando nesta data. ","")))</f>
        <v/>
      </c>
    </row>
    <row r="231" customFormat="false" ht="15" hidden="false" customHeight="true" outlineLevel="0" collapsed="false">
      <c r="A231" s="54"/>
      <c r="B231" s="54"/>
      <c r="C231" s="53"/>
      <c r="D231" s="54"/>
      <c r="E231" s="54"/>
      <c r="F231" s="55" t="str">
        <f aca="false">IF(A231="","",TRIM(IF(NOT(ISNUMBER(C231)),"⚠ Falta a data. ","")&amp;IF(ISNUMBER(C231),IF(OR(AND(MONTH(C231)=12,DAY(C231)=31),AND(MONTH(C231)=1,DAY(C231)=1)),"","⚠ Data fora do Ano Novo (31/12 ou 01/01). "),"")&amp;IF(AND(ISNUMBER(C231),COUNTIFS($A$2:$A$301,A231,$C$2:$C$301,C231)&gt;1),"⚠ Nome repetido na mesma data. ","")&amp;IF(AND(ISNUMBER(C231),COUNTIFS(FÉRIAS!$A$2:$A$301,A231,FÉRIAS!$C$2:$C$301,"&lt;="&amp;C231,FÉRIAS!$D$2:$D$301,"&gt;="&amp;C231)&gt;0),IF(D231="TRABALHA","⚠ Está de férias e marcado TRABALHA. ","⚠ Já está de férias nesta data. "),"")&amp;IF(AND(ISNUMBER(C231),COUNTIFS(FOLGAS!$A$2:$A$301,A231,FOLGAS!$C$2:$C$301,C231)&gt;0),IF(D231="FOLGA","⚠ Folga também lançada na aba FOLGAS. ",IF(D231="TRABALHA","⚠ Marcado TRABALHA, mas tem folga na aba FOLGAS. ","")),"")&amp;IF(AND(ISNUMBER(C231),D231="FOLGA",B231&lt;&gt;"",COUNTIFS($B$2:$B$301,B231,$C$2:$C$301,C231,$D$2:$D$301,"TRABALHA")=0),"⚠ Ninguém do setor trabalhando nesta data. ","")))</f>
        <v/>
      </c>
    </row>
    <row r="232" customFormat="false" ht="15" hidden="false" customHeight="true" outlineLevel="0" collapsed="false">
      <c r="A232" s="54"/>
      <c r="B232" s="54"/>
      <c r="C232" s="53"/>
      <c r="D232" s="54"/>
      <c r="E232" s="54"/>
      <c r="F232" s="55" t="str">
        <f aca="false">IF(A232="","",TRIM(IF(NOT(ISNUMBER(C232)),"⚠ Falta a data. ","")&amp;IF(ISNUMBER(C232),IF(OR(AND(MONTH(C232)=12,DAY(C232)=31),AND(MONTH(C232)=1,DAY(C232)=1)),"","⚠ Data fora do Ano Novo (31/12 ou 01/01). "),"")&amp;IF(AND(ISNUMBER(C232),COUNTIFS($A$2:$A$301,A232,$C$2:$C$301,C232)&gt;1),"⚠ Nome repetido na mesma data. ","")&amp;IF(AND(ISNUMBER(C232),COUNTIFS(FÉRIAS!$A$2:$A$301,A232,FÉRIAS!$C$2:$C$301,"&lt;="&amp;C232,FÉRIAS!$D$2:$D$301,"&gt;="&amp;C232)&gt;0),IF(D232="TRABALHA","⚠ Está de férias e marcado TRABALHA. ","⚠ Já está de férias nesta data. "),"")&amp;IF(AND(ISNUMBER(C232),COUNTIFS(FOLGAS!$A$2:$A$301,A232,FOLGAS!$C$2:$C$301,C232)&gt;0),IF(D232="FOLGA","⚠ Folga também lançada na aba FOLGAS. ",IF(D232="TRABALHA","⚠ Marcado TRABALHA, mas tem folga na aba FOLGAS. ","")),"")&amp;IF(AND(ISNUMBER(C232),D232="FOLGA",B232&lt;&gt;"",COUNTIFS($B$2:$B$301,B232,$C$2:$C$301,C232,$D$2:$D$301,"TRABALHA")=0),"⚠ Ninguém do setor trabalhando nesta data. ","")))</f>
        <v/>
      </c>
    </row>
    <row r="233" customFormat="false" ht="15" hidden="false" customHeight="true" outlineLevel="0" collapsed="false">
      <c r="A233" s="54"/>
      <c r="B233" s="54"/>
      <c r="C233" s="53"/>
      <c r="D233" s="54"/>
      <c r="E233" s="54"/>
      <c r="F233" s="55" t="str">
        <f aca="false">IF(A233="","",TRIM(IF(NOT(ISNUMBER(C233)),"⚠ Falta a data. ","")&amp;IF(ISNUMBER(C233),IF(OR(AND(MONTH(C233)=12,DAY(C233)=31),AND(MONTH(C233)=1,DAY(C233)=1)),"","⚠ Data fora do Ano Novo (31/12 ou 01/01). "),"")&amp;IF(AND(ISNUMBER(C233),COUNTIFS($A$2:$A$301,A233,$C$2:$C$301,C233)&gt;1),"⚠ Nome repetido na mesma data. ","")&amp;IF(AND(ISNUMBER(C233),COUNTIFS(FÉRIAS!$A$2:$A$301,A233,FÉRIAS!$C$2:$C$301,"&lt;="&amp;C233,FÉRIAS!$D$2:$D$301,"&gt;="&amp;C233)&gt;0),IF(D233="TRABALHA","⚠ Está de férias e marcado TRABALHA. ","⚠ Já está de férias nesta data. "),"")&amp;IF(AND(ISNUMBER(C233),COUNTIFS(FOLGAS!$A$2:$A$301,A233,FOLGAS!$C$2:$C$301,C233)&gt;0),IF(D233="FOLGA","⚠ Folga também lançada na aba FOLGAS. ",IF(D233="TRABALHA","⚠ Marcado TRABALHA, mas tem folga na aba FOLGAS. ","")),"")&amp;IF(AND(ISNUMBER(C233),D233="FOLGA",B233&lt;&gt;"",COUNTIFS($B$2:$B$301,B233,$C$2:$C$301,C233,$D$2:$D$301,"TRABALHA")=0),"⚠ Ninguém do setor trabalhando nesta data. ","")))</f>
        <v/>
      </c>
    </row>
    <row r="234" customFormat="false" ht="15" hidden="false" customHeight="true" outlineLevel="0" collapsed="false">
      <c r="A234" s="54"/>
      <c r="B234" s="54"/>
      <c r="C234" s="53"/>
      <c r="D234" s="54"/>
      <c r="E234" s="54"/>
      <c r="F234" s="55" t="str">
        <f aca="false">IF(A234="","",TRIM(IF(NOT(ISNUMBER(C234)),"⚠ Falta a data. ","")&amp;IF(ISNUMBER(C234),IF(OR(AND(MONTH(C234)=12,DAY(C234)=31),AND(MONTH(C234)=1,DAY(C234)=1)),"","⚠ Data fora do Ano Novo (31/12 ou 01/01). "),"")&amp;IF(AND(ISNUMBER(C234),COUNTIFS($A$2:$A$301,A234,$C$2:$C$301,C234)&gt;1),"⚠ Nome repetido na mesma data. ","")&amp;IF(AND(ISNUMBER(C234),COUNTIFS(FÉRIAS!$A$2:$A$301,A234,FÉRIAS!$C$2:$C$301,"&lt;="&amp;C234,FÉRIAS!$D$2:$D$301,"&gt;="&amp;C234)&gt;0),IF(D234="TRABALHA","⚠ Está de férias e marcado TRABALHA. ","⚠ Já está de férias nesta data. "),"")&amp;IF(AND(ISNUMBER(C234),COUNTIFS(FOLGAS!$A$2:$A$301,A234,FOLGAS!$C$2:$C$301,C234)&gt;0),IF(D234="FOLGA","⚠ Folga também lançada na aba FOLGAS. ",IF(D234="TRABALHA","⚠ Marcado TRABALHA, mas tem folga na aba FOLGAS. ","")),"")&amp;IF(AND(ISNUMBER(C234),D234="FOLGA",B234&lt;&gt;"",COUNTIFS($B$2:$B$301,B234,$C$2:$C$301,C234,$D$2:$D$301,"TRABALHA")=0),"⚠ Ninguém do setor trabalhando nesta data. ","")))</f>
        <v/>
      </c>
    </row>
    <row r="235" customFormat="false" ht="15" hidden="false" customHeight="true" outlineLevel="0" collapsed="false">
      <c r="A235" s="54"/>
      <c r="B235" s="54"/>
      <c r="C235" s="53"/>
      <c r="D235" s="54"/>
      <c r="E235" s="54"/>
      <c r="F235" s="55" t="str">
        <f aca="false">IF(A235="","",TRIM(IF(NOT(ISNUMBER(C235)),"⚠ Falta a data. ","")&amp;IF(ISNUMBER(C235),IF(OR(AND(MONTH(C235)=12,DAY(C235)=31),AND(MONTH(C235)=1,DAY(C235)=1)),"","⚠ Data fora do Ano Novo (31/12 ou 01/01). "),"")&amp;IF(AND(ISNUMBER(C235),COUNTIFS($A$2:$A$301,A235,$C$2:$C$301,C235)&gt;1),"⚠ Nome repetido na mesma data. ","")&amp;IF(AND(ISNUMBER(C235),COUNTIFS(FÉRIAS!$A$2:$A$301,A235,FÉRIAS!$C$2:$C$301,"&lt;="&amp;C235,FÉRIAS!$D$2:$D$301,"&gt;="&amp;C235)&gt;0),IF(D235="TRABALHA","⚠ Está de férias e marcado TRABALHA. ","⚠ Já está de férias nesta data. "),"")&amp;IF(AND(ISNUMBER(C235),COUNTIFS(FOLGAS!$A$2:$A$301,A235,FOLGAS!$C$2:$C$301,C235)&gt;0),IF(D235="FOLGA","⚠ Folga também lançada na aba FOLGAS. ",IF(D235="TRABALHA","⚠ Marcado TRABALHA, mas tem folga na aba FOLGAS. ","")),"")&amp;IF(AND(ISNUMBER(C235),D235="FOLGA",B235&lt;&gt;"",COUNTIFS($B$2:$B$301,B235,$C$2:$C$301,C235,$D$2:$D$301,"TRABALHA")=0),"⚠ Ninguém do setor trabalhando nesta data. ","")))</f>
        <v/>
      </c>
    </row>
    <row r="236" customFormat="false" ht="15" hidden="false" customHeight="true" outlineLevel="0" collapsed="false">
      <c r="A236" s="54"/>
      <c r="B236" s="54"/>
      <c r="C236" s="53"/>
      <c r="D236" s="54"/>
      <c r="E236" s="54"/>
      <c r="F236" s="55" t="str">
        <f aca="false">IF(A236="","",TRIM(IF(NOT(ISNUMBER(C236)),"⚠ Falta a data. ","")&amp;IF(ISNUMBER(C236),IF(OR(AND(MONTH(C236)=12,DAY(C236)=31),AND(MONTH(C236)=1,DAY(C236)=1)),"","⚠ Data fora do Ano Novo (31/12 ou 01/01). "),"")&amp;IF(AND(ISNUMBER(C236),COUNTIFS($A$2:$A$301,A236,$C$2:$C$301,C236)&gt;1),"⚠ Nome repetido na mesma data. ","")&amp;IF(AND(ISNUMBER(C236),COUNTIFS(FÉRIAS!$A$2:$A$301,A236,FÉRIAS!$C$2:$C$301,"&lt;="&amp;C236,FÉRIAS!$D$2:$D$301,"&gt;="&amp;C236)&gt;0),IF(D236="TRABALHA","⚠ Está de férias e marcado TRABALHA. ","⚠ Já está de férias nesta data. "),"")&amp;IF(AND(ISNUMBER(C236),COUNTIFS(FOLGAS!$A$2:$A$301,A236,FOLGAS!$C$2:$C$301,C236)&gt;0),IF(D236="FOLGA","⚠ Folga também lançada na aba FOLGAS. ",IF(D236="TRABALHA","⚠ Marcado TRABALHA, mas tem folga na aba FOLGAS. ","")),"")&amp;IF(AND(ISNUMBER(C236),D236="FOLGA",B236&lt;&gt;"",COUNTIFS($B$2:$B$301,B236,$C$2:$C$301,C236,$D$2:$D$301,"TRABALHA")=0),"⚠ Ninguém do setor trabalhando nesta data. ","")))</f>
        <v/>
      </c>
    </row>
    <row r="237" customFormat="false" ht="15" hidden="false" customHeight="true" outlineLevel="0" collapsed="false">
      <c r="A237" s="54"/>
      <c r="B237" s="54"/>
      <c r="C237" s="53"/>
      <c r="D237" s="54"/>
      <c r="E237" s="54"/>
      <c r="F237" s="55" t="str">
        <f aca="false">IF(A237="","",TRIM(IF(NOT(ISNUMBER(C237)),"⚠ Falta a data. ","")&amp;IF(ISNUMBER(C237),IF(OR(AND(MONTH(C237)=12,DAY(C237)=31),AND(MONTH(C237)=1,DAY(C237)=1)),"","⚠ Data fora do Ano Novo (31/12 ou 01/01). "),"")&amp;IF(AND(ISNUMBER(C237),COUNTIFS($A$2:$A$301,A237,$C$2:$C$301,C237)&gt;1),"⚠ Nome repetido na mesma data. ","")&amp;IF(AND(ISNUMBER(C237),COUNTIFS(FÉRIAS!$A$2:$A$301,A237,FÉRIAS!$C$2:$C$301,"&lt;="&amp;C237,FÉRIAS!$D$2:$D$301,"&gt;="&amp;C237)&gt;0),IF(D237="TRABALHA","⚠ Está de férias e marcado TRABALHA. ","⚠ Já está de férias nesta data. "),"")&amp;IF(AND(ISNUMBER(C237),COUNTIFS(FOLGAS!$A$2:$A$301,A237,FOLGAS!$C$2:$C$301,C237)&gt;0),IF(D237="FOLGA","⚠ Folga também lançada na aba FOLGAS. ",IF(D237="TRABALHA","⚠ Marcado TRABALHA, mas tem folga na aba FOLGAS. ","")),"")&amp;IF(AND(ISNUMBER(C237),D237="FOLGA",B237&lt;&gt;"",COUNTIFS($B$2:$B$301,B237,$C$2:$C$301,C237,$D$2:$D$301,"TRABALHA")=0),"⚠ Ninguém do setor trabalhando nesta data. ","")))</f>
        <v/>
      </c>
    </row>
    <row r="238" customFormat="false" ht="15" hidden="false" customHeight="true" outlineLevel="0" collapsed="false">
      <c r="A238" s="54"/>
      <c r="B238" s="54"/>
      <c r="C238" s="53"/>
      <c r="D238" s="54"/>
      <c r="E238" s="54"/>
      <c r="F238" s="55" t="str">
        <f aca="false">IF(A238="","",TRIM(IF(NOT(ISNUMBER(C238)),"⚠ Falta a data. ","")&amp;IF(ISNUMBER(C238),IF(OR(AND(MONTH(C238)=12,DAY(C238)=31),AND(MONTH(C238)=1,DAY(C238)=1)),"","⚠ Data fora do Ano Novo (31/12 ou 01/01). "),"")&amp;IF(AND(ISNUMBER(C238),COUNTIFS($A$2:$A$301,A238,$C$2:$C$301,C238)&gt;1),"⚠ Nome repetido na mesma data. ","")&amp;IF(AND(ISNUMBER(C238),COUNTIFS(FÉRIAS!$A$2:$A$301,A238,FÉRIAS!$C$2:$C$301,"&lt;="&amp;C238,FÉRIAS!$D$2:$D$301,"&gt;="&amp;C238)&gt;0),IF(D238="TRABALHA","⚠ Está de férias e marcado TRABALHA. ","⚠ Já está de férias nesta data. "),"")&amp;IF(AND(ISNUMBER(C238),COUNTIFS(FOLGAS!$A$2:$A$301,A238,FOLGAS!$C$2:$C$301,C238)&gt;0),IF(D238="FOLGA","⚠ Folga também lançada na aba FOLGAS. ",IF(D238="TRABALHA","⚠ Marcado TRABALHA, mas tem folga na aba FOLGAS. ","")),"")&amp;IF(AND(ISNUMBER(C238),D238="FOLGA",B238&lt;&gt;"",COUNTIFS($B$2:$B$301,B238,$C$2:$C$301,C238,$D$2:$D$301,"TRABALHA")=0),"⚠ Ninguém do setor trabalhando nesta data. ","")))</f>
        <v/>
      </c>
    </row>
    <row r="239" customFormat="false" ht="15" hidden="false" customHeight="true" outlineLevel="0" collapsed="false">
      <c r="A239" s="54"/>
      <c r="B239" s="54"/>
      <c r="C239" s="53"/>
      <c r="D239" s="54"/>
      <c r="E239" s="54"/>
      <c r="F239" s="55" t="str">
        <f aca="false">IF(A239="","",TRIM(IF(NOT(ISNUMBER(C239)),"⚠ Falta a data. ","")&amp;IF(ISNUMBER(C239),IF(OR(AND(MONTH(C239)=12,DAY(C239)=31),AND(MONTH(C239)=1,DAY(C239)=1)),"","⚠ Data fora do Ano Novo (31/12 ou 01/01). "),"")&amp;IF(AND(ISNUMBER(C239),COUNTIFS($A$2:$A$301,A239,$C$2:$C$301,C239)&gt;1),"⚠ Nome repetido na mesma data. ","")&amp;IF(AND(ISNUMBER(C239),COUNTIFS(FÉRIAS!$A$2:$A$301,A239,FÉRIAS!$C$2:$C$301,"&lt;="&amp;C239,FÉRIAS!$D$2:$D$301,"&gt;="&amp;C239)&gt;0),IF(D239="TRABALHA","⚠ Está de férias e marcado TRABALHA. ","⚠ Já está de férias nesta data. "),"")&amp;IF(AND(ISNUMBER(C239),COUNTIFS(FOLGAS!$A$2:$A$301,A239,FOLGAS!$C$2:$C$301,C239)&gt;0),IF(D239="FOLGA","⚠ Folga também lançada na aba FOLGAS. ",IF(D239="TRABALHA","⚠ Marcado TRABALHA, mas tem folga na aba FOLGAS. ","")),"")&amp;IF(AND(ISNUMBER(C239),D239="FOLGA",B239&lt;&gt;"",COUNTIFS($B$2:$B$301,B239,$C$2:$C$301,C239,$D$2:$D$301,"TRABALHA")=0),"⚠ Ninguém do setor trabalhando nesta data. ","")))</f>
        <v/>
      </c>
    </row>
    <row r="240" customFormat="false" ht="15" hidden="false" customHeight="true" outlineLevel="0" collapsed="false">
      <c r="A240" s="54"/>
      <c r="B240" s="54"/>
      <c r="C240" s="53"/>
      <c r="D240" s="54"/>
      <c r="E240" s="54"/>
      <c r="F240" s="55" t="str">
        <f aca="false">IF(A240="","",TRIM(IF(NOT(ISNUMBER(C240)),"⚠ Falta a data. ","")&amp;IF(ISNUMBER(C240),IF(OR(AND(MONTH(C240)=12,DAY(C240)=31),AND(MONTH(C240)=1,DAY(C240)=1)),"","⚠ Data fora do Ano Novo (31/12 ou 01/01). "),"")&amp;IF(AND(ISNUMBER(C240),COUNTIFS($A$2:$A$301,A240,$C$2:$C$301,C240)&gt;1),"⚠ Nome repetido na mesma data. ","")&amp;IF(AND(ISNUMBER(C240),COUNTIFS(FÉRIAS!$A$2:$A$301,A240,FÉRIAS!$C$2:$C$301,"&lt;="&amp;C240,FÉRIAS!$D$2:$D$301,"&gt;="&amp;C240)&gt;0),IF(D240="TRABALHA","⚠ Está de férias e marcado TRABALHA. ","⚠ Já está de férias nesta data. "),"")&amp;IF(AND(ISNUMBER(C240),COUNTIFS(FOLGAS!$A$2:$A$301,A240,FOLGAS!$C$2:$C$301,C240)&gt;0),IF(D240="FOLGA","⚠ Folga também lançada na aba FOLGAS. ",IF(D240="TRABALHA","⚠ Marcado TRABALHA, mas tem folga na aba FOLGAS. ","")),"")&amp;IF(AND(ISNUMBER(C240),D240="FOLGA",B240&lt;&gt;"",COUNTIFS($B$2:$B$301,B240,$C$2:$C$301,C240,$D$2:$D$301,"TRABALHA")=0),"⚠ Ninguém do setor trabalhando nesta data. ","")))</f>
        <v/>
      </c>
    </row>
    <row r="241" customFormat="false" ht="15" hidden="false" customHeight="true" outlineLevel="0" collapsed="false">
      <c r="A241" s="54"/>
      <c r="B241" s="54"/>
      <c r="C241" s="53"/>
      <c r="D241" s="54"/>
      <c r="E241" s="54"/>
      <c r="F241" s="55" t="str">
        <f aca="false">IF(A241="","",TRIM(IF(NOT(ISNUMBER(C241)),"⚠ Falta a data. ","")&amp;IF(ISNUMBER(C241),IF(OR(AND(MONTH(C241)=12,DAY(C241)=31),AND(MONTH(C241)=1,DAY(C241)=1)),"","⚠ Data fora do Ano Novo (31/12 ou 01/01). "),"")&amp;IF(AND(ISNUMBER(C241),COUNTIFS($A$2:$A$301,A241,$C$2:$C$301,C241)&gt;1),"⚠ Nome repetido na mesma data. ","")&amp;IF(AND(ISNUMBER(C241),COUNTIFS(FÉRIAS!$A$2:$A$301,A241,FÉRIAS!$C$2:$C$301,"&lt;="&amp;C241,FÉRIAS!$D$2:$D$301,"&gt;="&amp;C241)&gt;0),IF(D241="TRABALHA","⚠ Está de férias e marcado TRABALHA. ","⚠ Já está de férias nesta data. "),"")&amp;IF(AND(ISNUMBER(C241),COUNTIFS(FOLGAS!$A$2:$A$301,A241,FOLGAS!$C$2:$C$301,C241)&gt;0),IF(D241="FOLGA","⚠ Folga também lançada na aba FOLGAS. ",IF(D241="TRABALHA","⚠ Marcado TRABALHA, mas tem folga na aba FOLGAS. ","")),"")&amp;IF(AND(ISNUMBER(C241),D241="FOLGA",B241&lt;&gt;"",COUNTIFS($B$2:$B$301,B241,$C$2:$C$301,C241,$D$2:$D$301,"TRABALHA")=0),"⚠ Ninguém do setor trabalhando nesta data. ","")))</f>
        <v/>
      </c>
    </row>
    <row r="242" customFormat="false" ht="15" hidden="false" customHeight="true" outlineLevel="0" collapsed="false">
      <c r="A242" s="54"/>
      <c r="B242" s="54"/>
      <c r="C242" s="53"/>
      <c r="D242" s="54"/>
      <c r="E242" s="54"/>
      <c r="F242" s="55" t="str">
        <f aca="false">IF(A242="","",TRIM(IF(NOT(ISNUMBER(C242)),"⚠ Falta a data. ","")&amp;IF(ISNUMBER(C242),IF(OR(AND(MONTH(C242)=12,DAY(C242)=31),AND(MONTH(C242)=1,DAY(C242)=1)),"","⚠ Data fora do Ano Novo (31/12 ou 01/01). "),"")&amp;IF(AND(ISNUMBER(C242),COUNTIFS($A$2:$A$301,A242,$C$2:$C$301,C242)&gt;1),"⚠ Nome repetido na mesma data. ","")&amp;IF(AND(ISNUMBER(C242),COUNTIFS(FÉRIAS!$A$2:$A$301,A242,FÉRIAS!$C$2:$C$301,"&lt;="&amp;C242,FÉRIAS!$D$2:$D$301,"&gt;="&amp;C242)&gt;0),IF(D242="TRABALHA","⚠ Está de férias e marcado TRABALHA. ","⚠ Já está de férias nesta data. "),"")&amp;IF(AND(ISNUMBER(C242),COUNTIFS(FOLGAS!$A$2:$A$301,A242,FOLGAS!$C$2:$C$301,C242)&gt;0),IF(D242="FOLGA","⚠ Folga também lançada na aba FOLGAS. ",IF(D242="TRABALHA","⚠ Marcado TRABALHA, mas tem folga na aba FOLGAS. ","")),"")&amp;IF(AND(ISNUMBER(C242),D242="FOLGA",B242&lt;&gt;"",COUNTIFS($B$2:$B$301,B242,$C$2:$C$301,C242,$D$2:$D$301,"TRABALHA")=0),"⚠ Ninguém do setor trabalhando nesta data. ","")))</f>
        <v/>
      </c>
    </row>
    <row r="243" customFormat="false" ht="15" hidden="false" customHeight="true" outlineLevel="0" collapsed="false">
      <c r="A243" s="54"/>
      <c r="B243" s="54"/>
      <c r="C243" s="53"/>
      <c r="D243" s="54"/>
      <c r="E243" s="54"/>
      <c r="F243" s="55" t="str">
        <f aca="false">IF(A243="","",TRIM(IF(NOT(ISNUMBER(C243)),"⚠ Falta a data. ","")&amp;IF(ISNUMBER(C243),IF(OR(AND(MONTH(C243)=12,DAY(C243)=31),AND(MONTH(C243)=1,DAY(C243)=1)),"","⚠ Data fora do Ano Novo (31/12 ou 01/01). "),"")&amp;IF(AND(ISNUMBER(C243),COUNTIFS($A$2:$A$301,A243,$C$2:$C$301,C243)&gt;1),"⚠ Nome repetido na mesma data. ","")&amp;IF(AND(ISNUMBER(C243),COUNTIFS(FÉRIAS!$A$2:$A$301,A243,FÉRIAS!$C$2:$C$301,"&lt;="&amp;C243,FÉRIAS!$D$2:$D$301,"&gt;="&amp;C243)&gt;0),IF(D243="TRABALHA","⚠ Está de férias e marcado TRABALHA. ","⚠ Já está de férias nesta data. "),"")&amp;IF(AND(ISNUMBER(C243),COUNTIFS(FOLGAS!$A$2:$A$301,A243,FOLGAS!$C$2:$C$301,C243)&gt;0),IF(D243="FOLGA","⚠ Folga também lançada na aba FOLGAS. ",IF(D243="TRABALHA","⚠ Marcado TRABALHA, mas tem folga na aba FOLGAS. ","")),"")&amp;IF(AND(ISNUMBER(C243),D243="FOLGA",B243&lt;&gt;"",COUNTIFS($B$2:$B$301,B243,$C$2:$C$301,C243,$D$2:$D$301,"TRABALHA")=0),"⚠ Ninguém do setor trabalhando nesta data. ","")))</f>
        <v/>
      </c>
    </row>
    <row r="244" customFormat="false" ht="15" hidden="false" customHeight="true" outlineLevel="0" collapsed="false">
      <c r="A244" s="54"/>
      <c r="B244" s="54"/>
      <c r="C244" s="53"/>
      <c r="D244" s="54"/>
      <c r="E244" s="54"/>
      <c r="F244" s="55" t="str">
        <f aca="false">IF(A244="","",TRIM(IF(NOT(ISNUMBER(C244)),"⚠ Falta a data. ","")&amp;IF(ISNUMBER(C244),IF(OR(AND(MONTH(C244)=12,DAY(C244)=31),AND(MONTH(C244)=1,DAY(C244)=1)),"","⚠ Data fora do Ano Novo (31/12 ou 01/01). "),"")&amp;IF(AND(ISNUMBER(C244),COUNTIFS($A$2:$A$301,A244,$C$2:$C$301,C244)&gt;1),"⚠ Nome repetido na mesma data. ","")&amp;IF(AND(ISNUMBER(C244),COUNTIFS(FÉRIAS!$A$2:$A$301,A244,FÉRIAS!$C$2:$C$301,"&lt;="&amp;C244,FÉRIAS!$D$2:$D$301,"&gt;="&amp;C244)&gt;0),IF(D244="TRABALHA","⚠ Está de férias e marcado TRABALHA. ","⚠ Já está de férias nesta data. "),"")&amp;IF(AND(ISNUMBER(C244),COUNTIFS(FOLGAS!$A$2:$A$301,A244,FOLGAS!$C$2:$C$301,C244)&gt;0),IF(D244="FOLGA","⚠ Folga também lançada na aba FOLGAS. ",IF(D244="TRABALHA","⚠ Marcado TRABALHA, mas tem folga na aba FOLGAS. ","")),"")&amp;IF(AND(ISNUMBER(C244),D244="FOLGA",B244&lt;&gt;"",COUNTIFS($B$2:$B$301,B244,$C$2:$C$301,C244,$D$2:$D$301,"TRABALHA")=0),"⚠ Ninguém do setor trabalhando nesta data. ","")))</f>
        <v/>
      </c>
    </row>
    <row r="245" customFormat="false" ht="15" hidden="false" customHeight="true" outlineLevel="0" collapsed="false">
      <c r="A245" s="54"/>
      <c r="B245" s="54"/>
      <c r="C245" s="53"/>
      <c r="D245" s="54"/>
      <c r="E245" s="54"/>
      <c r="F245" s="55" t="str">
        <f aca="false">IF(A245="","",TRIM(IF(NOT(ISNUMBER(C245)),"⚠ Falta a data. ","")&amp;IF(ISNUMBER(C245),IF(OR(AND(MONTH(C245)=12,DAY(C245)=31),AND(MONTH(C245)=1,DAY(C245)=1)),"","⚠ Data fora do Ano Novo (31/12 ou 01/01). "),"")&amp;IF(AND(ISNUMBER(C245),COUNTIFS($A$2:$A$301,A245,$C$2:$C$301,C245)&gt;1),"⚠ Nome repetido na mesma data. ","")&amp;IF(AND(ISNUMBER(C245),COUNTIFS(FÉRIAS!$A$2:$A$301,A245,FÉRIAS!$C$2:$C$301,"&lt;="&amp;C245,FÉRIAS!$D$2:$D$301,"&gt;="&amp;C245)&gt;0),IF(D245="TRABALHA","⚠ Está de férias e marcado TRABALHA. ","⚠ Já está de férias nesta data. "),"")&amp;IF(AND(ISNUMBER(C245),COUNTIFS(FOLGAS!$A$2:$A$301,A245,FOLGAS!$C$2:$C$301,C245)&gt;0),IF(D245="FOLGA","⚠ Folga também lançada na aba FOLGAS. ",IF(D245="TRABALHA","⚠ Marcado TRABALHA, mas tem folga na aba FOLGAS. ","")),"")&amp;IF(AND(ISNUMBER(C245),D245="FOLGA",B245&lt;&gt;"",COUNTIFS($B$2:$B$301,B245,$C$2:$C$301,C245,$D$2:$D$301,"TRABALHA")=0),"⚠ Ninguém do setor trabalhando nesta data. ","")))</f>
        <v/>
      </c>
    </row>
    <row r="246" customFormat="false" ht="15" hidden="false" customHeight="true" outlineLevel="0" collapsed="false">
      <c r="A246" s="54"/>
      <c r="B246" s="54"/>
      <c r="C246" s="53"/>
      <c r="D246" s="54"/>
      <c r="E246" s="54"/>
      <c r="F246" s="55" t="str">
        <f aca="false">IF(A246="","",TRIM(IF(NOT(ISNUMBER(C246)),"⚠ Falta a data. ","")&amp;IF(ISNUMBER(C246),IF(OR(AND(MONTH(C246)=12,DAY(C246)=31),AND(MONTH(C246)=1,DAY(C246)=1)),"","⚠ Data fora do Ano Novo (31/12 ou 01/01). "),"")&amp;IF(AND(ISNUMBER(C246),COUNTIFS($A$2:$A$301,A246,$C$2:$C$301,C246)&gt;1),"⚠ Nome repetido na mesma data. ","")&amp;IF(AND(ISNUMBER(C246),COUNTIFS(FÉRIAS!$A$2:$A$301,A246,FÉRIAS!$C$2:$C$301,"&lt;="&amp;C246,FÉRIAS!$D$2:$D$301,"&gt;="&amp;C246)&gt;0),IF(D246="TRABALHA","⚠ Está de férias e marcado TRABALHA. ","⚠ Já está de férias nesta data. "),"")&amp;IF(AND(ISNUMBER(C246),COUNTIFS(FOLGAS!$A$2:$A$301,A246,FOLGAS!$C$2:$C$301,C246)&gt;0),IF(D246="FOLGA","⚠ Folga também lançada na aba FOLGAS. ",IF(D246="TRABALHA","⚠ Marcado TRABALHA, mas tem folga na aba FOLGAS. ","")),"")&amp;IF(AND(ISNUMBER(C246),D246="FOLGA",B246&lt;&gt;"",COUNTIFS($B$2:$B$301,B246,$C$2:$C$301,C246,$D$2:$D$301,"TRABALHA")=0),"⚠ Ninguém do setor trabalhando nesta data. ","")))</f>
        <v/>
      </c>
    </row>
    <row r="247" customFormat="false" ht="15" hidden="false" customHeight="true" outlineLevel="0" collapsed="false">
      <c r="A247" s="54"/>
      <c r="B247" s="54"/>
      <c r="C247" s="53"/>
      <c r="D247" s="54"/>
      <c r="E247" s="54"/>
      <c r="F247" s="55" t="str">
        <f aca="false">IF(A247="","",TRIM(IF(NOT(ISNUMBER(C247)),"⚠ Falta a data. ","")&amp;IF(ISNUMBER(C247),IF(OR(AND(MONTH(C247)=12,DAY(C247)=31),AND(MONTH(C247)=1,DAY(C247)=1)),"","⚠ Data fora do Ano Novo (31/12 ou 01/01). "),"")&amp;IF(AND(ISNUMBER(C247),COUNTIFS($A$2:$A$301,A247,$C$2:$C$301,C247)&gt;1),"⚠ Nome repetido na mesma data. ","")&amp;IF(AND(ISNUMBER(C247),COUNTIFS(FÉRIAS!$A$2:$A$301,A247,FÉRIAS!$C$2:$C$301,"&lt;="&amp;C247,FÉRIAS!$D$2:$D$301,"&gt;="&amp;C247)&gt;0),IF(D247="TRABALHA","⚠ Está de férias e marcado TRABALHA. ","⚠ Já está de férias nesta data. "),"")&amp;IF(AND(ISNUMBER(C247),COUNTIFS(FOLGAS!$A$2:$A$301,A247,FOLGAS!$C$2:$C$301,C247)&gt;0),IF(D247="FOLGA","⚠ Folga também lançada na aba FOLGAS. ",IF(D247="TRABALHA","⚠ Marcado TRABALHA, mas tem folga na aba FOLGAS. ","")),"")&amp;IF(AND(ISNUMBER(C247),D247="FOLGA",B247&lt;&gt;"",COUNTIFS($B$2:$B$301,B247,$C$2:$C$301,C247,$D$2:$D$301,"TRABALHA")=0),"⚠ Ninguém do setor trabalhando nesta data. ","")))</f>
        <v/>
      </c>
    </row>
    <row r="248" customFormat="false" ht="15" hidden="false" customHeight="true" outlineLevel="0" collapsed="false">
      <c r="A248" s="54"/>
      <c r="B248" s="54"/>
      <c r="C248" s="53"/>
      <c r="D248" s="54"/>
      <c r="E248" s="54"/>
      <c r="F248" s="55" t="str">
        <f aca="false">IF(A248="","",TRIM(IF(NOT(ISNUMBER(C248)),"⚠ Falta a data. ","")&amp;IF(ISNUMBER(C248),IF(OR(AND(MONTH(C248)=12,DAY(C248)=31),AND(MONTH(C248)=1,DAY(C248)=1)),"","⚠ Data fora do Ano Novo (31/12 ou 01/01). "),"")&amp;IF(AND(ISNUMBER(C248),COUNTIFS($A$2:$A$301,A248,$C$2:$C$301,C248)&gt;1),"⚠ Nome repetido na mesma data. ","")&amp;IF(AND(ISNUMBER(C248),COUNTIFS(FÉRIAS!$A$2:$A$301,A248,FÉRIAS!$C$2:$C$301,"&lt;="&amp;C248,FÉRIAS!$D$2:$D$301,"&gt;="&amp;C248)&gt;0),IF(D248="TRABALHA","⚠ Está de férias e marcado TRABALHA. ","⚠ Já está de férias nesta data. "),"")&amp;IF(AND(ISNUMBER(C248),COUNTIFS(FOLGAS!$A$2:$A$301,A248,FOLGAS!$C$2:$C$301,C248)&gt;0),IF(D248="FOLGA","⚠ Folga também lançada na aba FOLGAS. ",IF(D248="TRABALHA","⚠ Marcado TRABALHA, mas tem folga na aba FOLGAS. ","")),"")&amp;IF(AND(ISNUMBER(C248),D248="FOLGA",B248&lt;&gt;"",COUNTIFS($B$2:$B$301,B248,$C$2:$C$301,C248,$D$2:$D$301,"TRABALHA")=0),"⚠ Ninguém do setor trabalhando nesta data. ","")))</f>
        <v/>
      </c>
    </row>
    <row r="249" customFormat="false" ht="15" hidden="false" customHeight="true" outlineLevel="0" collapsed="false">
      <c r="A249" s="54"/>
      <c r="B249" s="54"/>
      <c r="C249" s="53"/>
      <c r="D249" s="54"/>
      <c r="E249" s="54"/>
      <c r="F249" s="55" t="str">
        <f aca="false">IF(A249="","",TRIM(IF(NOT(ISNUMBER(C249)),"⚠ Falta a data. ","")&amp;IF(ISNUMBER(C249),IF(OR(AND(MONTH(C249)=12,DAY(C249)=31),AND(MONTH(C249)=1,DAY(C249)=1)),"","⚠ Data fora do Ano Novo (31/12 ou 01/01). "),"")&amp;IF(AND(ISNUMBER(C249),COUNTIFS($A$2:$A$301,A249,$C$2:$C$301,C249)&gt;1),"⚠ Nome repetido na mesma data. ","")&amp;IF(AND(ISNUMBER(C249),COUNTIFS(FÉRIAS!$A$2:$A$301,A249,FÉRIAS!$C$2:$C$301,"&lt;="&amp;C249,FÉRIAS!$D$2:$D$301,"&gt;="&amp;C249)&gt;0),IF(D249="TRABALHA","⚠ Está de férias e marcado TRABALHA. ","⚠ Já está de férias nesta data. "),"")&amp;IF(AND(ISNUMBER(C249),COUNTIFS(FOLGAS!$A$2:$A$301,A249,FOLGAS!$C$2:$C$301,C249)&gt;0),IF(D249="FOLGA","⚠ Folga também lançada na aba FOLGAS. ",IF(D249="TRABALHA","⚠ Marcado TRABALHA, mas tem folga na aba FOLGAS. ","")),"")&amp;IF(AND(ISNUMBER(C249),D249="FOLGA",B249&lt;&gt;"",COUNTIFS($B$2:$B$301,B249,$C$2:$C$301,C249,$D$2:$D$301,"TRABALHA")=0),"⚠ Ninguém do setor trabalhando nesta data. ","")))</f>
        <v/>
      </c>
    </row>
    <row r="250" customFormat="false" ht="15" hidden="false" customHeight="true" outlineLevel="0" collapsed="false">
      <c r="A250" s="54"/>
      <c r="B250" s="54"/>
      <c r="C250" s="53"/>
      <c r="D250" s="54"/>
      <c r="E250" s="54"/>
      <c r="F250" s="55" t="str">
        <f aca="false">IF(A250="","",TRIM(IF(NOT(ISNUMBER(C250)),"⚠ Falta a data. ","")&amp;IF(ISNUMBER(C250),IF(OR(AND(MONTH(C250)=12,DAY(C250)=31),AND(MONTH(C250)=1,DAY(C250)=1)),"","⚠ Data fora do Ano Novo (31/12 ou 01/01). "),"")&amp;IF(AND(ISNUMBER(C250),COUNTIFS($A$2:$A$301,A250,$C$2:$C$301,C250)&gt;1),"⚠ Nome repetido na mesma data. ","")&amp;IF(AND(ISNUMBER(C250),COUNTIFS(FÉRIAS!$A$2:$A$301,A250,FÉRIAS!$C$2:$C$301,"&lt;="&amp;C250,FÉRIAS!$D$2:$D$301,"&gt;="&amp;C250)&gt;0),IF(D250="TRABALHA","⚠ Está de férias e marcado TRABALHA. ","⚠ Já está de férias nesta data. "),"")&amp;IF(AND(ISNUMBER(C250),COUNTIFS(FOLGAS!$A$2:$A$301,A250,FOLGAS!$C$2:$C$301,C250)&gt;0),IF(D250="FOLGA","⚠ Folga também lançada na aba FOLGAS. ",IF(D250="TRABALHA","⚠ Marcado TRABALHA, mas tem folga na aba FOLGAS. ","")),"")&amp;IF(AND(ISNUMBER(C250),D250="FOLGA",B250&lt;&gt;"",COUNTIFS($B$2:$B$301,B250,$C$2:$C$301,C250,$D$2:$D$301,"TRABALHA")=0),"⚠ Ninguém do setor trabalhando nesta data. ","")))</f>
        <v/>
      </c>
    </row>
    <row r="251" customFormat="false" ht="15" hidden="false" customHeight="true" outlineLevel="0" collapsed="false">
      <c r="A251" s="54"/>
      <c r="B251" s="54"/>
      <c r="C251" s="53"/>
      <c r="D251" s="54"/>
      <c r="E251" s="54"/>
      <c r="F251" s="55" t="str">
        <f aca="false">IF(A251="","",TRIM(IF(NOT(ISNUMBER(C251)),"⚠ Falta a data. ","")&amp;IF(ISNUMBER(C251),IF(OR(AND(MONTH(C251)=12,DAY(C251)=31),AND(MONTH(C251)=1,DAY(C251)=1)),"","⚠ Data fora do Ano Novo (31/12 ou 01/01). "),"")&amp;IF(AND(ISNUMBER(C251),COUNTIFS($A$2:$A$301,A251,$C$2:$C$301,C251)&gt;1),"⚠ Nome repetido na mesma data. ","")&amp;IF(AND(ISNUMBER(C251),COUNTIFS(FÉRIAS!$A$2:$A$301,A251,FÉRIAS!$C$2:$C$301,"&lt;="&amp;C251,FÉRIAS!$D$2:$D$301,"&gt;="&amp;C251)&gt;0),IF(D251="TRABALHA","⚠ Está de férias e marcado TRABALHA. ","⚠ Já está de férias nesta data. "),"")&amp;IF(AND(ISNUMBER(C251),COUNTIFS(FOLGAS!$A$2:$A$301,A251,FOLGAS!$C$2:$C$301,C251)&gt;0),IF(D251="FOLGA","⚠ Folga também lançada na aba FOLGAS. ",IF(D251="TRABALHA","⚠ Marcado TRABALHA, mas tem folga na aba FOLGAS. ","")),"")&amp;IF(AND(ISNUMBER(C251),D251="FOLGA",B251&lt;&gt;"",COUNTIFS($B$2:$B$301,B251,$C$2:$C$301,C251,$D$2:$D$301,"TRABALHA")=0),"⚠ Ninguém do setor trabalhando nesta data. ","")))</f>
        <v/>
      </c>
    </row>
    <row r="252" customFormat="false" ht="15" hidden="false" customHeight="true" outlineLevel="0" collapsed="false">
      <c r="A252" s="54"/>
      <c r="B252" s="54"/>
      <c r="C252" s="53"/>
      <c r="D252" s="54"/>
      <c r="E252" s="54"/>
      <c r="F252" s="55" t="str">
        <f aca="false">IF(A252="","",TRIM(IF(NOT(ISNUMBER(C252)),"⚠ Falta a data. ","")&amp;IF(ISNUMBER(C252),IF(OR(AND(MONTH(C252)=12,DAY(C252)=31),AND(MONTH(C252)=1,DAY(C252)=1)),"","⚠ Data fora do Ano Novo (31/12 ou 01/01). "),"")&amp;IF(AND(ISNUMBER(C252),COUNTIFS($A$2:$A$301,A252,$C$2:$C$301,C252)&gt;1),"⚠ Nome repetido na mesma data. ","")&amp;IF(AND(ISNUMBER(C252),COUNTIFS(FÉRIAS!$A$2:$A$301,A252,FÉRIAS!$C$2:$C$301,"&lt;="&amp;C252,FÉRIAS!$D$2:$D$301,"&gt;="&amp;C252)&gt;0),IF(D252="TRABALHA","⚠ Está de férias e marcado TRABALHA. ","⚠ Já está de férias nesta data. "),"")&amp;IF(AND(ISNUMBER(C252),COUNTIFS(FOLGAS!$A$2:$A$301,A252,FOLGAS!$C$2:$C$301,C252)&gt;0),IF(D252="FOLGA","⚠ Folga também lançada na aba FOLGAS. ",IF(D252="TRABALHA","⚠ Marcado TRABALHA, mas tem folga na aba FOLGAS. ","")),"")&amp;IF(AND(ISNUMBER(C252),D252="FOLGA",B252&lt;&gt;"",COUNTIFS($B$2:$B$301,B252,$C$2:$C$301,C252,$D$2:$D$301,"TRABALHA")=0),"⚠ Ninguém do setor trabalhando nesta data. ","")))</f>
        <v/>
      </c>
    </row>
    <row r="253" customFormat="false" ht="15" hidden="false" customHeight="true" outlineLevel="0" collapsed="false">
      <c r="A253" s="54"/>
      <c r="B253" s="54"/>
      <c r="C253" s="53"/>
      <c r="D253" s="54"/>
      <c r="E253" s="54"/>
      <c r="F253" s="55" t="str">
        <f aca="false">IF(A253="","",TRIM(IF(NOT(ISNUMBER(C253)),"⚠ Falta a data. ","")&amp;IF(ISNUMBER(C253),IF(OR(AND(MONTH(C253)=12,DAY(C253)=31),AND(MONTH(C253)=1,DAY(C253)=1)),"","⚠ Data fora do Ano Novo (31/12 ou 01/01). "),"")&amp;IF(AND(ISNUMBER(C253),COUNTIFS($A$2:$A$301,A253,$C$2:$C$301,C253)&gt;1),"⚠ Nome repetido na mesma data. ","")&amp;IF(AND(ISNUMBER(C253),COUNTIFS(FÉRIAS!$A$2:$A$301,A253,FÉRIAS!$C$2:$C$301,"&lt;="&amp;C253,FÉRIAS!$D$2:$D$301,"&gt;="&amp;C253)&gt;0),IF(D253="TRABALHA","⚠ Está de férias e marcado TRABALHA. ","⚠ Já está de férias nesta data. "),"")&amp;IF(AND(ISNUMBER(C253),COUNTIFS(FOLGAS!$A$2:$A$301,A253,FOLGAS!$C$2:$C$301,C253)&gt;0),IF(D253="FOLGA","⚠ Folga também lançada na aba FOLGAS. ",IF(D253="TRABALHA","⚠ Marcado TRABALHA, mas tem folga na aba FOLGAS. ","")),"")&amp;IF(AND(ISNUMBER(C253),D253="FOLGA",B253&lt;&gt;"",COUNTIFS($B$2:$B$301,B253,$C$2:$C$301,C253,$D$2:$D$301,"TRABALHA")=0),"⚠ Ninguém do setor trabalhando nesta data. ","")))</f>
        <v/>
      </c>
    </row>
    <row r="254" customFormat="false" ht="15" hidden="false" customHeight="true" outlineLevel="0" collapsed="false">
      <c r="A254" s="54"/>
      <c r="B254" s="54"/>
      <c r="C254" s="53"/>
      <c r="D254" s="54"/>
      <c r="E254" s="54"/>
      <c r="F254" s="55" t="str">
        <f aca="false">IF(A254="","",TRIM(IF(NOT(ISNUMBER(C254)),"⚠ Falta a data. ","")&amp;IF(ISNUMBER(C254),IF(OR(AND(MONTH(C254)=12,DAY(C254)=31),AND(MONTH(C254)=1,DAY(C254)=1)),"","⚠ Data fora do Ano Novo (31/12 ou 01/01). "),"")&amp;IF(AND(ISNUMBER(C254),COUNTIFS($A$2:$A$301,A254,$C$2:$C$301,C254)&gt;1),"⚠ Nome repetido na mesma data. ","")&amp;IF(AND(ISNUMBER(C254),COUNTIFS(FÉRIAS!$A$2:$A$301,A254,FÉRIAS!$C$2:$C$301,"&lt;="&amp;C254,FÉRIAS!$D$2:$D$301,"&gt;="&amp;C254)&gt;0),IF(D254="TRABALHA","⚠ Está de férias e marcado TRABALHA. ","⚠ Já está de férias nesta data. "),"")&amp;IF(AND(ISNUMBER(C254),COUNTIFS(FOLGAS!$A$2:$A$301,A254,FOLGAS!$C$2:$C$301,C254)&gt;0),IF(D254="FOLGA","⚠ Folga também lançada na aba FOLGAS. ",IF(D254="TRABALHA","⚠ Marcado TRABALHA, mas tem folga na aba FOLGAS. ","")),"")&amp;IF(AND(ISNUMBER(C254),D254="FOLGA",B254&lt;&gt;"",COUNTIFS($B$2:$B$301,B254,$C$2:$C$301,C254,$D$2:$D$301,"TRABALHA")=0),"⚠ Ninguém do setor trabalhando nesta data. ","")))</f>
        <v/>
      </c>
    </row>
    <row r="255" customFormat="false" ht="15" hidden="false" customHeight="true" outlineLevel="0" collapsed="false">
      <c r="A255" s="54"/>
      <c r="B255" s="54"/>
      <c r="C255" s="53"/>
      <c r="D255" s="54"/>
      <c r="E255" s="54"/>
      <c r="F255" s="55" t="str">
        <f aca="false">IF(A255="","",TRIM(IF(NOT(ISNUMBER(C255)),"⚠ Falta a data. ","")&amp;IF(ISNUMBER(C255),IF(OR(AND(MONTH(C255)=12,DAY(C255)=31),AND(MONTH(C255)=1,DAY(C255)=1)),"","⚠ Data fora do Ano Novo (31/12 ou 01/01). "),"")&amp;IF(AND(ISNUMBER(C255),COUNTIFS($A$2:$A$301,A255,$C$2:$C$301,C255)&gt;1),"⚠ Nome repetido na mesma data. ","")&amp;IF(AND(ISNUMBER(C255),COUNTIFS(FÉRIAS!$A$2:$A$301,A255,FÉRIAS!$C$2:$C$301,"&lt;="&amp;C255,FÉRIAS!$D$2:$D$301,"&gt;="&amp;C255)&gt;0),IF(D255="TRABALHA","⚠ Está de férias e marcado TRABALHA. ","⚠ Já está de férias nesta data. "),"")&amp;IF(AND(ISNUMBER(C255),COUNTIFS(FOLGAS!$A$2:$A$301,A255,FOLGAS!$C$2:$C$301,C255)&gt;0),IF(D255="FOLGA","⚠ Folga também lançada na aba FOLGAS. ",IF(D255="TRABALHA","⚠ Marcado TRABALHA, mas tem folga na aba FOLGAS. ","")),"")&amp;IF(AND(ISNUMBER(C255),D255="FOLGA",B255&lt;&gt;"",COUNTIFS($B$2:$B$301,B255,$C$2:$C$301,C255,$D$2:$D$301,"TRABALHA")=0),"⚠ Ninguém do setor trabalhando nesta data. ","")))</f>
        <v/>
      </c>
    </row>
    <row r="256" customFormat="false" ht="15" hidden="false" customHeight="true" outlineLevel="0" collapsed="false">
      <c r="A256" s="54"/>
      <c r="B256" s="54"/>
      <c r="C256" s="53"/>
      <c r="D256" s="54"/>
      <c r="E256" s="54"/>
      <c r="F256" s="55" t="str">
        <f aca="false">IF(A256="","",TRIM(IF(NOT(ISNUMBER(C256)),"⚠ Falta a data. ","")&amp;IF(ISNUMBER(C256),IF(OR(AND(MONTH(C256)=12,DAY(C256)=31),AND(MONTH(C256)=1,DAY(C256)=1)),"","⚠ Data fora do Ano Novo (31/12 ou 01/01). "),"")&amp;IF(AND(ISNUMBER(C256),COUNTIFS($A$2:$A$301,A256,$C$2:$C$301,C256)&gt;1),"⚠ Nome repetido na mesma data. ","")&amp;IF(AND(ISNUMBER(C256),COUNTIFS(FÉRIAS!$A$2:$A$301,A256,FÉRIAS!$C$2:$C$301,"&lt;="&amp;C256,FÉRIAS!$D$2:$D$301,"&gt;="&amp;C256)&gt;0),IF(D256="TRABALHA","⚠ Está de férias e marcado TRABALHA. ","⚠ Já está de férias nesta data. "),"")&amp;IF(AND(ISNUMBER(C256),COUNTIFS(FOLGAS!$A$2:$A$301,A256,FOLGAS!$C$2:$C$301,C256)&gt;0),IF(D256="FOLGA","⚠ Folga também lançada na aba FOLGAS. ",IF(D256="TRABALHA","⚠ Marcado TRABALHA, mas tem folga na aba FOLGAS. ","")),"")&amp;IF(AND(ISNUMBER(C256),D256="FOLGA",B256&lt;&gt;"",COUNTIFS($B$2:$B$301,B256,$C$2:$C$301,C256,$D$2:$D$301,"TRABALHA")=0),"⚠ Ninguém do setor trabalhando nesta data. ","")))</f>
        <v/>
      </c>
    </row>
    <row r="257" customFormat="false" ht="15" hidden="false" customHeight="true" outlineLevel="0" collapsed="false">
      <c r="A257" s="54"/>
      <c r="B257" s="54"/>
      <c r="C257" s="53"/>
      <c r="D257" s="54"/>
      <c r="E257" s="54"/>
      <c r="F257" s="55" t="str">
        <f aca="false">IF(A257="","",TRIM(IF(NOT(ISNUMBER(C257)),"⚠ Falta a data. ","")&amp;IF(ISNUMBER(C257),IF(OR(AND(MONTH(C257)=12,DAY(C257)=31),AND(MONTH(C257)=1,DAY(C257)=1)),"","⚠ Data fora do Ano Novo (31/12 ou 01/01). "),"")&amp;IF(AND(ISNUMBER(C257),COUNTIFS($A$2:$A$301,A257,$C$2:$C$301,C257)&gt;1),"⚠ Nome repetido na mesma data. ","")&amp;IF(AND(ISNUMBER(C257),COUNTIFS(FÉRIAS!$A$2:$A$301,A257,FÉRIAS!$C$2:$C$301,"&lt;="&amp;C257,FÉRIAS!$D$2:$D$301,"&gt;="&amp;C257)&gt;0),IF(D257="TRABALHA","⚠ Está de férias e marcado TRABALHA. ","⚠ Já está de férias nesta data. "),"")&amp;IF(AND(ISNUMBER(C257),COUNTIFS(FOLGAS!$A$2:$A$301,A257,FOLGAS!$C$2:$C$301,C257)&gt;0),IF(D257="FOLGA","⚠ Folga também lançada na aba FOLGAS. ",IF(D257="TRABALHA","⚠ Marcado TRABALHA, mas tem folga na aba FOLGAS. ","")),"")&amp;IF(AND(ISNUMBER(C257),D257="FOLGA",B257&lt;&gt;"",COUNTIFS($B$2:$B$301,B257,$C$2:$C$301,C257,$D$2:$D$301,"TRABALHA")=0),"⚠ Ninguém do setor trabalhando nesta data. ","")))</f>
        <v/>
      </c>
    </row>
    <row r="258" customFormat="false" ht="15" hidden="false" customHeight="true" outlineLevel="0" collapsed="false">
      <c r="A258" s="54"/>
      <c r="B258" s="54"/>
      <c r="C258" s="53"/>
      <c r="D258" s="54"/>
      <c r="E258" s="54"/>
      <c r="F258" s="55" t="str">
        <f aca="false">IF(A258="","",TRIM(IF(NOT(ISNUMBER(C258)),"⚠ Falta a data. ","")&amp;IF(ISNUMBER(C258),IF(OR(AND(MONTH(C258)=12,DAY(C258)=31),AND(MONTH(C258)=1,DAY(C258)=1)),"","⚠ Data fora do Ano Novo (31/12 ou 01/01). "),"")&amp;IF(AND(ISNUMBER(C258),COUNTIFS($A$2:$A$301,A258,$C$2:$C$301,C258)&gt;1),"⚠ Nome repetido na mesma data. ","")&amp;IF(AND(ISNUMBER(C258),COUNTIFS(FÉRIAS!$A$2:$A$301,A258,FÉRIAS!$C$2:$C$301,"&lt;="&amp;C258,FÉRIAS!$D$2:$D$301,"&gt;="&amp;C258)&gt;0),IF(D258="TRABALHA","⚠ Está de férias e marcado TRABALHA. ","⚠ Já está de férias nesta data. "),"")&amp;IF(AND(ISNUMBER(C258),COUNTIFS(FOLGAS!$A$2:$A$301,A258,FOLGAS!$C$2:$C$301,C258)&gt;0),IF(D258="FOLGA","⚠ Folga também lançada na aba FOLGAS. ",IF(D258="TRABALHA","⚠ Marcado TRABALHA, mas tem folga na aba FOLGAS. ","")),"")&amp;IF(AND(ISNUMBER(C258),D258="FOLGA",B258&lt;&gt;"",COUNTIFS($B$2:$B$301,B258,$C$2:$C$301,C258,$D$2:$D$301,"TRABALHA")=0),"⚠ Ninguém do setor trabalhando nesta data. ","")))</f>
        <v/>
      </c>
    </row>
    <row r="259" customFormat="false" ht="15" hidden="false" customHeight="true" outlineLevel="0" collapsed="false">
      <c r="A259" s="54"/>
      <c r="B259" s="54"/>
      <c r="C259" s="53"/>
      <c r="D259" s="54"/>
      <c r="E259" s="54"/>
      <c r="F259" s="55" t="str">
        <f aca="false">IF(A259="","",TRIM(IF(NOT(ISNUMBER(C259)),"⚠ Falta a data. ","")&amp;IF(ISNUMBER(C259),IF(OR(AND(MONTH(C259)=12,DAY(C259)=31),AND(MONTH(C259)=1,DAY(C259)=1)),"","⚠ Data fora do Ano Novo (31/12 ou 01/01). "),"")&amp;IF(AND(ISNUMBER(C259),COUNTIFS($A$2:$A$301,A259,$C$2:$C$301,C259)&gt;1),"⚠ Nome repetido na mesma data. ","")&amp;IF(AND(ISNUMBER(C259),COUNTIFS(FÉRIAS!$A$2:$A$301,A259,FÉRIAS!$C$2:$C$301,"&lt;="&amp;C259,FÉRIAS!$D$2:$D$301,"&gt;="&amp;C259)&gt;0),IF(D259="TRABALHA","⚠ Está de férias e marcado TRABALHA. ","⚠ Já está de férias nesta data. "),"")&amp;IF(AND(ISNUMBER(C259),COUNTIFS(FOLGAS!$A$2:$A$301,A259,FOLGAS!$C$2:$C$301,C259)&gt;0),IF(D259="FOLGA","⚠ Folga também lançada na aba FOLGAS. ",IF(D259="TRABALHA","⚠ Marcado TRABALHA, mas tem folga na aba FOLGAS. ","")),"")&amp;IF(AND(ISNUMBER(C259),D259="FOLGA",B259&lt;&gt;"",COUNTIFS($B$2:$B$301,B259,$C$2:$C$301,C259,$D$2:$D$301,"TRABALHA")=0),"⚠ Ninguém do setor trabalhando nesta data. ","")))</f>
        <v/>
      </c>
    </row>
    <row r="260" customFormat="false" ht="15" hidden="false" customHeight="true" outlineLevel="0" collapsed="false">
      <c r="A260" s="54"/>
      <c r="B260" s="54"/>
      <c r="C260" s="53"/>
      <c r="D260" s="54"/>
      <c r="E260" s="54"/>
      <c r="F260" s="55" t="str">
        <f aca="false">IF(A260="","",TRIM(IF(NOT(ISNUMBER(C260)),"⚠ Falta a data. ","")&amp;IF(ISNUMBER(C260),IF(OR(AND(MONTH(C260)=12,DAY(C260)=31),AND(MONTH(C260)=1,DAY(C260)=1)),"","⚠ Data fora do Ano Novo (31/12 ou 01/01). "),"")&amp;IF(AND(ISNUMBER(C260),COUNTIFS($A$2:$A$301,A260,$C$2:$C$301,C260)&gt;1),"⚠ Nome repetido na mesma data. ","")&amp;IF(AND(ISNUMBER(C260),COUNTIFS(FÉRIAS!$A$2:$A$301,A260,FÉRIAS!$C$2:$C$301,"&lt;="&amp;C260,FÉRIAS!$D$2:$D$301,"&gt;="&amp;C260)&gt;0),IF(D260="TRABALHA","⚠ Está de férias e marcado TRABALHA. ","⚠ Já está de férias nesta data. "),"")&amp;IF(AND(ISNUMBER(C260),COUNTIFS(FOLGAS!$A$2:$A$301,A260,FOLGAS!$C$2:$C$301,C260)&gt;0),IF(D260="FOLGA","⚠ Folga também lançada na aba FOLGAS. ",IF(D260="TRABALHA","⚠ Marcado TRABALHA, mas tem folga na aba FOLGAS. ","")),"")&amp;IF(AND(ISNUMBER(C260),D260="FOLGA",B260&lt;&gt;"",COUNTIFS($B$2:$B$301,B260,$C$2:$C$301,C260,$D$2:$D$301,"TRABALHA")=0),"⚠ Ninguém do setor trabalhando nesta data. ","")))</f>
        <v/>
      </c>
    </row>
    <row r="261" customFormat="false" ht="15" hidden="false" customHeight="true" outlineLevel="0" collapsed="false">
      <c r="A261" s="54"/>
      <c r="B261" s="54"/>
      <c r="C261" s="53"/>
      <c r="D261" s="54"/>
      <c r="E261" s="54"/>
      <c r="F261" s="55" t="str">
        <f aca="false">IF(A261="","",TRIM(IF(NOT(ISNUMBER(C261)),"⚠ Falta a data. ","")&amp;IF(ISNUMBER(C261),IF(OR(AND(MONTH(C261)=12,DAY(C261)=31),AND(MONTH(C261)=1,DAY(C261)=1)),"","⚠ Data fora do Ano Novo (31/12 ou 01/01). "),"")&amp;IF(AND(ISNUMBER(C261),COUNTIFS($A$2:$A$301,A261,$C$2:$C$301,C261)&gt;1),"⚠ Nome repetido na mesma data. ","")&amp;IF(AND(ISNUMBER(C261),COUNTIFS(FÉRIAS!$A$2:$A$301,A261,FÉRIAS!$C$2:$C$301,"&lt;="&amp;C261,FÉRIAS!$D$2:$D$301,"&gt;="&amp;C261)&gt;0),IF(D261="TRABALHA","⚠ Está de férias e marcado TRABALHA. ","⚠ Já está de férias nesta data. "),"")&amp;IF(AND(ISNUMBER(C261),COUNTIFS(FOLGAS!$A$2:$A$301,A261,FOLGAS!$C$2:$C$301,C261)&gt;0),IF(D261="FOLGA","⚠ Folga também lançada na aba FOLGAS. ",IF(D261="TRABALHA","⚠ Marcado TRABALHA, mas tem folga na aba FOLGAS. ","")),"")&amp;IF(AND(ISNUMBER(C261),D261="FOLGA",B261&lt;&gt;"",COUNTIFS($B$2:$B$301,B261,$C$2:$C$301,C261,$D$2:$D$301,"TRABALHA")=0),"⚠ Ninguém do setor trabalhando nesta data. ","")))</f>
        <v/>
      </c>
    </row>
    <row r="262" customFormat="false" ht="15" hidden="false" customHeight="true" outlineLevel="0" collapsed="false">
      <c r="A262" s="54"/>
      <c r="B262" s="54"/>
      <c r="C262" s="53"/>
      <c r="D262" s="54"/>
      <c r="E262" s="54"/>
      <c r="F262" s="55" t="str">
        <f aca="false">IF(A262="","",TRIM(IF(NOT(ISNUMBER(C262)),"⚠ Falta a data. ","")&amp;IF(ISNUMBER(C262),IF(OR(AND(MONTH(C262)=12,DAY(C262)=31),AND(MONTH(C262)=1,DAY(C262)=1)),"","⚠ Data fora do Ano Novo (31/12 ou 01/01). "),"")&amp;IF(AND(ISNUMBER(C262),COUNTIFS($A$2:$A$301,A262,$C$2:$C$301,C262)&gt;1),"⚠ Nome repetido na mesma data. ","")&amp;IF(AND(ISNUMBER(C262),COUNTIFS(FÉRIAS!$A$2:$A$301,A262,FÉRIAS!$C$2:$C$301,"&lt;="&amp;C262,FÉRIAS!$D$2:$D$301,"&gt;="&amp;C262)&gt;0),IF(D262="TRABALHA","⚠ Está de férias e marcado TRABALHA. ","⚠ Já está de férias nesta data. "),"")&amp;IF(AND(ISNUMBER(C262),COUNTIFS(FOLGAS!$A$2:$A$301,A262,FOLGAS!$C$2:$C$301,C262)&gt;0),IF(D262="FOLGA","⚠ Folga também lançada na aba FOLGAS. ",IF(D262="TRABALHA","⚠ Marcado TRABALHA, mas tem folga na aba FOLGAS. ","")),"")&amp;IF(AND(ISNUMBER(C262),D262="FOLGA",B262&lt;&gt;"",COUNTIFS($B$2:$B$301,B262,$C$2:$C$301,C262,$D$2:$D$301,"TRABALHA")=0),"⚠ Ninguém do setor trabalhando nesta data. ","")))</f>
        <v/>
      </c>
    </row>
    <row r="263" customFormat="false" ht="15" hidden="false" customHeight="true" outlineLevel="0" collapsed="false">
      <c r="A263" s="54"/>
      <c r="B263" s="54"/>
      <c r="C263" s="53"/>
      <c r="D263" s="54"/>
      <c r="E263" s="54"/>
      <c r="F263" s="55" t="str">
        <f aca="false">IF(A263="","",TRIM(IF(NOT(ISNUMBER(C263)),"⚠ Falta a data. ","")&amp;IF(ISNUMBER(C263),IF(OR(AND(MONTH(C263)=12,DAY(C263)=31),AND(MONTH(C263)=1,DAY(C263)=1)),"","⚠ Data fora do Ano Novo (31/12 ou 01/01). "),"")&amp;IF(AND(ISNUMBER(C263),COUNTIFS($A$2:$A$301,A263,$C$2:$C$301,C263)&gt;1),"⚠ Nome repetido na mesma data. ","")&amp;IF(AND(ISNUMBER(C263),COUNTIFS(FÉRIAS!$A$2:$A$301,A263,FÉRIAS!$C$2:$C$301,"&lt;="&amp;C263,FÉRIAS!$D$2:$D$301,"&gt;="&amp;C263)&gt;0),IF(D263="TRABALHA","⚠ Está de férias e marcado TRABALHA. ","⚠ Já está de férias nesta data. "),"")&amp;IF(AND(ISNUMBER(C263),COUNTIFS(FOLGAS!$A$2:$A$301,A263,FOLGAS!$C$2:$C$301,C263)&gt;0),IF(D263="FOLGA","⚠ Folga também lançada na aba FOLGAS. ",IF(D263="TRABALHA","⚠ Marcado TRABALHA, mas tem folga na aba FOLGAS. ","")),"")&amp;IF(AND(ISNUMBER(C263),D263="FOLGA",B263&lt;&gt;"",COUNTIFS($B$2:$B$301,B263,$C$2:$C$301,C263,$D$2:$D$301,"TRABALHA")=0),"⚠ Ninguém do setor trabalhando nesta data. ","")))</f>
        <v/>
      </c>
    </row>
    <row r="264" customFormat="false" ht="15" hidden="false" customHeight="true" outlineLevel="0" collapsed="false">
      <c r="A264" s="54"/>
      <c r="B264" s="54"/>
      <c r="C264" s="53"/>
      <c r="D264" s="54"/>
      <c r="E264" s="54"/>
      <c r="F264" s="55" t="str">
        <f aca="false">IF(A264="","",TRIM(IF(NOT(ISNUMBER(C264)),"⚠ Falta a data. ","")&amp;IF(ISNUMBER(C264),IF(OR(AND(MONTH(C264)=12,DAY(C264)=31),AND(MONTH(C264)=1,DAY(C264)=1)),"","⚠ Data fora do Ano Novo (31/12 ou 01/01). "),"")&amp;IF(AND(ISNUMBER(C264),COUNTIFS($A$2:$A$301,A264,$C$2:$C$301,C264)&gt;1),"⚠ Nome repetido na mesma data. ","")&amp;IF(AND(ISNUMBER(C264),COUNTIFS(FÉRIAS!$A$2:$A$301,A264,FÉRIAS!$C$2:$C$301,"&lt;="&amp;C264,FÉRIAS!$D$2:$D$301,"&gt;="&amp;C264)&gt;0),IF(D264="TRABALHA","⚠ Está de férias e marcado TRABALHA. ","⚠ Já está de férias nesta data. "),"")&amp;IF(AND(ISNUMBER(C264),COUNTIFS(FOLGAS!$A$2:$A$301,A264,FOLGAS!$C$2:$C$301,C264)&gt;0),IF(D264="FOLGA","⚠ Folga também lançada na aba FOLGAS. ",IF(D264="TRABALHA","⚠ Marcado TRABALHA, mas tem folga na aba FOLGAS. ","")),"")&amp;IF(AND(ISNUMBER(C264),D264="FOLGA",B264&lt;&gt;"",COUNTIFS($B$2:$B$301,B264,$C$2:$C$301,C264,$D$2:$D$301,"TRABALHA")=0),"⚠ Ninguém do setor trabalhando nesta data. ","")))</f>
        <v/>
      </c>
    </row>
    <row r="265" customFormat="false" ht="15" hidden="false" customHeight="true" outlineLevel="0" collapsed="false">
      <c r="A265" s="54"/>
      <c r="B265" s="54"/>
      <c r="C265" s="53"/>
      <c r="D265" s="54"/>
      <c r="E265" s="54"/>
      <c r="F265" s="55" t="str">
        <f aca="false">IF(A265="","",TRIM(IF(NOT(ISNUMBER(C265)),"⚠ Falta a data. ","")&amp;IF(ISNUMBER(C265),IF(OR(AND(MONTH(C265)=12,DAY(C265)=31),AND(MONTH(C265)=1,DAY(C265)=1)),"","⚠ Data fora do Ano Novo (31/12 ou 01/01). "),"")&amp;IF(AND(ISNUMBER(C265),COUNTIFS($A$2:$A$301,A265,$C$2:$C$301,C265)&gt;1),"⚠ Nome repetido na mesma data. ","")&amp;IF(AND(ISNUMBER(C265),COUNTIFS(FÉRIAS!$A$2:$A$301,A265,FÉRIAS!$C$2:$C$301,"&lt;="&amp;C265,FÉRIAS!$D$2:$D$301,"&gt;="&amp;C265)&gt;0),IF(D265="TRABALHA","⚠ Está de férias e marcado TRABALHA. ","⚠ Já está de férias nesta data. "),"")&amp;IF(AND(ISNUMBER(C265),COUNTIFS(FOLGAS!$A$2:$A$301,A265,FOLGAS!$C$2:$C$301,C265)&gt;0),IF(D265="FOLGA","⚠ Folga também lançada na aba FOLGAS. ",IF(D265="TRABALHA","⚠ Marcado TRABALHA, mas tem folga na aba FOLGAS. ","")),"")&amp;IF(AND(ISNUMBER(C265),D265="FOLGA",B265&lt;&gt;"",COUNTIFS($B$2:$B$301,B265,$C$2:$C$301,C265,$D$2:$D$301,"TRABALHA")=0),"⚠ Ninguém do setor trabalhando nesta data. ","")))</f>
        <v/>
      </c>
    </row>
    <row r="266" customFormat="false" ht="15" hidden="false" customHeight="true" outlineLevel="0" collapsed="false">
      <c r="A266" s="54"/>
      <c r="B266" s="54"/>
      <c r="C266" s="53"/>
      <c r="D266" s="54"/>
      <c r="E266" s="54"/>
      <c r="F266" s="55" t="str">
        <f aca="false">IF(A266="","",TRIM(IF(NOT(ISNUMBER(C266)),"⚠ Falta a data. ","")&amp;IF(ISNUMBER(C266),IF(OR(AND(MONTH(C266)=12,DAY(C266)=31),AND(MONTH(C266)=1,DAY(C266)=1)),"","⚠ Data fora do Ano Novo (31/12 ou 01/01). "),"")&amp;IF(AND(ISNUMBER(C266),COUNTIFS($A$2:$A$301,A266,$C$2:$C$301,C266)&gt;1),"⚠ Nome repetido na mesma data. ","")&amp;IF(AND(ISNUMBER(C266),COUNTIFS(FÉRIAS!$A$2:$A$301,A266,FÉRIAS!$C$2:$C$301,"&lt;="&amp;C266,FÉRIAS!$D$2:$D$301,"&gt;="&amp;C266)&gt;0),IF(D266="TRABALHA","⚠ Está de férias e marcado TRABALHA. ","⚠ Já está de férias nesta data. "),"")&amp;IF(AND(ISNUMBER(C266),COUNTIFS(FOLGAS!$A$2:$A$301,A266,FOLGAS!$C$2:$C$301,C266)&gt;0),IF(D266="FOLGA","⚠ Folga também lançada na aba FOLGAS. ",IF(D266="TRABALHA","⚠ Marcado TRABALHA, mas tem folga na aba FOLGAS. ","")),"")&amp;IF(AND(ISNUMBER(C266),D266="FOLGA",B266&lt;&gt;"",COUNTIFS($B$2:$B$301,B266,$C$2:$C$301,C266,$D$2:$D$301,"TRABALHA")=0),"⚠ Ninguém do setor trabalhando nesta data. ","")))</f>
        <v/>
      </c>
    </row>
    <row r="267" customFormat="false" ht="15" hidden="false" customHeight="true" outlineLevel="0" collapsed="false">
      <c r="A267" s="54"/>
      <c r="B267" s="54"/>
      <c r="C267" s="53"/>
      <c r="D267" s="54"/>
      <c r="E267" s="54"/>
      <c r="F267" s="55" t="str">
        <f aca="false">IF(A267="","",TRIM(IF(NOT(ISNUMBER(C267)),"⚠ Falta a data. ","")&amp;IF(ISNUMBER(C267),IF(OR(AND(MONTH(C267)=12,DAY(C267)=31),AND(MONTH(C267)=1,DAY(C267)=1)),"","⚠ Data fora do Ano Novo (31/12 ou 01/01). "),"")&amp;IF(AND(ISNUMBER(C267),COUNTIFS($A$2:$A$301,A267,$C$2:$C$301,C267)&gt;1),"⚠ Nome repetido na mesma data. ","")&amp;IF(AND(ISNUMBER(C267),COUNTIFS(FÉRIAS!$A$2:$A$301,A267,FÉRIAS!$C$2:$C$301,"&lt;="&amp;C267,FÉRIAS!$D$2:$D$301,"&gt;="&amp;C267)&gt;0),IF(D267="TRABALHA","⚠ Está de férias e marcado TRABALHA. ","⚠ Já está de férias nesta data. "),"")&amp;IF(AND(ISNUMBER(C267),COUNTIFS(FOLGAS!$A$2:$A$301,A267,FOLGAS!$C$2:$C$301,C267)&gt;0),IF(D267="FOLGA","⚠ Folga também lançada na aba FOLGAS. ",IF(D267="TRABALHA","⚠ Marcado TRABALHA, mas tem folga na aba FOLGAS. ","")),"")&amp;IF(AND(ISNUMBER(C267),D267="FOLGA",B267&lt;&gt;"",COUNTIFS($B$2:$B$301,B267,$C$2:$C$301,C267,$D$2:$D$301,"TRABALHA")=0),"⚠ Ninguém do setor trabalhando nesta data. ","")))</f>
        <v/>
      </c>
    </row>
    <row r="268" customFormat="false" ht="15" hidden="false" customHeight="true" outlineLevel="0" collapsed="false">
      <c r="A268" s="54"/>
      <c r="B268" s="54"/>
      <c r="C268" s="53"/>
      <c r="D268" s="54"/>
      <c r="E268" s="54"/>
      <c r="F268" s="55" t="str">
        <f aca="false">IF(A268="","",TRIM(IF(NOT(ISNUMBER(C268)),"⚠ Falta a data. ","")&amp;IF(ISNUMBER(C268),IF(OR(AND(MONTH(C268)=12,DAY(C268)=31),AND(MONTH(C268)=1,DAY(C268)=1)),"","⚠ Data fora do Ano Novo (31/12 ou 01/01). "),"")&amp;IF(AND(ISNUMBER(C268),COUNTIFS($A$2:$A$301,A268,$C$2:$C$301,C268)&gt;1),"⚠ Nome repetido na mesma data. ","")&amp;IF(AND(ISNUMBER(C268),COUNTIFS(FÉRIAS!$A$2:$A$301,A268,FÉRIAS!$C$2:$C$301,"&lt;="&amp;C268,FÉRIAS!$D$2:$D$301,"&gt;="&amp;C268)&gt;0),IF(D268="TRABALHA","⚠ Está de férias e marcado TRABALHA. ","⚠ Já está de férias nesta data. "),"")&amp;IF(AND(ISNUMBER(C268),COUNTIFS(FOLGAS!$A$2:$A$301,A268,FOLGAS!$C$2:$C$301,C268)&gt;0),IF(D268="FOLGA","⚠ Folga também lançada na aba FOLGAS. ",IF(D268="TRABALHA","⚠ Marcado TRABALHA, mas tem folga na aba FOLGAS. ","")),"")&amp;IF(AND(ISNUMBER(C268),D268="FOLGA",B268&lt;&gt;"",COUNTIFS($B$2:$B$301,B268,$C$2:$C$301,C268,$D$2:$D$301,"TRABALHA")=0),"⚠ Ninguém do setor trabalhando nesta data. ","")))</f>
        <v/>
      </c>
    </row>
    <row r="269" customFormat="false" ht="15" hidden="false" customHeight="true" outlineLevel="0" collapsed="false">
      <c r="A269" s="54"/>
      <c r="B269" s="54"/>
      <c r="C269" s="53"/>
      <c r="D269" s="54"/>
      <c r="E269" s="54"/>
      <c r="F269" s="55" t="str">
        <f aca="false">IF(A269="","",TRIM(IF(NOT(ISNUMBER(C269)),"⚠ Falta a data. ","")&amp;IF(ISNUMBER(C269),IF(OR(AND(MONTH(C269)=12,DAY(C269)=31),AND(MONTH(C269)=1,DAY(C269)=1)),"","⚠ Data fora do Ano Novo (31/12 ou 01/01). "),"")&amp;IF(AND(ISNUMBER(C269),COUNTIFS($A$2:$A$301,A269,$C$2:$C$301,C269)&gt;1),"⚠ Nome repetido na mesma data. ","")&amp;IF(AND(ISNUMBER(C269),COUNTIFS(FÉRIAS!$A$2:$A$301,A269,FÉRIAS!$C$2:$C$301,"&lt;="&amp;C269,FÉRIAS!$D$2:$D$301,"&gt;="&amp;C269)&gt;0),IF(D269="TRABALHA","⚠ Está de férias e marcado TRABALHA. ","⚠ Já está de férias nesta data. "),"")&amp;IF(AND(ISNUMBER(C269),COUNTIFS(FOLGAS!$A$2:$A$301,A269,FOLGAS!$C$2:$C$301,C269)&gt;0),IF(D269="FOLGA","⚠ Folga também lançada na aba FOLGAS. ",IF(D269="TRABALHA","⚠ Marcado TRABALHA, mas tem folga na aba FOLGAS. ","")),"")&amp;IF(AND(ISNUMBER(C269),D269="FOLGA",B269&lt;&gt;"",COUNTIFS($B$2:$B$301,B269,$C$2:$C$301,C269,$D$2:$D$301,"TRABALHA")=0),"⚠ Ninguém do setor trabalhando nesta data. ","")))</f>
        <v/>
      </c>
    </row>
    <row r="270" customFormat="false" ht="15" hidden="false" customHeight="true" outlineLevel="0" collapsed="false">
      <c r="A270" s="54"/>
      <c r="B270" s="54"/>
      <c r="C270" s="53"/>
      <c r="D270" s="54"/>
      <c r="E270" s="54"/>
      <c r="F270" s="55" t="str">
        <f aca="false">IF(A270="","",TRIM(IF(NOT(ISNUMBER(C270)),"⚠ Falta a data. ","")&amp;IF(ISNUMBER(C270),IF(OR(AND(MONTH(C270)=12,DAY(C270)=31),AND(MONTH(C270)=1,DAY(C270)=1)),"","⚠ Data fora do Ano Novo (31/12 ou 01/01). "),"")&amp;IF(AND(ISNUMBER(C270),COUNTIFS($A$2:$A$301,A270,$C$2:$C$301,C270)&gt;1),"⚠ Nome repetido na mesma data. ","")&amp;IF(AND(ISNUMBER(C270),COUNTIFS(FÉRIAS!$A$2:$A$301,A270,FÉRIAS!$C$2:$C$301,"&lt;="&amp;C270,FÉRIAS!$D$2:$D$301,"&gt;="&amp;C270)&gt;0),IF(D270="TRABALHA","⚠ Está de férias e marcado TRABALHA. ","⚠ Já está de férias nesta data. "),"")&amp;IF(AND(ISNUMBER(C270),COUNTIFS(FOLGAS!$A$2:$A$301,A270,FOLGAS!$C$2:$C$301,C270)&gt;0),IF(D270="FOLGA","⚠ Folga também lançada na aba FOLGAS. ",IF(D270="TRABALHA","⚠ Marcado TRABALHA, mas tem folga na aba FOLGAS. ","")),"")&amp;IF(AND(ISNUMBER(C270),D270="FOLGA",B270&lt;&gt;"",COUNTIFS($B$2:$B$301,B270,$C$2:$C$301,C270,$D$2:$D$301,"TRABALHA")=0),"⚠ Ninguém do setor trabalhando nesta data. ","")))</f>
        <v/>
      </c>
    </row>
    <row r="271" customFormat="false" ht="15" hidden="false" customHeight="true" outlineLevel="0" collapsed="false">
      <c r="A271" s="54"/>
      <c r="B271" s="54"/>
      <c r="C271" s="53"/>
      <c r="D271" s="54"/>
      <c r="E271" s="54"/>
      <c r="F271" s="55" t="str">
        <f aca="false">IF(A271="","",TRIM(IF(NOT(ISNUMBER(C271)),"⚠ Falta a data. ","")&amp;IF(ISNUMBER(C271),IF(OR(AND(MONTH(C271)=12,DAY(C271)=31),AND(MONTH(C271)=1,DAY(C271)=1)),"","⚠ Data fora do Ano Novo (31/12 ou 01/01). "),"")&amp;IF(AND(ISNUMBER(C271),COUNTIFS($A$2:$A$301,A271,$C$2:$C$301,C271)&gt;1),"⚠ Nome repetido na mesma data. ","")&amp;IF(AND(ISNUMBER(C271),COUNTIFS(FÉRIAS!$A$2:$A$301,A271,FÉRIAS!$C$2:$C$301,"&lt;="&amp;C271,FÉRIAS!$D$2:$D$301,"&gt;="&amp;C271)&gt;0),IF(D271="TRABALHA","⚠ Está de férias e marcado TRABALHA. ","⚠ Já está de férias nesta data. "),"")&amp;IF(AND(ISNUMBER(C271),COUNTIFS(FOLGAS!$A$2:$A$301,A271,FOLGAS!$C$2:$C$301,C271)&gt;0),IF(D271="FOLGA","⚠ Folga também lançada na aba FOLGAS. ",IF(D271="TRABALHA","⚠ Marcado TRABALHA, mas tem folga na aba FOLGAS. ","")),"")&amp;IF(AND(ISNUMBER(C271),D271="FOLGA",B271&lt;&gt;"",COUNTIFS($B$2:$B$301,B271,$C$2:$C$301,C271,$D$2:$D$301,"TRABALHA")=0),"⚠ Ninguém do setor trabalhando nesta data. ","")))</f>
        <v/>
      </c>
    </row>
    <row r="272" customFormat="false" ht="15" hidden="false" customHeight="true" outlineLevel="0" collapsed="false">
      <c r="A272" s="54"/>
      <c r="B272" s="54"/>
      <c r="C272" s="53"/>
      <c r="D272" s="54"/>
      <c r="E272" s="54"/>
      <c r="F272" s="55" t="str">
        <f aca="false">IF(A272="","",TRIM(IF(NOT(ISNUMBER(C272)),"⚠ Falta a data. ","")&amp;IF(ISNUMBER(C272),IF(OR(AND(MONTH(C272)=12,DAY(C272)=31),AND(MONTH(C272)=1,DAY(C272)=1)),"","⚠ Data fora do Ano Novo (31/12 ou 01/01). "),"")&amp;IF(AND(ISNUMBER(C272),COUNTIFS($A$2:$A$301,A272,$C$2:$C$301,C272)&gt;1),"⚠ Nome repetido na mesma data. ","")&amp;IF(AND(ISNUMBER(C272),COUNTIFS(FÉRIAS!$A$2:$A$301,A272,FÉRIAS!$C$2:$C$301,"&lt;="&amp;C272,FÉRIAS!$D$2:$D$301,"&gt;="&amp;C272)&gt;0),IF(D272="TRABALHA","⚠ Está de férias e marcado TRABALHA. ","⚠ Já está de férias nesta data. "),"")&amp;IF(AND(ISNUMBER(C272),COUNTIFS(FOLGAS!$A$2:$A$301,A272,FOLGAS!$C$2:$C$301,C272)&gt;0),IF(D272="FOLGA","⚠ Folga também lançada na aba FOLGAS. ",IF(D272="TRABALHA","⚠ Marcado TRABALHA, mas tem folga na aba FOLGAS. ","")),"")&amp;IF(AND(ISNUMBER(C272),D272="FOLGA",B272&lt;&gt;"",COUNTIFS($B$2:$B$301,B272,$C$2:$C$301,C272,$D$2:$D$301,"TRABALHA")=0),"⚠ Ninguém do setor trabalhando nesta data. ","")))</f>
        <v/>
      </c>
    </row>
    <row r="273" customFormat="false" ht="15" hidden="false" customHeight="true" outlineLevel="0" collapsed="false">
      <c r="A273" s="54"/>
      <c r="B273" s="54"/>
      <c r="C273" s="53"/>
      <c r="D273" s="54"/>
      <c r="E273" s="54"/>
      <c r="F273" s="55" t="str">
        <f aca="false">IF(A273="","",TRIM(IF(NOT(ISNUMBER(C273)),"⚠ Falta a data. ","")&amp;IF(ISNUMBER(C273),IF(OR(AND(MONTH(C273)=12,DAY(C273)=31),AND(MONTH(C273)=1,DAY(C273)=1)),"","⚠ Data fora do Ano Novo (31/12 ou 01/01). "),"")&amp;IF(AND(ISNUMBER(C273),COUNTIFS($A$2:$A$301,A273,$C$2:$C$301,C273)&gt;1),"⚠ Nome repetido na mesma data. ","")&amp;IF(AND(ISNUMBER(C273),COUNTIFS(FÉRIAS!$A$2:$A$301,A273,FÉRIAS!$C$2:$C$301,"&lt;="&amp;C273,FÉRIAS!$D$2:$D$301,"&gt;="&amp;C273)&gt;0),IF(D273="TRABALHA","⚠ Está de férias e marcado TRABALHA. ","⚠ Já está de férias nesta data. "),"")&amp;IF(AND(ISNUMBER(C273),COUNTIFS(FOLGAS!$A$2:$A$301,A273,FOLGAS!$C$2:$C$301,C273)&gt;0),IF(D273="FOLGA","⚠ Folga também lançada na aba FOLGAS. ",IF(D273="TRABALHA","⚠ Marcado TRABALHA, mas tem folga na aba FOLGAS. ","")),"")&amp;IF(AND(ISNUMBER(C273),D273="FOLGA",B273&lt;&gt;"",COUNTIFS($B$2:$B$301,B273,$C$2:$C$301,C273,$D$2:$D$301,"TRABALHA")=0),"⚠ Ninguém do setor trabalhando nesta data. ","")))</f>
        <v/>
      </c>
    </row>
    <row r="274" customFormat="false" ht="15" hidden="false" customHeight="true" outlineLevel="0" collapsed="false">
      <c r="A274" s="54"/>
      <c r="B274" s="54"/>
      <c r="C274" s="53"/>
      <c r="D274" s="54"/>
      <c r="E274" s="54"/>
      <c r="F274" s="55" t="str">
        <f aca="false">IF(A274="","",TRIM(IF(NOT(ISNUMBER(C274)),"⚠ Falta a data. ","")&amp;IF(ISNUMBER(C274),IF(OR(AND(MONTH(C274)=12,DAY(C274)=31),AND(MONTH(C274)=1,DAY(C274)=1)),"","⚠ Data fora do Ano Novo (31/12 ou 01/01). "),"")&amp;IF(AND(ISNUMBER(C274),COUNTIFS($A$2:$A$301,A274,$C$2:$C$301,C274)&gt;1),"⚠ Nome repetido na mesma data. ","")&amp;IF(AND(ISNUMBER(C274),COUNTIFS(FÉRIAS!$A$2:$A$301,A274,FÉRIAS!$C$2:$C$301,"&lt;="&amp;C274,FÉRIAS!$D$2:$D$301,"&gt;="&amp;C274)&gt;0),IF(D274="TRABALHA","⚠ Está de férias e marcado TRABALHA. ","⚠ Já está de férias nesta data. "),"")&amp;IF(AND(ISNUMBER(C274),COUNTIFS(FOLGAS!$A$2:$A$301,A274,FOLGAS!$C$2:$C$301,C274)&gt;0),IF(D274="FOLGA","⚠ Folga também lançada na aba FOLGAS. ",IF(D274="TRABALHA","⚠ Marcado TRABALHA, mas tem folga na aba FOLGAS. ","")),"")&amp;IF(AND(ISNUMBER(C274),D274="FOLGA",B274&lt;&gt;"",COUNTIFS($B$2:$B$301,B274,$C$2:$C$301,C274,$D$2:$D$301,"TRABALHA")=0),"⚠ Ninguém do setor trabalhando nesta data. ","")))</f>
        <v/>
      </c>
    </row>
    <row r="275" customFormat="false" ht="15" hidden="false" customHeight="true" outlineLevel="0" collapsed="false">
      <c r="A275" s="54"/>
      <c r="B275" s="54"/>
      <c r="C275" s="53"/>
      <c r="D275" s="54"/>
      <c r="E275" s="54"/>
      <c r="F275" s="55" t="str">
        <f aca="false">IF(A275="","",TRIM(IF(NOT(ISNUMBER(C275)),"⚠ Falta a data. ","")&amp;IF(ISNUMBER(C275),IF(OR(AND(MONTH(C275)=12,DAY(C275)=31),AND(MONTH(C275)=1,DAY(C275)=1)),"","⚠ Data fora do Ano Novo (31/12 ou 01/01). "),"")&amp;IF(AND(ISNUMBER(C275),COUNTIFS($A$2:$A$301,A275,$C$2:$C$301,C275)&gt;1),"⚠ Nome repetido na mesma data. ","")&amp;IF(AND(ISNUMBER(C275),COUNTIFS(FÉRIAS!$A$2:$A$301,A275,FÉRIAS!$C$2:$C$301,"&lt;="&amp;C275,FÉRIAS!$D$2:$D$301,"&gt;="&amp;C275)&gt;0),IF(D275="TRABALHA","⚠ Está de férias e marcado TRABALHA. ","⚠ Já está de férias nesta data. "),"")&amp;IF(AND(ISNUMBER(C275),COUNTIFS(FOLGAS!$A$2:$A$301,A275,FOLGAS!$C$2:$C$301,C275)&gt;0),IF(D275="FOLGA","⚠ Folga também lançada na aba FOLGAS. ",IF(D275="TRABALHA","⚠ Marcado TRABALHA, mas tem folga na aba FOLGAS. ","")),"")&amp;IF(AND(ISNUMBER(C275),D275="FOLGA",B275&lt;&gt;"",COUNTIFS($B$2:$B$301,B275,$C$2:$C$301,C275,$D$2:$D$301,"TRABALHA")=0),"⚠ Ninguém do setor trabalhando nesta data. ","")))</f>
        <v/>
      </c>
    </row>
    <row r="276" customFormat="false" ht="15" hidden="false" customHeight="true" outlineLevel="0" collapsed="false">
      <c r="A276" s="54"/>
      <c r="B276" s="54"/>
      <c r="C276" s="53"/>
      <c r="D276" s="54"/>
      <c r="E276" s="54"/>
      <c r="F276" s="55" t="str">
        <f aca="false">IF(A276="","",TRIM(IF(NOT(ISNUMBER(C276)),"⚠ Falta a data. ","")&amp;IF(ISNUMBER(C276),IF(OR(AND(MONTH(C276)=12,DAY(C276)=31),AND(MONTH(C276)=1,DAY(C276)=1)),"","⚠ Data fora do Ano Novo (31/12 ou 01/01). "),"")&amp;IF(AND(ISNUMBER(C276),COUNTIFS($A$2:$A$301,A276,$C$2:$C$301,C276)&gt;1),"⚠ Nome repetido na mesma data. ","")&amp;IF(AND(ISNUMBER(C276),COUNTIFS(FÉRIAS!$A$2:$A$301,A276,FÉRIAS!$C$2:$C$301,"&lt;="&amp;C276,FÉRIAS!$D$2:$D$301,"&gt;="&amp;C276)&gt;0),IF(D276="TRABALHA","⚠ Está de férias e marcado TRABALHA. ","⚠ Já está de férias nesta data. "),"")&amp;IF(AND(ISNUMBER(C276),COUNTIFS(FOLGAS!$A$2:$A$301,A276,FOLGAS!$C$2:$C$301,C276)&gt;0),IF(D276="FOLGA","⚠ Folga também lançada na aba FOLGAS. ",IF(D276="TRABALHA","⚠ Marcado TRABALHA, mas tem folga na aba FOLGAS. ","")),"")&amp;IF(AND(ISNUMBER(C276),D276="FOLGA",B276&lt;&gt;"",COUNTIFS($B$2:$B$301,B276,$C$2:$C$301,C276,$D$2:$D$301,"TRABALHA")=0),"⚠ Ninguém do setor trabalhando nesta data. ","")))</f>
        <v/>
      </c>
    </row>
    <row r="277" customFormat="false" ht="15" hidden="false" customHeight="true" outlineLevel="0" collapsed="false">
      <c r="A277" s="54"/>
      <c r="B277" s="54"/>
      <c r="C277" s="53"/>
      <c r="D277" s="54"/>
      <c r="E277" s="54"/>
      <c r="F277" s="55" t="str">
        <f aca="false">IF(A277="","",TRIM(IF(NOT(ISNUMBER(C277)),"⚠ Falta a data. ","")&amp;IF(ISNUMBER(C277),IF(OR(AND(MONTH(C277)=12,DAY(C277)=31),AND(MONTH(C277)=1,DAY(C277)=1)),"","⚠ Data fora do Ano Novo (31/12 ou 01/01). "),"")&amp;IF(AND(ISNUMBER(C277),COUNTIFS($A$2:$A$301,A277,$C$2:$C$301,C277)&gt;1),"⚠ Nome repetido na mesma data. ","")&amp;IF(AND(ISNUMBER(C277),COUNTIFS(FÉRIAS!$A$2:$A$301,A277,FÉRIAS!$C$2:$C$301,"&lt;="&amp;C277,FÉRIAS!$D$2:$D$301,"&gt;="&amp;C277)&gt;0),IF(D277="TRABALHA","⚠ Está de férias e marcado TRABALHA. ","⚠ Já está de férias nesta data. "),"")&amp;IF(AND(ISNUMBER(C277),COUNTIFS(FOLGAS!$A$2:$A$301,A277,FOLGAS!$C$2:$C$301,C277)&gt;0),IF(D277="FOLGA","⚠ Folga também lançada na aba FOLGAS. ",IF(D277="TRABALHA","⚠ Marcado TRABALHA, mas tem folga na aba FOLGAS. ","")),"")&amp;IF(AND(ISNUMBER(C277),D277="FOLGA",B277&lt;&gt;"",COUNTIFS($B$2:$B$301,B277,$C$2:$C$301,C277,$D$2:$D$301,"TRABALHA")=0),"⚠ Ninguém do setor trabalhando nesta data. ","")))</f>
        <v/>
      </c>
    </row>
    <row r="278" customFormat="false" ht="15" hidden="false" customHeight="true" outlineLevel="0" collapsed="false">
      <c r="A278" s="54"/>
      <c r="B278" s="54"/>
      <c r="C278" s="53"/>
      <c r="D278" s="54"/>
      <c r="E278" s="54"/>
      <c r="F278" s="55" t="str">
        <f aca="false">IF(A278="","",TRIM(IF(NOT(ISNUMBER(C278)),"⚠ Falta a data. ","")&amp;IF(ISNUMBER(C278),IF(OR(AND(MONTH(C278)=12,DAY(C278)=31),AND(MONTH(C278)=1,DAY(C278)=1)),"","⚠ Data fora do Ano Novo (31/12 ou 01/01). "),"")&amp;IF(AND(ISNUMBER(C278),COUNTIFS($A$2:$A$301,A278,$C$2:$C$301,C278)&gt;1),"⚠ Nome repetido na mesma data. ","")&amp;IF(AND(ISNUMBER(C278),COUNTIFS(FÉRIAS!$A$2:$A$301,A278,FÉRIAS!$C$2:$C$301,"&lt;="&amp;C278,FÉRIAS!$D$2:$D$301,"&gt;="&amp;C278)&gt;0),IF(D278="TRABALHA","⚠ Está de férias e marcado TRABALHA. ","⚠ Já está de férias nesta data. "),"")&amp;IF(AND(ISNUMBER(C278),COUNTIFS(FOLGAS!$A$2:$A$301,A278,FOLGAS!$C$2:$C$301,C278)&gt;0),IF(D278="FOLGA","⚠ Folga também lançada na aba FOLGAS. ",IF(D278="TRABALHA","⚠ Marcado TRABALHA, mas tem folga na aba FOLGAS. ","")),"")&amp;IF(AND(ISNUMBER(C278),D278="FOLGA",B278&lt;&gt;"",COUNTIFS($B$2:$B$301,B278,$C$2:$C$301,C278,$D$2:$D$301,"TRABALHA")=0),"⚠ Ninguém do setor trabalhando nesta data. ","")))</f>
        <v/>
      </c>
    </row>
    <row r="279" customFormat="false" ht="15" hidden="false" customHeight="true" outlineLevel="0" collapsed="false">
      <c r="A279" s="54"/>
      <c r="B279" s="54"/>
      <c r="C279" s="53"/>
      <c r="D279" s="54"/>
      <c r="E279" s="54"/>
      <c r="F279" s="55" t="str">
        <f aca="false">IF(A279="","",TRIM(IF(NOT(ISNUMBER(C279)),"⚠ Falta a data. ","")&amp;IF(ISNUMBER(C279),IF(OR(AND(MONTH(C279)=12,DAY(C279)=31),AND(MONTH(C279)=1,DAY(C279)=1)),"","⚠ Data fora do Ano Novo (31/12 ou 01/01). "),"")&amp;IF(AND(ISNUMBER(C279),COUNTIFS($A$2:$A$301,A279,$C$2:$C$301,C279)&gt;1),"⚠ Nome repetido na mesma data. ","")&amp;IF(AND(ISNUMBER(C279),COUNTIFS(FÉRIAS!$A$2:$A$301,A279,FÉRIAS!$C$2:$C$301,"&lt;="&amp;C279,FÉRIAS!$D$2:$D$301,"&gt;="&amp;C279)&gt;0),IF(D279="TRABALHA","⚠ Está de férias e marcado TRABALHA. ","⚠ Já está de férias nesta data. "),"")&amp;IF(AND(ISNUMBER(C279),COUNTIFS(FOLGAS!$A$2:$A$301,A279,FOLGAS!$C$2:$C$301,C279)&gt;0),IF(D279="FOLGA","⚠ Folga também lançada na aba FOLGAS. ",IF(D279="TRABALHA","⚠ Marcado TRABALHA, mas tem folga na aba FOLGAS. ","")),"")&amp;IF(AND(ISNUMBER(C279),D279="FOLGA",B279&lt;&gt;"",COUNTIFS($B$2:$B$301,B279,$C$2:$C$301,C279,$D$2:$D$301,"TRABALHA")=0),"⚠ Ninguém do setor trabalhando nesta data. ","")))</f>
        <v/>
      </c>
    </row>
    <row r="280" customFormat="false" ht="15" hidden="false" customHeight="true" outlineLevel="0" collapsed="false">
      <c r="A280" s="54"/>
      <c r="B280" s="54"/>
      <c r="C280" s="53"/>
      <c r="D280" s="54"/>
      <c r="E280" s="54"/>
      <c r="F280" s="55" t="str">
        <f aca="false">IF(A280="","",TRIM(IF(NOT(ISNUMBER(C280)),"⚠ Falta a data. ","")&amp;IF(ISNUMBER(C280),IF(OR(AND(MONTH(C280)=12,DAY(C280)=31),AND(MONTH(C280)=1,DAY(C280)=1)),"","⚠ Data fora do Ano Novo (31/12 ou 01/01). "),"")&amp;IF(AND(ISNUMBER(C280),COUNTIFS($A$2:$A$301,A280,$C$2:$C$301,C280)&gt;1),"⚠ Nome repetido na mesma data. ","")&amp;IF(AND(ISNUMBER(C280),COUNTIFS(FÉRIAS!$A$2:$A$301,A280,FÉRIAS!$C$2:$C$301,"&lt;="&amp;C280,FÉRIAS!$D$2:$D$301,"&gt;="&amp;C280)&gt;0),IF(D280="TRABALHA","⚠ Está de férias e marcado TRABALHA. ","⚠ Já está de férias nesta data. "),"")&amp;IF(AND(ISNUMBER(C280),COUNTIFS(FOLGAS!$A$2:$A$301,A280,FOLGAS!$C$2:$C$301,C280)&gt;0),IF(D280="FOLGA","⚠ Folga também lançada na aba FOLGAS. ",IF(D280="TRABALHA","⚠ Marcado TRABALHA, mas tem folga na aba FOLGAS. ","")),"")&amp;IF(AND(ISNUMBER(C280),D280="FOLGA",B280&lt;&gt;"",COUNTIFS($B$2:$B$301,B280,$C$2:$C$301,C280,$D$2:$D$301,"TRABALHA")=0),"⚠ Ninguém do setor trabalhando nesta data. ","")))</f>
        <v/>
      </c>
    </row>
    <row r="281" customFormat="false" ht="15" hidden="false" customHeight="true" outlineLevel="0" collapsed="false">
      <c r="A281" s="54"/>
      <c r="B281" s="54"/>
      <c r="C281" s="53"/>
      <c r="D281" s="54"/>
      <c r="E281" s="54"/>
      <c r="F281" s="55" t="str">
        <f aca="false">IF(A281="","",TRIM(IF(NOT(ISNUMBER(C281)),"⚠ Falta a data. ","")&amp;IF(ISNUMBER(C281),IF(OR(AND(MONTH(C281)=12,DAY(C281)=31),AND(MONTH(C281)=1,DAY(C281)=1)),"","⚠ Data fora do Ano Novo (31/12 ou 01/01). "),"")&amp;IF(AND(ISNUMBER(C281),COUNTIFS($A$2:$A$301,A281,$C$2:$C$301,C281)&gt;1),"⚠ Nome repetido na mesma data. ","")&amp;IF(AND(ISNUMBER(C281),COUNTIFS(FÉRIAS!$A$2:$A$301,A281,FÉRIAS!$C$2:$C$301,"&lt;="&amp;C281,FÉRIAS!$D$2:$D$301,"&gt;="&amp;C281)&gt;0),IF(D281="TRABALHA","⚠ Está de férias e marcado TRABALHA. ","⚠ Já está de férias nesta data. "),"")&amp;IF(AND(ISNUMBER(C281),COUNTIFS(FOLGAS!$A$2:$A$301,A281,FOLGAS!$C$2:$C$301,C281)&gt;0),IF(D281="FOLGA","⚠ Folga também lançada na aba FOLGAS. ",IF(D281="TRABALHA","⚠ Marcado TRABALHA, mas tem folga na aba FOLGAS. ","")),"")&amp;IF(AND(ISNUMBER(C281),D281="FOLGA",B281&lt;&gt;"",COUNTIFS($B$2:$B$301,B281,$C$2:$C$301,C281,$D$2:$D$301,"TRABALHA")=0),"⚠ Ninguém do setor trabalhando nesta data. ","")))</f>
        <v/>
      </c>
    </row>
    <row r="282" customFormat="false" ht="15" hidden="false" customHeight="true" outlineLevel="0" collapsed="false">
      <c r="A282" s="54"/>
      <c r="B282" s="54"/>
      <c r="C282" s="53"/>
      <c r="D282" s="54"/>
      <c r="E282" s="54"/>
      <c r="F282" s="55" t="str">
        <f aca="false">IF(A282="","",TRIM(IF(NOT(ISNUMBER(C282)),"⚠ Falta a data. ","")&amp;IF(ISNUMBER(C282),IF(OR(AND(MONTH(C282)=12,DAY(C282)=31),AND(MONTH(C282)=1,DAY(C282)=1)),"","⚠ Data fora do Ano Novo (31/12 ou 01/01). "),"")&amp;IF(AND(ISNUMBER(C282),COUNTIFS($A$2:$A$301,A282,$C$2:$C$301,C282)&gt;1),"⚠ Nome repetido na mesma data. ","")&amp;IF(AND(ISNUMBER(C282),COUNTIFS(FÉRIAS!$A$2:$A$301,A282,FÉRIAS!$C$2:$C$301,"&lt;="&amp;C282,FÉRIAS!$D$2:$D$301,"&gt;="&amp;C282)&gt;0),IF(D282="TRABALHA","⚠ Está de férias e marcado TRABALHA. ","⚠ Já está de férias nesta data. "),"")&amp;IF(AND(ISNUMBER(C282),COUNTIFS(FOLGAS!$A$2:$A$301,A282,FOLGAS!$C$2:$C$301,C282)&gt;0),IF(D282="FOLGA","⚠ Folga também lançada na aba FOLGAS. ",IF(D282="TRABALHA","⚠ Marcado TRABALHA, mas tem folga na aba FOLGAS. ","")),"")&amp;IF(AND(ISNUMBER(C282),D282="FOLGA",B282&lt;&gt;"",COUNTIFS($B$2:$B$301,B282,$C$2:$C$301,C282,$D$2:$D$301,"TRABALHA")=0),"⚠ Ninguém do setor trabalhando nesta data. ","")))</f>
        <v/>
      </c>
    </row>
    <row r="283" customFormat="false" ht="15" hidden="false" customHeight="true" outlineLevel="0" collapsed="false">
      <c r="A283" s="54"/>
      <c r="B283" s="54"/>
      <c r="C283" s="53"/>
      <c r="D283" s="54"/>
      <c r="E283" s="54"/>
      <c r="F283" s="55" t="str">
        <f aca="false">IF(A283="","",TRIM(IF(NOT(ISNUMBER(C283)),"⚠ Falta a data. ","")&amp;IF(ISNUMBER(C283),IF(OR(AND(MONTH(C283)=12,DAY(C283)=31),AND(MONTH(C283)=1,DAY(C283)=1)),"","⚠ Data fora do Ano Novo (31/12 ou 01/01). "),"")&amp;IF(AND(ISNUMBER(C283),COUNTIFS($A$2:$A$301,A283,$C$2:$C$301,C283)&gt;1),"⚠ Nome repetido na mesma data. ","")&amp;IF(AND(ISNUMBER(C283),COUNTIFS(FÉRIAS!$A$2:$A$301,A283,FÉRIAS!$C$2:$C$301,"&lt;="&amp;C283,FÉRIAS!$D$2:$D$301,"&gt;="&amp;C283)&gt;0),IF(D283="TRABALHA","⚠ Está de férias e marcado TRABALHA. ","⚠ Já está de férias nesta data. "),"")&amp;IF(AND(ISNUMBER(C283),COUNTIFS(FOLGAS!$A$2:$A$301,A283,FOLGAS!$C$2:$C$301,C283)&gt;0),IF(D283="FOLGA","⚠ Folga também lançada na aba FOLGAS. ",IF(D283="TRABALHA","⚠ Marcado TRABALHA, mas tem folga na aba FOLGAS. ","")),"")&amp;IF(AND(ISNUMBER(C283),D283="FOLGA",B283&lt;&gt;"",COUNTIFS($B$2:$B$301,B283,$C$2:$C$301,C283,$D$2:$D$301,"TRABALHA")=0),"⚠ Ninguém do setor trabalhando nesta data. ","")))</f>
        <v/>
      </c>
    </row>
    <row r="284" customFormat="false" ht="15" hidden="false" customHeight="true" outlineLevel="0" collapsed="false">
      <c r="A284" s="54"/>
      <c r="B284" s="54"/>
      <c r="C284" s="53"/>
      <c r="D284" s="54"/>
      <c r="E284" s="54"/>
      <c r="F284" s="55" t="str">
        <f aca="false">IF(A284="","",TRIM(IF(NOT(ISNUMBER(C284)),"⚠ Falta a data. ","")&amp;IF(ISNUMBER(C284),IF(OR(AND(MONTH(C284)=12,DAY(C284)=31),AND(MONTH(C284)=1,DAY(C284)=1)),"","⚠ Data fora do Ano Novo (31/12 ou 01/01). "),"")&amp;IF(AND(ISNUMBER(C284),COUNTIFS($A$2:$A$301,A284,$C$2:$C$301,C284)&gt;1),"⚠ Nome repetido na mesma data. ","")&amp;IF(AND(ISNUMBER(C284),COUNTIFS(FÉRIAS!$A$2:$A$301,A284,FÉRIAS!$C$2:$C$301,"&lt;="&amp;C284,FÉRIAS!$D$2:$D$301,"&gt;="&amp;C284)&gt;0),IF(D284="TRABALHA","⚠ Está de férias e marcado TRABALHA. ","⚠ Já está de férias nesta data. "),"")&amp;IF(AND(ISNUMBER(C284),COUNTIFS(FOLGAS!$A$2:$A$301,A284,FOLGAS!$C$2:$C$301,C284)&gt;0),IF(D284="FOLGA","⚠ Folga também lançada na aba FOLGAS. ",IF(D284="TRABALHA","⚠ Marcado TRABALHA, mas tem folga na aba FOLGAS. ","")),"")&amp;IF(AND(ISNUMBER(C284),D284="FOLGA",B284&lt;&gt;"",COUNTIFS($B$2:$B$301,B284,$C$2:$C$301,C284,$D$2:$D$301,"TRABALHA")=0),"⚠ Ninguém do setor trabalhando nesta data. ","")))</f>
        <v/>
      </c>
    </row>
    <row r="285" customFormat="false" ht="15" hidden="false" customHeight="true" outlineLevel="0" collapsed="false">
      <c r="A285" s="54"/>
      <c r="B285" s="54"/>
      <c r="C285" s="53"/>
      <c r="D285" s="54"/>
      <c r="E285" s="54"/>
      <c r="F285" s="55" t="str">
        <f aca="false">IF(A285="","",TRIM(IF(NOT(ISNUMBER(C285)),"⚠ Falta a data. ","")&amp;IF(ISNUMBER(C285),IF(OR(AND(MONTH(C285)=12,DAY(C285)=31),AND(MONTH(C285)=1,DAY(C285)=1)),"","⚠ Data fora do Ano Novo (31/12 ou 01/01). "),"")&amp;IF(AND(ISNUMBER(C285),COUNTIFS($A$2:$A$301,A285,$C$2:$C$301,C285)&gt;1),"⚠ Nome repetido na mesma data. ","")&amp;IF(AND(ISNUMBER(C285),COUNTIFS(FÉRIAS!$A$2:$A$301,A285,FÉRIAS!$C$2:$C$301,"&lt;="&amp;C285,FÉRIAS!$D$2:$D$301,"&gt;="&amp;C285)&gt;0),IF(D285="TRABALHA","⚠ Está de férias e marcado TRABALHA. ","⚠ Já está de férias nesta data. "),"")&amp;IF(AND(ISNUMBER(C285),COUNTIFS(FOLGAS!$A$2:$A$301,A285,FOLGAS!$C$2:$C$301,C285)&gt;0),IF(D285="FOLGA","⚠ Folga também lançada na aba FOLGAS. ",IF(D285="TRABALHA","⚠ Marcado TRABALHA, mas tem folga na aba FOLGAS. ","")),"")&amp;IF(AND(ISNUMBER(C285),D285="FOLGA",B285&lt;&gt;"",COUNTIFS($B$2:$B$301,B285,$C$2:$C$301,C285,$D$2:$D$301,"TRABALHA")=0),"⚠ Ninguém do setor trabalhando nesta data. ","")))</f>
        <v/>
      </c>
    </row>
    <row r="286" customFormat="false" ht="15" hidden="false" customHeight="true" outlineLevel="0" collapsed="false">
      <c r="A286" s="54"/>
      <c r="B286" s="54"/>
      <c r="C286" s="53"/>
      <c r="D286" s="54"/>
      <c r="E286" s="54"/>
      <c r="F286" s="55" t="str">
        <f aca="false">IF(A286="","",TRIM(IF(NOT(ISNUMBER(C286)),"⚠ Falta a data. ","")&amp;IF(ISNUMBER(C286),IF(OR(AND(MONTH(C286)=12,DAY(C286)=31),AND(MONTH(C286)=1,DAY(C286)=1)),"","⚠ Data fora do Ano Novo (31/12 ou 01/01). "),"")&amp;IF(AND(ISNUMBER(C286),COUNTIFS($A$2:$A$301,A286,$C$2:$C$301,C286)&gt;1),"⚠ Nome repetido na mesma data. ","")&amp;IF(AND(ISNUMBER(C286),COUNTIFS(FÉRIAS!$A$2:$A$301,A286,FÉRIAS!$C$2:$C$301,"&lt;="&amp;C286,FÉRIAS!$D$2:$D$301,"&gt;="&amp;C286)&gt;0),IF(D286="TRABALHA","⚠ Está de férias e marcado TRABALHA. ","⚠ Já está de férias nesta data. "),"")&amp;IF(AND(ISNUMBER(C286),COUNTIFS(FOLGAS!$A$2:$A$301,A286,FOLGAS!$C$2:$C$301,C286)&gt;0),IF(D286="FOLGA","⚠ Folga também lançada na aba FOLGAS. ",IF(D286="TRABALHA","⚠ Marcado TRABALHA, mas tem folga na aba FOLGAS. ","")),"")&amp;IF(AND(ISNUMBER(C286),D286="FOLGA",B286&lt;&gt;"",COUNTIFS($B$2:$B$301,B286,$C$2:$C$301,C286,$D$2:$D$301,"TRABALHA")=0),"⚠ Ninguém do setor trabalhando nesta data. ","")))</f>
        <v/>
      </c>
    </row>
    <row r="287" customFormat="false" ht="15" hidden="false" customHeight="true" outlineLevel="0" collapsed="false">
      <c r="A287" s="54"/>
      <c r="B287" s="54"/>
      <c r="C287" s="53"/>
      <c r="D287" s="54"/>
      <c r="E287" s="54"/>
      <c r="F287" s="55" t="str">
        <f aca="false">IF(A287="","",TRIM(IF(NOT(ISNUMBER(C287)),"⚠ Falta a data. ","")&amp;IF(ISNUMBER(C287),IF(OR(AND(MONTH(C287)=12,DAY(C287)=31),AND(MONTH(C287)=1,DAY(C287)=1)),"","⚠ Data fora do Ano Novo (31/12 ou 01/01). "),"")&amp;IF(AND(ISNUMBER(C287),COUNTIFS($A$2:$A$301,A287,$C$2:$C$301,C287)&gt;1),"⚠ Nome repetido na mesma data. ","")&amp;IF(AND(ISNUMBER(C287),COUNTIFS(FÉRIAS!$A$2:$A$301,A287,FÉRIAS!$C$2:$C$301,"&lt;="&amp;C287,FÉRIAS!$D$2:$D$301,"&gt;="&amp;C287)&gt;0),IF(D287="TRABALHA","⚠ Está de férias e marcado TRABALHA. ","⚠ Já está de férias nesta data. "),"")&amp;IF(AND(ISNUMBER(C287),COUNTIFS(FOLGAS!$A$2:$A$301,A287,FOLGAS!$C$2:$C$301,C287)&gt;0),IF(D287="FOLGA","⚠ Folga também lançada na aba FOLGAS. ",IF(D287="TRABALHA","⚠ Marcado TRABALHA, mas tem folga na aba FOLGAS. ","")),"")&amp;IF(AND(ISNUMBER(C287),D287="FOLGA",B287&lt;&gt;"",COUNTIFS($B$2:$B$301,B287,$C$2:$C$301,C287,$D$2:$D$301,"TRABALHA")=0),"⚠ Ninguém do setor trabalhando nesta data. ","")))</f>
        <v/>
      </c>
    </row>
    <row r="288" customFormat="false" ht="15" hidden="false" customHeight="true" outlineLevel="0" collapsed="false">
      <c r="A288" s="54"/>
      <c r="B288" s="54"/>
      <c r="C288" s="53"/>
      <c r="D288" s="54"/>
      <c r="E288" s="54"/>
      <c r="F288" s="55" t="str">
        <f aca="false">IF(A288="","",TRIM(IF(NOT(ISNUMBER(C288)),"⚠ Falta a data. ","")&amp;IF(ISNUMBER(C288),IF(OR(AND(MONTH(C288)=12,DAY(C288)=31),AND(MONTH(C288)=1,DAY(C288)=1)),"","⚠ Data fora do Ano Novo (31/12 ou 01/01). "),"")&amp;IF(AND(ISNUMBER(C288),COUNTIFS($A$2:$A$301,A288,$C$2:$C$301,C288)&gt;1),"⚠ Nome repetido na mesma data. ","")&amp;IF(AND(ISNUMBER(C288),COUNTIFS(FÉRIAS!$A$2:$A$301,A288,FÉRIAS!$C$2:$C$301,"&lt;="&amp;C288,FÉRIAS!$D$2:$D$301,"&gt;="&amp;C288)&gt;0),IF(D288="TRABALHA","⚠ Está de férias e marcado TRABALHA. ","⚠ Já está de férias nesta data. "),"")&amp;IF(AND(ISNUMBER(C288),COUNTIFS(FOLGAS!$A$2:$A$301,A288,FOLGAS!$C$2:$C$301,C288)&gt;0),IF(D288="FOLGA","⚠ Folga também lançada na aba FOLGAS. ",IF(D288="TRABALHA","⚠ Marcado TRABALHA, mas tem folga na aba FOLGAS. ","")),"")&amp;IF(AND(ISNUMBER(C288),D288="FOLGA",B288&lt;&gt;"",COUNTIFS($B$2:$B$301,B288,$C$2:$C$301,C288,$D$2:$D$301,"TRABALHA")=0),"⚠ Ninguém do setor trabalhando nesta data. ","")))</f>
        <v/>
      </c>
    </row>
    <row r="289" customFormat="false" ht="15" hidden="false" customHeight="true" outlineLevel="0" collapsed="false">
      <c r="A289" s="54"/>
      <c r="B289" s="54"/>
      <c r="C289" s="53"/>
      <c r="D289" s="54"/>
      <c r="E289" s="54"/>
      <c r="F289" s="55" t="str">
        <f aca="false">IF(A289="","",TRIM(IF(NOT(ISNUMBER(C289)),"⚠ Falta a data. ","")&amp;IF(ISNUMBER(C289),IF(OR(AND(MONTH(C289)=12,DAY(C289)=31),AND(MONTH(C289)=1,DAY(C289)=1)),"","⚠ Data fora do Ano Novo (31/12 ou 01/01). "),"")&amp;IF(AND(ISNUMBER(C289),COUNTIFS($A$2:$A$301,A289,$C$2:$C$301,C289)&gt;1),"⚠ Nome repetido na mesma data. ","")&amp;IF(AND(ISNUMBER(C289),COUNTIFS(FÉRIAS!$A$2:$A$301,A289,FÉRIAS!$C$2:$C$301,"&lt;="&amp;C289,FÉRIAS!$D$2:$D$301,"&gt;="&amp;C289)&gt;0),IF(D289="TRABALHA","⚠ Está de férias e marcado TRABALHA. ","⚠ Já está de férias nesta data. "),"")&amp;IF(AND(ISNUMBER(C289),COUNTIFS(FOLGAS!$A$2:$A$301,A289,FOLGAS!$C$2:$C$301,C289)&gt;0),IF(D289="FOLGA","⚠ Folga também lançada na aba FOLGAS. ",IF(D289="TRABALHA","⚠ Marcado TRABALHA, mas tem folga na aba FOLGAS. ","")),"")&amp;IF(AND(ISNUMBER(C289),D289="FOLGA",B289&lt;&gt;"",COUNTIFS($B$2:$B$301,B289,$C$2:$C$301,C289,$D$2:$D$301,"TRABALHA")=0),"⚠ Ninguém do setor trabalhando nesta data. ","")))</f>
        <v/>
      </c>
    </row>
    <row r="290" customFormat="false" ht="15" hidden="false" customHeight="true" outlineLevel="0" collapsed="false">
      <c r="A290" s="54"/>
      <c r="B290" s="54"/>
      <c r="C290" s="53"/>
      <c r="D290" s="54"/>
      <c r="E290" s="54"/>
      <c r="F290" s="55" t="str">
        <f aca="false">IF(A290="","",TRIM(IF(NOT(ISNUMBER(C290)),"⚠ Falta a data. ","")&amp;IF(ISNUMBER(C290),IF(OR(AND(MONTH(C290)=12,DAY(C290)=31),AND(MONTH(C290)=1,DAY(C290)=1)),"","⚠ Data fora do Ano Novo (31/12 ou 01/01). "),"")&amp;IF(AND(ISNUMBER(C290),COUNTIFS($A$2:$A$301,A290,$C$2:$C$301,C290)&gt;1),"⚠ Nome repetido na mesma data. ","")&amp;IF(AND(ISNUMBER(C290),COUNTIFS(FÉRIAS!$A$2:$A$301,A290,FÉRIAS!$C$2:$C$301,"&lt;="&amp;C290,FÉRIAS!$D$2:$D$301,"&gt;="&amp;C290)&gt;0),IF(D290="TRABALHA","⚠ Está de férias e marcado TRABALHA. ","⚠ Já está de férias nesta data. "),"")&amp;IF(AND(ISNUMBER(C290),COUNTIFS(FOLGAS!$A$2:$A$301,A290,FOLGAS!$C$2:$C$301,C290)&gt;0),IF(D290="FOLGA","⚠ Folga também lançada na aba FOLGAS. ",IF(D290="TRABALHA","⚠ Marcado TRABALHA, mas tem folga na aba FOLGAS. ","")),"")&amp;IF(AND(ISNUMBER(C290),D290="FOLGA",B290&lt;&gt;"",COUNTIFS($B$2:$B$301,B290,$C$2:$C$301,C290,$D$2:$D$301,"TRABALHA")=0),"⚠ Ninguém do setor trabalhando nesta data. ","")))</f>
        <v/>
      </c>
    </row>
    <row r="291" customFormat="false" ht="15" hidden="false" customHeight="true" outlineLevel="0" collapsed="false">
      <c r="A291" s="54"/>
      <c r="B291" s="54"/>
      <c r="C291" s="53"/>
      <c r="D291" s="54"/>
      <c r="E291" s="54"/>
      <c r="F291" s="55" t="str">
        <f aca="false">IF(A291="","",TRIM(IF(NOT(ISNUMBER(C291)),"⚠ Falta a data. ","")&amp;IF(ISNUMBER(C291),IF(OR(AND(MONTH(C291)=12,DAY(C291)=31),AND(MONTH(C291)=1,DAY(C291)=1)),"","⚠ Data fora do Ano Novo (31/12 ou 01/01). "),"")&amp;IF(AND(ISNUMBER(C291),COUNTIFS($A$2:$A$301,A291,$C$2:$C$301,C291)&gt;1),"⚠ Nome repetido na mesma data. ","")&amp;IF(AND(ISNUMBER(C291),COUNTIFS(FÉRIAS!$A$2:$A$301,A291,FÉRIAS!$C$2:$C$301,"&lt;="&amp;C291,FÉRIAS!$D$2:$D$301,"&gt;="&amp;C291)&gt;0),IF(D291="TRABALHA","⚠ Está de férias e marcado TRABALHA. ","⚠ Já está de férias nesta data. "),"")&amp;IF(AND(ISNUMBER(C291),COUNTIFS(FOLGAS!$A$2:$A$301,A291,FOLGAS!$C$2:$C$301,C291)&gt;0),IF(D291="FOLGA","⚠ Folga também lançada na aba FOLGAS. ",IF(D291="TRABALHA","⚠ Marcado TRABALHA, mas tem folga na aba FOLGAS. ","")),"")&amp;IF(AND(ISNUMBER(C291),D291="FOLGA",B291&lt;&gt;"",COUNTIFS($B$2:$B$301,B291,$C$2:$C$301,C291,$D$2:$D$301,"TRABALHA")=0),"⚠ Ninguém do setor trabalhando nesta data. ","")))</f>
        <v/>
      </c>
    </row>
    <row r="292" customFormat="false" ht="15" hidden="false" customHeight="true" outlineLevel="0" collapsed="false">
      <c r="A292" s="54"/>
      <c r="B292" s="54"/>
      <c r="C292" s="53"/>
      <c r="D292" s="54"/>
      <c r="E292" s="54"/>
      <c r="F292" s="55" t="str">
        <f aca="false">IF(A292="","",TRIM(IF(NOT(ISNUMBER(C292)),"⚠ Falta a data. ","")&amp;IF(ISNUMBER(C292),IF(OR(AND(MONTH(C292)=12,DAY(C292)=31),AND(MONTH(C292)=1,DAY(C292)=1)),"","⚠ Data fora do Ano Novo (31/12 ou 01/01). "),"")&amp;IF(AND(ISNUMBER(C292),COUNTIFS($A$2:$A$301,A292,$C$2:$C$301,C292)&gt;1),"⚠ Nome repetido na mesma data. ","")&amp;IF(AND(ISNUMBER(C292),COUNTIFS(FÉRIAS!$A$2:$A$301,A292,FÉRIAS!$C$2:$C$301,"&lt;="&amp;C292,FÉRIAS!$D$2:$D$301,"&gt;="&amp;C292)&gt;0),IF(D292="TRABALHA","⚠ Está de férias e marcado TRABALHA. ","⚠ Já está de férias nesta data. "),"")&amp;IF(AND(ISNUMBER(C292),COUNTIFS(FOLGAS!$A$2:$A$301,A292,FOLGAS!$C$2:$C$301,C292)&gt;0),IF(D292="FOLGA","⚠ Folga também lançada na aba FOLGAS. ",IF(D292="TRABALHA","⚠ Marcado TRABALHA, mas tem folga na aba FOLGAS. ","")),"")&amp;IF(AND(ISNUMBER(C292),D292="FOLGA",B292&lt;&gt;"",COUNTIFS($B$2:$B$301,B292,$C$2:$C$301,C292,$D$2:$D$301,"TRABALHA")=0),"⚠ Ninguém do setor trabalhando nesta data. ","")))</f>
        <v/>
      </c>
    </row>
    <row r="293" customFormat="false" ht="15" hidden="false" customHeight="true" outlineLevel="0" collapsed="false">
      <c r="A293" s="54"/>
      <c r="B293" s="54"/>
      <c r="C293" s="53"/>
      <c r="D293" s="54"/>
      <c r="E293" s="54"/>
      <c r="F293" s="55" t="str">
        <f aca="false">IF(A293="","",TRIM(IF(NOT(ISNUMBER(C293)),"⚠ Falta a data. ","")&amp;IF(ISNUMBER(C293),IF(OR(AND(MONTH(C293)=12,DAY(C293)=31),AND(MONTH(C293)=1,DAY(C293)=1)),"","⚠ Data fora do Ano Novo (31/12 ou 01/01). "),"")&amp;IF(AND(ISNUMBER(C293),COUNTIFS($A$2:$A$301,A293,$C$2:$C$301,C293)&gt;1),"⚠ Nome repetido na mesma data. ","")&amp;IF(AND(ISNUMBER(C293),COUNTIFS(FÉRIAS!$A$2:$A$301,A293,FÉRIAS!$C$2:$C$301,"&lt;="&amp;C293,FÉRIAS!$D$2:$D$301,"&gt;="&amp;C293)&gt;0),IF(D293="TRABALHA","⚠ Está de férias e marcado TRABALHA. ","⚠ Já está de férias nesta data. "),"")&amp;IF(AND(ISNUMBER(C293),COUNTIFS(FOLGAS!$A$2:$A$301,A293,FOLGAS!$C$2:$C$301,C293)&gt;0),IF(D293="FOLGA","⚠ Folga também lançada na aba FOLGAS. ",IF(D293="TRABALHA","⚠ Marcado TRABALHA, mas tem folga na aba FOLGAS. ","")),"")&amp;IF(AND(ISNUMBER(C293),D293="FOLGA",B293&lt;&gt;"",COUNTIFS($B$2:$B$301,B293,$C$2:$C$301,C293,$D$2:$D$301,"TRABALHA")=0),"⚠ Ninguém do setor trabalhando nesta data. ","")))</f>
        <v/>
      </c>
    </row>
    <row r="294" customFormat="false" ht="15" hidden="false" customHeight="true" outlineLevel="0" collapsed="false">
      <c r="A294" s="54"/>
      <c r="B294" s="54"/>
      <c r="C294" s="53"/>
      <c r="D294" s="54"/>
      <c r="E294" s="54"/>
      <c r="F294" s="55" t="str">
        <f aca="false">IF(A294="","",TRIM(IF(NOT(ISNUMBER(C294)),"⚠ Falta a data. ","")&amp;IF(ISNUMBER(C294),IF(OR(AND(MONTH(C294)=12,DAY(C294)=31),AND(MONTH(C294)=1,DAY(C294)=1)),"","⚠ Data fora do Ano Novo (31/12 ou 01/01). "),"")&amp;IF(AND(ISNUMBER(C294),COUNTIFS($A$2:$A$301,A294,$C$2:$C$301,C294)&gt;1),"⚠ Nome repetido na mesma data. ","")&amp;IF(AND(ISNUMBER(C294),COUNTIFS(FÉRIAS!$A$2:$A$301,A294,FÉRIAS!$C$2:$C$301,"&lt;="&amp;C294,FÉRIAS!$D$2:$D$301,"&gt;="&amp;C294)&gt;0),IF(D294="TRABALHA","⚠ Está de férias e marcado TRABALHA. ","⚠ Já está de férias nesta data. "),"")&amp;IF(AND(ISNUMBER(C294),COUNTIFS(FOLGAS!$A$2:$A$301,A294,FOLGAS!$C$2:$C$301,C294)&gt;0),IF(D294="FOLGA","⚠ Folga também lançada na aba FOLGAS. ",IF(D294="TRABALHA","⚠ Marcado TRABALHA, mas tem folga na aba FOLGAS. ","")),"")&amp;IF(AND(ISNUMBER(C294),D294="FOLGA",B294&lt;&gt;"",COUNTIFS($B$2:$B$301,B294,$C$2:$C$301,C294,$D$2:$D$301,"TRABALHA")=0),"⚠ Ninguém do setor trabalhando nesta data. ","")))</f>
        <v/>
      </c>
    </row>
    <row r="295" customFormat="false" ht="15" hidden="false" customHeight="true" outlineLevel="0" collapsed="false">
      <c r="A295" s="54"/>
      <c r="B295" s="54"/>
      <c r="C295" s="53"/>
      <c r="D295" s="54"/>
      <c r="E295" s="54"/>
      <c r="F295" s="55" t="str">
        <f aca="false">IF(A295="","",TRIM(IF(NOT(ISNUMBER(C295)),"⚠ Falta a data. ","")&amp;IF(ISNUMBER(C295),IF(OR(AND(MONTH(C295)=12,DAY(C295)=31),AND(MONTH(C295)=1,DAY(C295)=1)),"","⚠ Data fora do Ano Novo (31/12 ou 01/01). "),"")&amp;IF(AND(ISNUMBER(C295),COUNTIFS($A$2:$A$301,A295,$C$2:$C$301,C295)&gt;1),"⚠ Nome repetido na mesma data. ","")&amp;IF(AND(ISNUMBER(C295),COUNTIFS(FÉRIAS!$A$2:$A$301,A295,FÉRIAS!$C$2:$C$301,"&lt;="&amp;C295,FÉRIAS!$D$2:$D$301,"&gt;="&amp;C295)&gt;0),IF(D295="TRABALHA","⚠ Está de férias e marcado TRABALHA. ","⚠ Já está de férias nesta data. "),"")&amp;IF(AND(ISNUMBER(C295),COUNTIFS(FOLGAS!$A$2:$A$301,A295,FOLGAS!$C$2:$C$301,C295)&gt;0),IF(D295="FOLGA","⚠ Folga também lançada na aba FOLGAS. ",IF(D295="TRABALHA","⚠ Marcado TRABALHA, mas tem folga na aba FOLGAS. ","")),"")&amp;IF(AND(ISNUMBER(C295),D295="FOLGA",B295&lt;&gt;"",COUNTIFS($B$2:$B$301,B295,$C$2:$C$301,C295,$D$2:$D$301,"TRABALHA")=0),"⚠ Ninguém do setor trabalhando nesta data. ","")))</f>
        <v/>
      </c>
    </row>
    <row r="296" customFormat="false" ht="15" hidden="false" customHeight="true" outlineLevel="0" collapsed="false">
      <c r="A296" s="54"/>
      <c r="B296" s="54"/>
      <c r="C296" s="53"/>
      <c r="D296" s="54"/>
      <c r="E296" s="54"/>
      <c r="F296" s="55" t="str">
        <f aca="false">IF(A296="","",TRIM(IF(NOT(ISNUMBER(C296)),"⚠ Falta a data. ","")&amp;IF(ISNUMBER(C296),IF(OR(AND(MONTH(C296)=12,DAY(C296)=31),AND(MONTH(C296)=1,DAY(C296)=1)),"","⚠ Data fora do Ano Novo (31/12 ou 01/01). "),"")&amp;IF(AND(ISNUMBER(C296),COUNTIFS($A$2:$A$301,A296,$C$2:$C$301,C296)&gt;1),"⚠ Nome repetido na mesma data. ","")&amp;IF(AND(ISNUMBER(C296),COUNTIFS(FÉRIAS!$A$2:$A$301,A296,FÉRIAS!$C$2:$C$301,"&lt;="&amp;C296,FÉRIAS!$D$2:$D$301,"&gt;="&amp;C296)&gt;0),IF(D296="TRABALHA","⚠ Está de férias e marcado TRABALHA. ","⚠ Já está de férias nesta data. "),"")&amp;IF(AND(ISNUMBER(C296),COUNTIFS(FOLGAS!$A$2:$A$301,A296,FOLGAS!$C$2:$C$301,C296)&gt;0),IF(D296="FOLGA","⚠ Folga também lançada na aba FOLGAS. ",IF(D296="TRABALHA","⚠ Marcado TRABALHA, mas tem folga na aba FOLGAS. ","")),"")&amp;IF(AND(ISNUMBER(C296),D296="FOLGA",B296&lt;&gt;"",COUNTIFS($B$2:$B$301,B296,$C$2:$C$301,C296,$D$2:$D$301,"TRABALHA")=0),"⚠ Ninguém do setor trabalhando nesta data. ","")))</f>
        <v/>
      </c>
    </row>
    <row r="297" customFormat="false" ht="15" hidden="false" customHeight="true" outlineLevel="0" collapsed="false">
      <c r="A297" s="54"/>
      <c r="B297" s="54"/>
      <c r="C297" s="53"/>
      <c r="D297" s="54"/>
      <c r="E297" s="54"/>
      <c r="F297" s="55" t="str">
        <f aca="false">IF(A297="","",TRIM(IF(NOT(ISNUMBER(C297)),"⚠ Falta a data. ","")&amp;IF(ISNUMBER(C297),IF(OR(AND(MONTH(C297)=12,DAY(C297)=31),AND(MONTH(C297)=1,DAY(C297)=1)),"","⚠ Data fora do Ano Novo (31/12 ou 01/01). "),"")&amp;IF(AND(ISNUMBER(C297),COUNTIFS($A$2:$A$301,A297,$C$2:$C$301,C297)&gt;1),"⚠ Nome repetido na mesma data. ","")&amp;IF(AND(ISNUMBER(C297),COUNTIFS(FÉRIAS!$A$2:$A$301,A297,FÉRIAS!$C$2:$C$301,"&lt;="&amp;C297,FÉRIAS!$D$2:$D$301,"&gt;="&amp;C297)&gt;0),IF(D297="TRABALHA","⚠ Está de férias e marcado TRABALHA. ","⚠ Já está de férias nesta data. "),"")&amp;IF(AND(ISNUMBER(C297),COUNTIFS(FOLGAS!$A$2:$A$301,A297,FOLGAS!$C$2:$C$301,C297)&gt;0),IF(D297="FOLGA","⚠ Folga também lançada na aba FOLGAS. ",IF(D297="TRABALHA","⚠ Marcado TRABALHA, mas tem folga na aba FOLGAS. ","")),"")&amp;IF(AND(ISNUMBER(C297),D297="FOLGA",B297&lt;&gt;"",COUNTIFS($B$2:$B$301,B297,$C$2:$C$301,C297,$D$2:$D$301,"TRABALHA")=0),"⚠ Ninguém do setor trabalhando nesta data. ","")))</f>
        <v/>
      </c>
    </row>
    <row r="298" customFormat="false" ht="15" hidden="false" customHeight="true" outlineLevel="0" collapsed="false">
      <c r="A298" s="54"/>
      <c r="B298" s="54"/>
      <c r="C298" s="53"/>
      <c r="D298" s="54"/>
      <c r="E298" s="54"/>
      <c r="F298" s="55" t="str">
        <f aca="false">IF(A298="","",TRIM(IF(NOT(ISNUMBER(C298)),"⚠ Falta a data. ","")&amp;IF(ISNUMBER(C298),IF(OR(AND(MONTH(C298)=12,DAY(C298)=31),AND(MONTH(C298)=1,DAY(C298)=1)),"","⚠ Data fora do Ano Novo (31/12 ou 01/01). "),"")&amp;IF(AND(ISNUMBER(C298),COUNTIFS($A$2:$A$301,A298,$C$2:$C$301,C298)&gt;1),"⚠ Nome repetido na mesma data. ","")&amp;IF(AND(ISNUMBER(C298),COUNTIFS(FÉRIAS!$A$2:$A$301,A298,FÉRIAS!$C$2:$C$301,"&lt;="&amp;C298,FÉRIAS!$D$2:$D$301,"&gt;="&amp;C298)&gt;0),IF(D298="TRABALHA","⚠ Está de férias e marcado TRABALHA. ","⚠ Já está de férias nesta data. "),"")&amp;IF(AND(ISNUMBER(C298),COUNTIFS(FOLGAS!$A$2:$A$301,A298,FOLGAS!$C$2:$C$301,C298)&gt;0),IF(D298="FOLGA","⚠ Folga também lançada na aba FOLGAS. ",IF(D298="TRABALHA","⚠ Marcado TRABALHA, mas tem folga na aba FOLGAS. ","")),"")&amp;IF(AND(ISNUMBER(C298),D298="FOLGA",B298&lt;&gt;"",COUNTIFS($B$2:$B$301,B298,$C$2:$C$301,C298,$D$2:$D$301,"TRABALHA")=0),"⚠ Ninguém do setor trabalhando nesta data. ","")))</f>
        <v/>
      </c>
    </row>
    <row r="299" customFormat="false" ht="15" hidden="false" customHeight="true" outlineLevel="0" collapsed="false">
      <c r="A299" s="54"/>
      <c r="B299" s="54"/>
      <c r="C299" s="53"/>
      <c r="D299" s="54"/>
      <c r="E299" s="54"/>
      <c r="F299" s="55" t="str">
        <f aca="false">IF(A299="","",TRIM(IF(NOT(ISNUMBER(C299)),"⚠ Falta a data. ","")&amp;IF(ISNUMBER(C299),IF(OR(AND(MONTH(C299)=12,DAY(C299)=31),AND(MONTH(C299)=1,DAY(C299)=1)),"","⚠ Data fora do Ano Novo (31/12 ou 01/01). "),"")&amp;IF(AND(ISNUMBER(C299),COUNTIFS($A$2:$A$301,A299,$C$2:$C$301,C299)&gt;1),"⚠ Nome repetido na mesma data. ","")&amp;IF(AND(ISNUMBER(C299),COUNTIFS(FÉRIAS!$A$2:$A$301,A299,FÉRIAS!$C$2:$C$301,"&lt;="&amp;C299,FÉRIAS!$D$2:$D$301,"&gt;="&amp;C299)&gt;0),IF(D299="TRABALHA","⚠ Está de férias e marcado TRABALHA. ","⚠ Já está de férias nesta data. "),"")&amp;IF(AND(ISNUMBER(C299),COUNTIFS(FOLGAS!$A$2:$A$301,A299,FOLGAS!$C$2:$C$301,C299)&gt;0),IF(D299="FOLGA","⚠ Folga também lançada na aba FOLGAS. ",IF(D299="TRABALHA","⚠ Marcado TRABALHA, mas tem folga na aba FOLGAS. ","")),"")&amp;IF(AND(ISNUMBER(C299),D299="FOLGA",B299&lt;&gt;"",COUNTIFS($B$2:$B$301,B299,$C$2:$C$301,C299,$D$2:$D$301,"TRABALHA")=0),"⚠ Ninguém do setor trabalhando nesta data. ","")))</f>
        <v/>
      </c>
    </row>
    <row r="300" customFormat="false" ht="15" hidden="false" customHeight="true" outlineLevel="0" collapsed="false">
      <c r="A300" s="54"/>
      <c r="B300" s="54"/>
      <c r="C300" s="53"/>
      <c r="D300" s="54"/>
      <c r="E300" s="54"/>
      <c r="F300" s="55" t="str">
        <f aca="false">IF(A300="","",TRIM(IF(NOT(ISNUMBER(C300)),"⚠ Falta a data. ","")&amp;IF(ISNUMBER(C300),IF(OR(AND(MONTH(C300)=12,DAY(C300)=31),AND(MONTH(C300)=1,DAY(C300)=1)),"","⚠ Data fora do Ano Novo (31/12 ou 01/01). "),"")&amp;IF(AND(ISNUMBER(C300),COUNTIFS($A$2:$A$301,A300,$C$2:$C$301,C300)&gt;1),"⚠ Nome repetido na mesma data. ","")&amp;IF(AND(ISNUMBER(C300),COUNTIFS(FÉRIAS!$A$2:$A$301,A300,FÉRIAS!$C$2:$C$301,"&lt;="&amp;C300,FÉRIAS!$D$2:$D$301,"&gt;="&amp;C300)&gt;0),IF(D300="TRABALHA","⚠ Está de férias e marcado TRABALHA. ","⚠ Já está de férias nesta data. "),"")&amp;IF(AND(ISNUMBER(C300),COUNTIFS(FOLGAS!$A$2:$A$301,A300,FOLGAS!$C$2:$C$301,C300)&gt;0),IF(D300="FOLGA","⚠ Folga também lançada na aba FOLGAS. ",IF(D300="TRABALHA","⚠ Marcado TRABALHA, mas tem folga na aba FOLGAS. ","")),"")&amp;IF(AND(ISNUMBER(C300),D300="FOLGA",B300&lt;&gt;"",COUNTIFS($B$2:$B$301,B300,$C$2:$C$301,C300,$D$2:$D$301,"TRABALHA")=0),"⚠ Ninguém do setor trabalhando nesta data. ","")))</f>
        <v/>
      </c>
    </row>
    <row r="301" customFormat="false" ht="15" hidden="false" customHeight="true" outlineLevel="0" collapsed="false">
      <c r="A301" s="54"/>
      <c r="B301" s="54"/>
      <c r="C301" s="53"/>
      <c r="D301" s="54"/>
      <c r="E301" s="54"/>
      <c r="F301" s="55" t="str">
        <f aca="false">IF(A301="","",TRIM(IF(NOT(ISNUMBER(C301)),"⚠ Falta a data. ","")&amp;IF(ISNUMBER(C301),IF(OR(AND(MONTH(C301)=12,DAY(C301)=31),AND(MONTH(C301)=1,DAY(C301)=1)),"","⚠ Data fora do Ano Novo (31/12 ou 01/01). "),"")&amp;IF(AND(ISNUMBER(C301),COUNTIFS($A$2:$A$301,A301,$C$2:$C$301,C301)&gt;1),"⚠ Nome repetido na mesma data. ","")&amp;IF(AND(ISNUMBER(C301),COUNTIFS(FÉRIAS!$A$2:$A$301,A301,FÉRIAS!$C$2:$C$301,"&lt;="&amp;C301,FÉRIAS!$D$2:$D$301,"&gt;="&amp;C301)&gt;0),IF(D301="TRABALHA","⚠ Está de férias e marcado TRABALHA. ","⚠ Já está de férias nesta data. "),"")&amp;IF(AND(ISNUMBER(C301),COUNTIFS(FOLGAS!$A$2:$A$301,A301,FOLGAS!$C$2:$C$301,C301)&gt;0),IF(D301="FOLGA","⚠ Folga também lançada na aba FOLGAS. ",IF(D301="TRABALHA","⚠ Marcado TRABALHA, mas tem folga na aba FOLGAS. ","")),"")&amp;IF(AND(ISNUMBER(C301),D301="FOLGA",B301&lt;&gt;"",COUNTIFS($B$2:$B$301,B301,$C$2:$C$301,C301,$D$2:$D$301,"TRABALHA")=0),"⚠ Ninguém do setor trabalhando nesta data. ","")))</f>
        <v/>
      </c>
    </row>
  </sheetData>
  <autoFilter ref="A1:F301"/>
  <conditionalFormatting sqref="F2:F301">
    <cfRule type="expression" priority="2" aboveAverage="0" equalAverage="0" bottom="0" percent="0" rank="0" text="" dxfId="13">
      <formula>LEFT($F2,1)="⚠"</formula>
    </cfRule>
  </conditionalFormatting>
  <conditionalFormatting sqref="A2:F301">
    <cfRule type="expression" priority="3" aboveAverage="0" equalAverage="0" bottom="0" percent="0" rank="0" text="" dxfId="1">
      <formula>$D2="FOLGA"</formula>
    </cfRule>
    <cfRule type="expression" priority="4" aboveAverage="0" equalAverage="0" bottom="0" percent="0" rank="0" text="" dxfId="15">
      <formula>$D2="TRABALHA"</formula>
    </cfRule>
    <cfRule type="expression" priority="5" aboveAverage="0" equalAverage="0" bottom="0" percent="0" rank="0" text="" dxfId="16">
      <formula>AND($A2&lt;&gt;"",$D2="")</formula>
    </cfRule>
  </conditionalFormatting>
  <dataValidations count="4">
    <dataValidation allowBlank="true" error="Escolha TRABALHA ou FOLGA na lista." errorStyle="stop" errorTitle="Situação inválida" operator="between" showDropDown="false" showErrorMessage="true" showInputMessage="false" sqref="D2:D301" type="list">
      <formula1>LISTAS!$A$2:$A$3</formula1>
      <formula2>0</formula2>
    </dataValidation>
    <dataValidation allowBlank="true" error="Digite uma data válida no formato dd/mm/aaaa." errorStyle="stop" errorTitle="Data inválida" operator="between" showDropDown="false" showErrorMessage="true" showInputMessage="false" sqref="C2:C301" type="date">
      <formula1>DATE(2020,1,1)</formula1>
      <formula2>DATE(2100,12,31)</formula2>
    </dataValidation>
    <dataValidation allowBlank="true" error="Este setor não está na aba LISTAS. Deseja manter mesmo assim?" errorStyle="warning" errorTitle="Setor fora da lista" operator="between" showDropDown="false" showErrorMessage="true" showInputMessage="false" sqref="B2:B301" type="list">
      <formula1>LISTAS!$B$2:$B$20</formula1>
      <formula2>0</formula2>
    </dataValidation>
    <dataValidation allowBlank="true" error="Este nome não está na lista de Funcionários (aba LISTAS, coluna F). Nomes escritos de forma diferente impedem os alertas entre abas. Manter mesmo assim?" errorStyle="warning" errorTitle="Nome fora da lista" operator="between" showDropDown="false" showErrorMessage="true" showInputMessage="false" sqref="A2:A301" type="list">
      <formula1>LISTAS!$F$2:$F$300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0" activeCellId="0" sqref="E20"/>
    </sheetView>
  </sheetViews>
  <sheetFormatPr defaultColWidth="8.6953125" defaultRowHeight="15" zeroHeight="false" outlineLevelRow="0" outlineLevelCol="0"/>
  <cols>
    <col collapsed="false" customWidth="true" hidden="false" outlineLevel="0" max="1" min="1" style="49" width="32"/>
    <col collapsed="false" customWidth="true" hidden="false" outlineLevel="0" max="2" min="2" style="49" width="24"/>
    <col collapsed="false" customWidth="true" hidden="false" outlineLevel="0" max="4" min="3" style="49" width="19.99"/>
    <col collapsed="false" customWidth="true" hidden="false" outlineLevel="0" max="5" min="5" style="49" width="64.8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6"/>
    <col collapsed="false" customWidth="true" hidden="true" outlineLevel="0" max="13" min="11" style="0" width="13"/>
  </cols>
  <sheetData>
    <row r="1" customFormat="false" ht="31.5" hidden="false" customHeight="true" outlineLevel="0" collapsed="false">
      <c r="A1" s="50" t="s">
        <v>11</v>
      </c>
      <c r="B1" s="50" t="s">
        <v>12</v>
      </c>
      <c r="C1" s="50" t="s">
        <v>73</v>
      </c>
      <c r="D1" s="50" t="s">
        <v>74</v>
      </c>
      <c r="E1" s="50" t="s">
        <v>14</v>
      </c>
      <c r="F1" s="50" t="s">
        <v>75</v>
      </c>
      <c r="G1" s="50" t="s">
        <v>76</v>
      </c>
      <c r="H1" s="50" t="s">
        <v>20</v>
      </c>
      <c r="I1" s="50" t="s">
        <v>25</v>
      </c>
      <c r="K1" s="60" t="s">
        <v>77</v>
      </c>
      <c r="L1" s="60" t="s">
        <v>78</v>
      </c>
      <c r="M1" s="60" t="s">
        <v>79</v>
      </c>
    </row>
    <row r="2" customFormat="false" ht="13.5" hidden="false" customHeight="true" outlineLevel="0" collapsed="false">
      <c r="A2" s="61" t="s">
        <v>53</v>
      </c>
      <c r="B2" s="62" t="s">
        <v>54</v>
      </c>
      <c r="C2" s="63" t="n">
        <v>46357</v>
      </c>
      <c r="D2" s="63" t="n">
        <v>46371</v>
      </c>
      <c r="E2" s="64" t="s">
        <v>80</v>
      </c>
      <c r="F2" s="65" t="n">
        <f aca="false">IF(AND(ISNUMBER(C2),ISNUMBER(D2),D2&gt;=C2),D2-C2+1,"")</f>
        <v>15</v>
      </c>
      <c r="G2" s="66" t="n">
        <f aca="false">IF(AND(ISNUMBER(C2),ISNUMBER(D2),D2&gt;=C2),WORKDAY(D2,1),"")</f>
        <v>46372</v>
      </c>
      <c r="H2" s="55" t="str">
        <f aca="true">IF(A2="","",IF(NOT(AND(ISNUMBER(C2),ISNUMBER(D2))),"Sem data definida",IF(D2&lt;C2,"⚠ Datas invertidas",IF(TODAY()&lt;C2,IF(C2-TODAY()=1,"Começa amanhã","Começa em "&amp;(C2-TODAY())&amp;" dias"),IF(TODAY()&gt;D2,"Concluídas",IF(TODAY()=D2,"EM FÉRIAS (último dia)","EM FÉRIAS (faltam "&amp;(D2-TODAY())&amp;" dias)"))))))</f>
        <v>Começa em 56 dias</v>
      </c>
      <c r="I2" s="55" t="str">
        <f aca="false">IF(OR(A2="",NOT(AND(ISNUMBER(C2),ISNUMBER(D2)))),"",IF(D2-C2+1&gt;30,"⚠ Período acima de 30 dias",IF(COUNTIFS($B$2:$B$301,B2,$C$2:$C$301,"&lt;="&amp;D2,$D$2:$D$301,"&gt;="&amp;C2)&gt;1,"⚠ Coincide com férias de outro do setor","")))</f>
        <v/>
      </c>
      <c r="K2" s="0" t="str">
        <f aca="true">IF(AND(ISNUMBER(C2),ISNUMBER(D2),C2&lt;=TODAY(),D2&gt;=TODAY()),D2+ROW()/100000,"")</f>
        <v/>
      </c>
      <c r="L2" s="0" t="str">
        <f aca="true">IF(AND(ISNUMBER(C2),C2&gt;TODAY(),C2&lt;=TODAY()+30),C2+ROW()/100000,"")</f>
        <v/>
      </c>
      <c r="M2" s="0" t="str">
        <f aca="false">IF(AND(ISNUMBER(C2),ISNUMBER(D2),C2&lt;=CALENDÁRIO!$L$4,D2&gt;=CALENDÁRIO!$L$4),ROW(),"")</f>
        <v/>
      </c>
    </row>
    <row r="3" customFormat="false" ht="13.5" hidden="false" customHeight="true" outlineLevel="0" collapsed="false">
      <c r="A3" s="61" t="s">
        <v>66</v>
      </c>
      <c r="B3" s="62" t="s">
        <v>61</v>
      </c>
      <c r="C3" s="63" t="n">
        <v>46352</v>
      </c>
      <c r="D3" s="63" t="n">
        <v>46366</v>
      </c>
      <c r="E3" s="64" t="s">
        <v>80</v>
      </c>
      <c r="F3" s="67" t="n">
        <f aca="false">IF(AND(ISNUMBER(C3),ISNUMBER(D3),D3&gt;=C3),D3-C3+1,"")</f>
        <v>15</v>
      </c>
      <c r="G3" s="68" t="n">
        <f aca="false">IF(AND(ISNUMBER(C3),ISNUMBER(D3),D3&gt;=C3),WORKDAY(D3,1),"")</f>
        <v>46367</v>
      </c>
      <c r="H3" s="69" t="str">
        <f aca="true">IF(A3="","",IF(NOT(AND(ISNUMBER(C3),ISNUMBER(D3))),"Sem data definida",IF(D3&lt;C3,"⚠ Datas invertidas",IF(TODAY()&lt;C3,IF(C3-TODAY()=1,"Começa amanhã","Começa em "&amp;(C3-TODAY())&amp;" dias"),IF(TODAY()&gt;D3,"Concluídas",IF(TODAY()=D3,"EM FÉRIAS (último dia)","EM FÉRIAS (faltam "&amp;(D3-TODAY())&amp;" dias)"))))))</f>
        <v>Começa em 51 dias</v>
      </c>
      <c r="I3" s="69" t="str">
        <f aca="false">IF(OR(A3="",NOT(AND(ISNUMBER(C3),ISNUMBER(D3)))),"",IF(D3-C3+1&gt;30,"⚠ Período acima de 30 dias",IF(COUNTIFS($B$2:$B$301,B3,$C$2:$C$301,"&lt;="&amp;D3,$D$2:$D$301,"&gt;="&amp;C3)&gt;1,"⚠ Coincide com férias de outro do setor","")))</f>
        <v>⚠ Coincide com férias de outro do setor</v>
      </c>
      <c r="K3" s="0" t="str">
        <f aca="true">IF(AND(ISNUMBER(C3),ISNUMBER(D3),C3&lt;=TODAY(),D3&gt;=TODAY()),D3+ROW()/100000,"")</f>
        <v/>
      </c>
      <c r="L3" s="0" t="str">
        <f aca="true">IF(AND(ISNUMBER(C3),C3&gt;TODAY(),C3&lt;=TODAY()+30),C3+ROW()/100000,"")</f>
        <v/>
      </c>
      <c r="M3" s="0" t="str">
        <f aca="false">IF(AND(ISNUMBER(C3),ISNUMBER(D3),C3&lt;=CALENDÁRIO!$L$4,D3&gt;=CALENDÁRIO!$L$4),ROW(),"")</f>
        <v/>
      </c>
    </row>
    <row r="4" customFormat="false" ht="13.5" hidden="false" customHeight="true" outlineLevel="0" collapsed="false">
      <c r="A4" s="61" t="s">
        <v>55</v>
      </c>
      <c r="B4" s="62" t="s">
        <v>51</v>
      </c>
      <c r="C4" s="63" t="n">
        <v>46314</v>
      </c>
      <c r="D4" s="63" t="n">
        <v>46328</v>
      </c>
      <c r="E4" s="64" t="s">
        <v>81</v>
      </c>
      <c r="F4" s="65" t="n">
        <f aca="false">IF(AND(ISNUMBER(C4),ISNUMBER(D4),D4&gt;=C4),D4-C4+1,"")</f>
        <v>15</v>
      </c>
      <c r="G4" s="66" t="n">
        <f aca="false">IF(AND(ISNUMBER(C4),ISNUMBER(D4),D4&gt;=C4),WORKDAY(D4,1),"")</f>
        <v>46329</v>
      </c>
      <c r="H4" s="55" t="str">
        <f aca="true">IF(A4="","",IF(NOT(AND(ISNUMBER(C4),ISNUMBER(D4))),"Sem data definida",IF(D4&lt;C4,"⚠ Datas invertidas",IF(TODAY()&lt;C4,IF(C4-TODAY()=1,"Começa amanhã","Começa em "&amp;(C4-TODAY())&amp;" dias"),IF(TODAY()&gt;D4,"Concluídas",IF(TODAY()=D4,"EM FÉRIAS (último dia)","EM FÉRIAS (faltam "&amp;(D4-TODAY())&amp;" dias)"))))))</f>
        <v>Começa em 13 dias</v>
      </c>
      <c r="I4" s="55" t="str">
        <f aca="false">IF(OR(A4="",NOT(AND(ISNUMBER(C4),ISNUMBER(D4)))),"",IF(D4-C4+1&gt;30,"⚠ Período acima de 30 dias",IF(COUNTIFS($B$2:$B$301,B4,$C$2:$C$301,"&lt;="&amp;D4,$D$2:$D$301,"&gt;="&amp;C4)&gt;1,"⚠ Coincide com férias de outro do setor","")))</f>
        <v/>
      </c>
      <c r="K4" s="0" t="str">
        <f aca="true">IF(AND(ISNUMBER(C4),ISNUMBER(D4),C4&lt;=TODAY(),D4&gt;=TODAY()),D4+ROW()/100000,"")</f>
        <v/>
      </c>
      <c r="L4" s="37" t="n">
        <f aca="true">IF(AND(ISNUMBER(C4),C4&gt;TODAY(),C4&lt;=TODAY()+30),C4+ROW()/100000,"")</f>
        <v>46314.00004</v>
      </c>
      <c r="M4" s="0" t="str">
        <f aca="false">IF(AND(ISNUMBER(C4),ISNUMBER(D4),C4&lt;=CALENDÁRIO!$L$4,D4&gt;=CALENDÁRIO!$L$4),ROW(),"")</f>
        <v/>
      </c>
    </row>
    <row r="5" customFormat="false" ht="13.5" hidden="false" customHeight="true" outlineLevel="0" collapsed="false">
      <c r="A5" s="61" t="s">
        <v>59</v>
      </c>
      <c r="B5" s="62" t="s">
        <v>51</v>
      </c>
      <c r="C5" s="63" t="n">
        <v>46360</v>
      </c>
      <c r="D5" s="63" t="n">
        <v>46379</v>
      </c>
      <c r="E5" s="64" t="s">
        <v>82</v>
      </c>
      <c r="F5" s="65" t="n">
        <f aca="false">IF(AND(ISNUMBER(C5),ISNUMBER(D5),D5&gt;=C5),D5-C5+1,"")</f>
        <v>20</v>
      </c>
      <c r="G5" s="66" t="n">
        <f aca="false">IF(AND(ISNUMBER(C5),ISNUMBER(D5),D5&gt;=C5),WORKDAY(D5,1),"")</f>
        <v>46380</v>
      </c>
      <c r="H5" s="55" t="str">
        <f aca="true">IF(A5="","",IF(NOT(AND(ISNUMBER(C5),ISNUMBER(D5))),"Sem data definida",IF(D5&lt;C5,"⚠ Datas invertidas",IF(TODAY()&lt;C5,IF(C5-TODAY()=1,"Começa amanhã","Começa em "&amp;(C5-TODAY())&amp;" dias"),IF(TODAY()&gt;D5,"Concluídas",IF(TODAY()=D5,"EM FÉRIAS (último dia)","EM FÉRIAS (faltam "&amp;(D5-TODAY())&amp;" dias)"))))))</f>
        <v>Começa em 59 dias</v>
      </c>
      <c r="I5" s="55" t="str">
        <f aca="false">IF(OR(A5="",NOT(AND(ISNUMBER(C5),ISNUMBER(D5)))),"",IF(D5-C5+1&gt;30,"⚠ Período acima de 30 dias",IF(COUNTIFS($B$2:$B$301,B5,$C$2:$C$301,"&lt;="&amp;D5,$D$2:$D$301,"&gt;="&amp;C5)&gt;1,"⚠ Coincide com férias de outro do setor","")))</f>
        <v/>
      </c>
      <c r="K5" s="0" t="str">
        <f aca="true">IF(AND(ISNUMBER(C5),ISNUMBER(D5),C5&lt;=TODAY(),D5&gt;=TODAY()),D5+ROW()/100000,"")</f>
        <v/>
      </c>
      <c r="L5" s="0" t="str">
        <f aca="true">IF(AND(ISNUMBER(C5),C5&gt;TODAY(),C5&lt;=TODAY()+30),C5+ROW()/100000,"")</f>
        <v/>
      </c>
      <c r="M5" s="0" t="str">
        <f aca="false">IF(AND(ISNUMBER(C5),ISNUMBER(D5),C5&lt;=CALENDÁRIO!$L$4,D5&gt;=CALENDÁRIO!$L$4),ROW(),"")</f>
        <v/>
      </c>
    </row>
    <row r="6" customFormat="false" ht="13.5" hidden="false" customHeight="true" outlineLevel="0" collapsed="false">
      <c r="A6" s="61" t="s">
        <v>52</v>
      </c>
      <c r="B6" s="62" t="s">
        <v>51</v>
      </c>
      <c r="C6" s="70"/>
      <c r="D6" s="70"/>
      <c r="E6" s="64" t="s">
        <v>80</v>
      </c>
      <c r="F6" s="65" t="str">
        <f aca="false">IF(AND(ISNUMBER(C6),ISNUMBER(D6),D6&gt;=C6),D6-C6+1,"")</f>
        <v/>
      </c>
      <c r="G6" s="66" t="str">
        <f aca="false">IF(AND(ISNUMBER(C6),ISNUMBER(D6),D6&gt;=C6),WORKDAY(D6,1),"")</f>
        <v/>
      </c>
      <c r="H6" s="55" t="str">
        <f aca="true">IF(A6="","",IF(NOT(AND(ISNUMBER(C6),ISNUMBER(D6))),"Sem data definida",IF(D6&lt;C6,"⚠ Datas invertidas",IF(TODAY()&lt;C6,IF(C6-TODAY()=1,"Começa amanhã","Começa em "&amp;(C6-TODAY())&amp;" dias"),IF(TODAY()&gt;D6,"Concluídas",IF(TODAY()=D6,"EM FÉRIAS (último dia)","EM FÉRIAS (faltam "&amp;(D6-TODAY())&amp;" dias)"))))))</f>
        <v>Sem data definida</v>
      </c>
      <c r="I6" s="55" t="str">
        <f aca="false">IF(OR(A6="",NOT(AND(ISNUMBER(C6),ISNUMBER(D6)))),"",IF(D6-C6+1&gt;30,"⚠ Período acima de 30 dias",IF(COUNTIFS($B$2:$B$301,B6,$C$2:$C$301,"&lt;="&amp;D6,$D$2:$D$301,"&gt;="&amp;C6)&gt;1,"⚠ Coincide com férias de outro do setor","")))</f>
        <v/>
      </c>
      <c r="K6" s="0" t="str">
        <f aca="true">IF(AND(ISNUMBER(C6),ISNUMBER(D6),C6&lt;=TODAY(),D6&gt;=TODAY()),D6+ROW()/100000,"")</f>
        <v/>
      </c>
      <c r="L6" s="0" t="str">
        <f aca="true">IF(AND(ISNUMBER(C6),C6&gt;TODAY(),C6&lt;=TODAY()+30),C6+ROW()/100000,"")</f>
        <v/>
      </c>
      <c r="M6" s="0" t="str">
        <f aca="false">IF(AND(ISNUMBER(C6),ISNUMBER(D6),C6&lt;=CALENDÁRIO!$L$4,D6&gt;=CALENDÁRIO!$L$4),ROW(),"")</f>
        <v/>
      </c>
    </row>
    <row r="7" customFormat="false" ht="23.25" hidden="false" customHeight="true" outlineLevel="0" collapsed="false">
      <c r="A7" s="61" t="s">
        <v>50</v>
      </c>
      <c r="B7" s="62" t="s">
        <v>51</v>
      </c>
      <c r="C7" s="63" t="n">
        <v>46308</v>
      </c>
      <c r="D7" s="63" t="n">
        <v>46311</v>
      </c>
      <c r="E7" s="71" t="s">
        <v>83</v>
      </c>
      <c r="F7" s="65" t="n">
        <f aca="false">IF(AND(ISNUMBER(C7),ISNUMBER(D7),D7&gt;=C7),D7-C7+1,"")</f>
        <v>4</v>
      </c>
      <c r="G7" s="66" t="n">
        <f aca="false">IF(AND(ISNUMBER(C7),ISNUMBER(D7),D7&gt;=C7),WORKDAY(D7,1),"")</f>
        <v>46314</v>
      </c>
      <c r="H7" s="55" t="str">
        <f aca="true">IF(A7="","",IF(NOT(AND(ISNUMBER(C7),ISNUMBER(D7))),"Sem data definida",IF(D7&lt;C7,"⚠ Datas invertidas",IF(TODAY()&lt;C7,IF(C7-TODAY()=1,"Começa amanhã","Começa em "&amp;(C7-TODAY())&amp;" dias"),IF(TODAY()&gt;D7,"Concluídas",IF(TODAY()=D7,"EM FÉRIAS (último dia)","EM FÉRIAS (faltam "&amp;(D7-TODAY())&amp;" dias)"))))))</f>
        <v>Começa em 7 dias</v>
      </c>
      <c r="I7" s="55" t="str">
        <f aca="false">IF(OR(A7="",NOT(AND(ISNUMBER(C7),ISNUMBER(D7)))),"",IF(D7-C7+1&gt;30,"⚠ Período acima de 30 dias",IF(COUNTIFS($B$2:$B$301,B7,$C$2:$C$301,"&lt;="&amp;D7,$D$2:$D$301,"&gt;="&amp;C7)&gt;1,"⚠ Coincide com férias de outro do setor","")))</f>
        <v/>
      </c>
      <c r="K7" s="0" t="str">
        <f aca="true">IF(AND(ISNUMBER(C7),ISNUMBER(D7),C7&lt;=TODAY(),D7&gt;=TODAY()),D7+ROW()/100000,"")</f>
        <v/>
      </c>
      <c r="L7" s="37" t="n">
        <f aca="true">IF(AND(ISNUMBER(C7),C7&gt;TODAY(),C7&lt;=TODAY()+30),C7+ROW()/100000,"")</f>
        <v>46308.00007</v>
      </c>
      <c r="M7" s="0" t="str">
        <f aca="false">IF(AND(ISNUMBER(C7),ISNUMBER(D7),C7&lt;=CALENDÁRIO!$L$4,D7&gt;=CALENDÁRIO!$L$4),ROW(),"")</f>
        <v/>
      </c>
    </row>
    <row r="8" customFormat="false" ht="13.5" hidden="false" customHeight="true" outlineLevel="0" collapsed="false">
      <c r="A8" s="61" t="s">
        <v>84</v>
      </c>
      <c r="B8" s="62" t="s">
        <v>54</v>
      </c>
      <c r="C8" s="70"/>
      <c r="D8" s="70"/>
      <c r="E8" s="64" t="s">
        <v>85</v>
      </c>
      <c r="F8" s="67" t="str">
        <f aca="false">IF(AND(ISNUMBER(C8),ISNUMBER(D8),D8&gt;=C8),D8-C8+1,"")</f>
        <v/>
      </c>
      <c r="G8" s="68" t="str">
        <f aca="false">IF(AND(ISNUMBER(C8),ISNUMBER(D8),D8&gt;=C8),WORKDAY(D8,1),"")</f>
        <v/>
      </c>
      <c r="H8" s="69" t="str">
        <f aca="true">IF(A8="","",IF(NOT(AND(ISNUMBER(C8),ISNUMBER(D8))),"Sem data definida",IF(D8&lt;C8,"⚠ Datas invertidas",IF(TODAY()&lt;C8,IF(C8-TODAY()=1,"Começa amanhã","Começa em "&amp;(C8-TODAY())&amp;" dias"),IF(TODAY()&gt;D8,"Concluídas",IF(TODAY()=D8,"EM FÉRIAS (último dia)","EM FÉRIAS (faltam "&amp;(D8-TODAY())&amp;" dias)"))))))</f>
        <v>Sem data definida</v>
      </c>
      <c r="I8" s="69" t="str">
        <f aca="false">IF(OR(A8="",NOT(AND(ISNUMBER(C8),ISNUMBER(D8)))),"",IF(D8-C8+1&gt;30,"⚠ Período acima de 30 dias",IF(COUNTIFS($B$2:$B$301,B8,$C$2:$C$301,"&lt;="&amp;D8,$D$2:$D$301,"&gt;="&amp;C8)&gt;1,"⚠ Coincide com férias de outro do setor","")))</f>
        <v/>
      </c>
      <c r="K8" s="0" t="str">
        <f aca="true">IF(AND(ISNUMBER(C8),ISNUMBER(D8),C8&lt;=TODAY(),D8&gt;=TODAY()),D8+ROW()/100000,"")</f>
        <v/>
      </c>
      <c r="L8" s="0" t="str">
        <f aca="true">IF(AND(ISNUMBER(C8),C8&gt;TODAY(),C8&lt;=TODAY()+30),C8+ROW()/100000,"")</f>
        <v/>
      </c>
      <c r="M8" s="0" t="str">
        <f aca="false">IF(AND(ISNUMBER(C8),ISNUMBER(D8),C8&lt;=CALENDÁRIO!$L$4,D8&gt;=CALENDÁRIO!$L$4),ROW(),"")</f>
        <v/>
      </c>
    </row>
    <row r="9" customFormat="false" ht="13.5" hidden="false" customHeight="true" outlineLevel="0" collapsed="false">
      <c r="A9" s="61" t="s">
        <v>64</v>
      </c>
      <c r="B9" s="72" t="s">
        <v>61</v>
      </c>
      <c r="C9" s="63" t="n">
        <v>46342</v>
      </c>
      <c r="D9" s="63" t="n">
        <v>46356</v>
      </c>
      <c r="E9" s="64" t="s">
        <v>80</v>
      </c>
      <c r="F9" s="65" t="n">
        <f aca="false">IF(AND(ISNUMBER(C9),ISNUMBER(D9),D9&gt;=C9),D9-C9+1,"")</f>
        <v>15</v>
      </c>
      <c r="G9" s="66" t="n">
        <f aca="false">IF(AND(ISNUMBER(C9),ISNUMBER(D9),D9&gt;=C9),WORKDAY(D9,1),"")</f>
        <v>46357</v>
      </c>
      <c r="H9" s="55" t="str">
        <f aca="true">IF(A9="","",IF(NOT(AND(ISNUMBER(C9),ISNUMBER(D9))),"Sem data definida",IF(D9&lt;C9,"⚠ Datas invertidas",IF(TODAY()&lt;C9,IF(C9-TODAY()=1,"Começa amanhã","Começa em "&amp;(C9-TODAY())&amp;" dias"),IF(TODAY()&gt;D9,"Concluídas",IF(TODAY()=D9,"EM FÉRIAS (último dia)","EM FÉRIAS (faltam "&amp;(D9-TODAY())&amp;" dias)"))))))</f>
        <v>Começa em 41 dias</v>
      </c>
      <c r="I9" s="55" t="str">
        <f aca="false">IF(OR(A9="",NOT(AND(ISNUMBER(C9),ISNUMBER(D9)))),"",IF(D9-C9+1&gt;30,"⚠ Período acima de 30 dias",IF(COUNTIFS($B$2:$B$301,B9,$C$2:$C$301,"&lt;="&amp;D9,$D$2:$D$301,"&gt;="&amp;C9)&gt;1,"⚠ Coincide com férias de outro do setor","")))</f>
        <v>⚠ Coincide com férias de outro do setor</v>
      </c>
      <c r="K9" s="0" t="str">
        <f aca="true">IF(AND(ISNUMBER(C9),ISNUMBER(D9),C9&lt;=TODAY(),D9&gt;=TODAY()),D9+ROW()/100000,"")</f>
        <v/>
      </c>
      <c r="L9" s="0" t="str">
        <f aca="true">IF(AND(ISNUMBER(C9),C9&gt;TODAY(),C9&lt;=TODAY()+30),C9+ROW()/100000,"")</f>
        <v/>
      </c>
      <c r="M9" s="0" t="str">
        <f aca="false">IF(AND(ISNUMBER(C9),ISNUMBER(D9),C9&lt;=CALENDÁRIO!$L$4,D9&gt;=CALENDÁRIO!$L$4),ROW(),"")</f>
        <v/>
      </c>
    </row>
    <row r="10" customFormat="false" ht="13.5" hidden="false" customHeight="true" outlineLevel="0" collapsed="false">
      <c r="A10" s="54"/>
      <c r="B10" s="54"/>
      <c r="C10" s="73"/>
      <c r="D10" s="73"/>
      <c r="E10" s="64"/>
      <c r="F10" s="65" t="str">
        <f aca="false">IF(AND(ISNUMBER(C10),ISNUMBER(D10),D10&gt;=C10),D10-C10+1,"")</f>
        <v/>
      </c>
      <c r="G10" s="66" t="str">
        <f aca="false">IF(AND(ISNUMBER(C10),ISNUMBER(D10),D10&gt;=C10),WORKDAY(D10,1),"")</f>
        <v/>
      </c>
      <c r="H10" s="55" t="str">
        <f aca="true">IF(A10="","",IF(NOT(AND(ISNUMBER(C10),ISNUMBER(D10))),"Sem data definida",IF(D10&lt;C10,"⚠ Datas invertidas",IF(TODAY()&lt;C10,IF(C10-TODAY()=1,"Começa amanhã","Começa em "&amp;(C10-TODAY())&amp;" dias"),IF(TODAY()&gt;D10,"Concluídas",IF(TODAY()=D10,"EM FÉRIAS (último dia)","EM FÉRIAS (faltam "&amp;(D10-TODAY())&amp;" dias)"))))))</f>
        <v/>
      </c>
      <c r="I10" s="55" t="str">
        <f aca="false">IF(OR(A10="",NOT(AND(ISNUMBER(C10),ISNUMBER(D10)))),"",IF(D10-C10+1&gt;30,"⚠ Período acima de 30 dias",IF(COUNTIFS($B$2:$B$301,B10,$C$2:$C$301,"&lt;="&amp;D10,$D$2:$D$301,"&gt;="&amp;C10)&gt;1,"⚠ Coincide com férias de outro do setor","")))</f>
        <v/>
      </c>
      <c r="K10" s="0" t="str">
        <f aca="true">IF(AND(ISNUMBER(C10),ISNUMBER(D10),C10&lt;=TODAY(),D10&gt;=TODAY()),D10+ROW()/100000,"")</f>
        <v/>
      </c>
      <c r="L10" s="0" t="str">
        <f aca="true">IF(AND(ISNUMBER(C10),C10&gt;TODAY(),C10&lt;=TODAY()+30),C10+ROW()/100000,"")</f>
        <v/>
      </c>
      <c r="M10" s="0" t="str">
        <f aca="false">IF(AND(ISNUMBER(C10),ISNUMBER(D10),C10&lt;=CALENDÁRIO!$L$4,D10&gt;=CALENDÁRIO!$L$4),ROW(),"")</f>
        <v/>
      </c>
    </row>
    <row r="11" customFormat="false" ht="13.5" hidden="false" customHeight="true" outlineLevel="0" collapsed="false">
      <c r="A11" s="54"/>
      <c r="B11" s="54"/>
      <c r="C11" s="73"/>
      <c r="D11" s="73"/>
      <c r="E11" s="64"/>
      <c r="F11" s="65" t="str">
        <f aca="false">IF(AND(ISNUMBER(C11),ISNUMBER(D11),D11&gt;=C11),D11-C11+1,"")</f>
        <v/>
      </c>
      <c r="G11" s="66" t="str">
        <f aca="false">IF(AND(ISNUMBER(C11),ISNUMBER(D11),D11&gt;=C11),WORKDAY(D11,1),"")</f>
        <v/>
      </c>
      <c r="H11" s="55" t="str">
        <f aca="true">IF(A11="","",IF(NOT(AND(ISNUMBER(C11),ISNUMBER(D11))),"Sem data definida",IF(D11&lt;C11,"⚠ Datas invertidas",IF(TODAY()&lt;C11,IF(C11-TODAY()=1,"Começa amanhã","Começa em "&amp;(C11-TODAY())&amp;" dias"),IF(TODAY()&gt;D11,"Concluídas",IF(TODAY()=D11,"EM FÉRIAS (último dia)","EM FÉRIAS (faltam "&amp;(D11-TODAY())&amp;" dias)"))))))</f>
        <v/>
      </c>
      <c r="I11" s="55" t="str">
        <f aca="false">IF(OR(A11="",NOT(AND(ISNUMBER(C11),ISNUMBER(D11)))),"",IF(D11-C11+1&gt;30,"⚠ Período acima de 30 dias",IF(COUNTIFS($B$2:$B$301,B11,$C$2:$C$301,"&lt;="&amp;D11,$D$2:$D$301,"&gt;="&amp;C11)&gt;1,"⚠ Coincide com férias de outro do setor","")))</f>
        <v/>
      </c>
      <c r="K11" s="0" t="str">
        <f aca="true">IF(AND(ISNUMBER(C11),ISNUMBER(D11),C11&lt;=TODAY(),D11&gt;=TODAY()),D11+ROW()/100000,"")</f>
        <v/>
      </c>
      <c r="L11" s="0" t="str">
        <f aca="true">IF(AND(ISNUMBER(C11),C11&gt;TODAY(),C11&lt;=TODAY()+30),C11+ROW()/100000,"")</f>
        <v/>
      </c>
      <c r="M11" s="0" t="str">
        <f aca="false">IF(AND(ISNUMBER(C11),ISNUMBER(D11),C11&lt;=CALENDÁRIO!$L$4,D11&gt;=CALENDÁRIO!$L$4),ROW(),"")</f>
        <v/>
      </c>
    </row>
    <row r="12" customFormat="false" ht="13.5" hidden="false" customHeight="true" outlineLevel="0" collapsed="false">
      <c r="A12" s="54"/>
      <c r="B12" s="54"/>
      <c r="C12" s="73"/>
      <c r="D12" s="73"/>
      <c r="E12" s="64"/>
      <c r="F12" s="65" t="str">
        <f aca="false">IF(AND(ISNUMBER(C12),ISNUMBER(D12),D12&gt;=C12),D12-C12+1,"")</f>
        <v/>
      </c>
      <c r="G12" s="66" t="str">
        <f aca="false">IF(AND(ISNUMBER(C12),ISNUMBER(D12),D12&gt;=C12),WORKDAY(D12,1),"")</f>
        <v/>
      </c>
      <c r="H12" s="55" t="str">
        <f aca="true">IF(A12="","",IF(NOT(AND(ISNUMBER(C12),ISNUMBER(D12))),"Sem data definida",IF(D12&lt;C12,"⚠ Datas invertidas",IF(TODAY()&lt;C12,IF(C12-TODAY()=1,"Começa amanhã","Começa em "&amp;(C12-TODAY())&amp;" dias"),IF(TODAY()&gt;D12,"Concluídas",IF(TODAY()=D12,"EM FÉRIAS (último dia)","EM FÉRIAS (faltam "&amp;(D12-TODAY())&amp;" dias)"))))))</f>
        <v/>
      </c>
      <c r="I12" s="55" t="str">
        <f aca="false">IF(OR(A12="",NOT(AND(ISNUMBER(C12),ISNUMBER(D12)))),"",IF(D12-C12+1&gt;30,"⚠ Período acima de 30 dias",IF(COUNTIFS($B$2:$B$301,B12,$C$2:$C$301,"&lt;="&amp;D12,$D$2:$D$301,"&gt;="&amp;C12)&gt;1,"⚠ Coincide com férias de outro do setor","")))</f>
        <v/>
      </c>
      <c r="K12" s="0" t="str">
        <f aca="true">IF(AND(ISNUMBER(C12),ISNUMBER(D12),C12&lt;=TODAY(),D12&gt;=TODAY()),D12+ROW()/100000,"")</f>
        <v/>
      </c>
      <c r="L12" s="0" t="str">
        <f aca="true">IF(AND(ISNUMBER(C12),C12&gt;TODAY(),C12&lt;=TODAY()+30),C12+ROW()/100000,"")</f>
        <v/>
      </c>
      <c r="M12" s="0" t="str">
        <f aca="false">IF(AND(ISNUMBER(C12),ISNUMBER(D12),C12&lt;=CALENDÁRIO!$L$4,D12&gt;=CALENDÁRIO!$L$4),ROW(),"")</f>
        <v/>
      </c>
    </row>
    <row r="13" customFormat="false" ht="13.5" hidden="false" customHeight="true" outlineLevel="0" collapsed="false">
      <c r="A13" s="54"/>
      <c r="B13" s="54"/>
      <c r="C13" s="73"/>
      <c r="D13" s="73"/>
      <c r="E13" s="64"/>
      <c r="F13" s="65" t="str">
        <f aca="false">IF(AND(ISNUMBER(C13),ISNUMBER(D13),D13&gt;=C13),D13-C13+1,"")</f>
        <v/>
      </c>
      <c r="G13" s="66" t="str">
        <f aca="false">IF(AND(ISNUMBER(C13),ISNUMBER(D13),D13&gt;=C13),WORKDAY(D13,1),"")</f>
        <v/>
      </c>
      <c r="H13" s="55" t="str">
        <f aca="true">IF(A13="","",IF(NOT(AND(ISNUMBER(C13),ISNUMBER(D13))),"Sem data definida",IF(D13&lt;C13,"⚠ Datas invertidas",IF(TODAY()&lt;C13,IF(C13-TODAY()=1,"Começa amanhã","Começa em "&amp;(C13-TODAY())&amp;" dias"),IF(TODAY()&gt;D13,"Concluídas",IF(TODAY()=D13,"EM FÉRIAS (último dia)","EM FÉRIAS (faltam "&amp;(D13-TODAY())&amp;" dias)"))))))</f>
        <v/>
      </c>
      <c r="I13" s="55" t="str">
        <f aca="false">IF(OR(A13="",NOT(AND(ISNUMBER(C13),ISNUMBER(D13)))),"",IF(D13-C13+1&gt;30,"⚠ Período acima de 30 dias",IF(COUNTIFS($B$2:$B$301,B13,$C$2:$C$301,"&lt;="&amp;D13,$D$2:$D$301,"&gt;="&amp;C13)&gt;1,"⚠ Coincide com férias de outro do setor","")))</f>
        <v/>
      </c>
      <c r="K13" s="0" t="str">
        <f aca="true">IF(AND(ISNUMBER(C13),ISNUMBER(D13),C13&lt;=TODAY(),D13&gt;=TODAY()),D13+ROW()/100000,"")</f>
        <v/>
      </c>
      <c r="L13" s="0" t="str">
        <f aca="true">IF(AND(ISNUMBER(C13),C13&gt;TODAY(),C13&lt;=TODAY()+30),C13+ROW()/100000,"")</f>
        <v/>
      </c>
      <c r="M13" s="0" t="str">
        <f aca="false">IF(AND(ISNUMBER(C13),ISNUMBER(D13),C13&lt;=CALENDÁRIO!$L$4,D13&gt;=CALENDÁRIO!$L$4),ROW(),"")</f>
        <v/>
      </c>
    </row>
    <row r="14" customFormat="false" ht="13.5" hidden="false" customHeight="true" outlineLevel="0" collapsed="false">
      <c r="A14" s="54"/>
      <c r="B14" s="54"/>
      <c r="C14" s="73"/>
      <c r="D14" s="73"/>
      <c r="E14" s="64"/>
      <c r="F14" s="65" t="str">
        <f aca="false">IF(AND(ISNUMBER(C14),ISNUMBER(D14),D14&gt;=C14),D14-C14+1,"")</f>
        <v/>
      </c>
      <c r="G14" s="66" t="str">
        <f aca="false">IF(AND(ISNUMBER(C14),ISNUMBER(D14),D14&gt;=C14),WORKDAY(D14,1),"")</f>
        <v/>
      </c>
      <c r="H14" s="55" t="str">
        <f aca="true">IF(A14="","",IF(NOT(AND(ISNUMBER(C14),ISNUMBER(D14))),"Sem data definida",IF(D14&lt;C14,"⚠ Datas invertidas",IF(TODAY()&lt;C14,IF(C14-TODAY()=1,"Começa amanhã","Começa em "&amp;(C14-TODAY())&amp;" dias"),IF(TODAY()&gt;D14,"Concluídas",IF(TODAY()=D14,"EM FÉRIAS (último dia)","EM FÉRIAS (faltam "&amp;(D14-TODAY())&amp;" dias)"))))))</f>
        <v/>
      </c>
      <c r="I14" s="55" t="str">
        <f aca="false">IF(OR(A14="",NOT(AND(ISNUMBER(C14),ISNUMBER(D14)))),"",IF(D14-C14+1&gt;30,"⚠ Período acima de 30 dias",IF(COUNTIFS($B$2:$B$301,B14,$C$2:$C$301,"&lt;="&amp;D14,$D$2:$D$301,"&gt;="&amp;C14)&gt;1,"⚠ Coincide com férias de outro do setor","")))</f>
        <v/>
      </c>
      <c r="K14" s="0" t="str">
        <f aca="true">IF(AND(ISNUMBER(C14),ISNUMBER(D14),C14&lt;=TODAY(),D14&gt;=TODAY()),D14+ROW()/100000,"")</f>
        <v/>
      </c>
      <c r="L14" s="0" t="str">
        <f aca="true">IF(AND(ISNUMBER(C14),C14&gt;TODAY(),C14&lt;=TODAY()+30),C14+ROW()/100000,"")</f>
        <v/>
      </c>
      <c r="M14" s="0" t="str">
        <f aca="false">IF(AND(ISNUMBER(C14),ISNUMBER(D14),C14&lt;=CALENDÁRIO!$L$4,D14&gt;=CALENDÁRIO!$L$4),ROW(),"")</f>
        <v/>
      </c>
    </row>
    <row r="15" customFormat="false" ht="13.5" hidden="false" customHeight="true" outlineLevel="0" collapsed="false">
      <c r="A15" s="54"/>
      <c r="B15" s="54"/>
      <c r="C15" s="73"/>
      <c r="D15" s="73"/>
      <c r="E15" s="64"/>
      <c r="F15" s="65" t="str">
        <f aca="false">IF(AND(ISNUMBER(C15),ISNUMBER(D15),D15&gt;=C15),D15-C15+1,"")</f>
        <v/>
      </c>
      <c r="G15" s="66" t="str">
        <f aca="false">IF(AND(ISNUMBER(C15),ISNUMBER(D15),D15&gt;=C15),WORKDAY(D15,1),"")</f>
        <v/>
      </c>
      <c r="H15" s="55" t="str">
        <f aca="true">IF(A15="","",IF(NOT(AND(ISNUMBER(C15),ISNUMBER(D15))),"Sem data definida",IF(D15&lt;C15,"⚠ Datas invertidas",IF(TODAY()&lt;C15,IF(C15-TODAY()=1,"Começa amanhã","Começa em "&amp;(C15-TODAY())&amp;" dias"),IF(TODAY()&gt;D15,"Concluídas",IF(TODAY()=D15,"EM FÉRIAS (último dia)","EM FÉRIAS (faltam "&amp;(D15-TODAY())&amp;" dias)"))))))</f>
        <v/>
      </c>
      <c r="I15" s="55" t="str">
        <f aca="false">IF(OR(A15="",NOT(AND(ISNUMBER(C15),ISNUMBER(D15)))),"",IF(D15-C15+1&gt;30,"⚠ Período acima de 30 dias",IF(COUNTIFS($B$2:$B$301,B15,$C$2:$C$301,"&lt;="&amp;D15,$D$2:$D$301,"&gt;="&amp;C15)&gt;1,"⚠ Coincide com férias de outro do setor","")))</f>
        <v/>
      </c>
      <c r="K15" s="0" t="str">
        <f aca="true">IF(AND(ISNUMBER(C15),ISNUMBER(D15),C15&lt;=TODAY(),D15&gt;=TODAY()),D15+ROW()/100000,"")</f>
        <v/>
      </c>
      <c r="L15" s="0" t="str">
        <f aca="true">IF(AND(ISNUMBER(C15),C15&gt;TODAY(),C15&lt;=TODAY()+30),C15+ROW()/100000,"")</f>
        <v/>
      </c>
      <c r="M15" s="0" t="str">
        <f aca="false">IF(AND(ISNUMBER(C15),ISNUMBER(D15),C15&lt;=CALENDÁRIO!$L$4,D15&gt;=CALENDÁRIO!$L$4),ROW(),"")</f>
        <v/>
      </c>
    </row>
    <row r="16" customFormat="false" ht="13.5" hidden="false" customHeight="true" outlineLevel="0" collapsed="false">
      <c r="A16" s="54"/>
      <c r="B16" s="54"/>
      <c r="C16" s="73"/>
      <c r="D16" s="73"/>
      <c r="E16" s="64"/>
      <c r="F16" s="65" t="str">
        <f aca="false">IF(AND(ISNUMBER(C16),ISNUMBER(D16),D16&gt;=C16),D16-C16+1,"")</f>
        <v/>
      </c>
      <c r="G16" s="66" t="str">
        <f aca="false">IF(AND(ISNUMBER(C16),ISNUMBER(D16),D16&gt;=C16),WORKDAY(D16,1),"")</f>
        <v/>
      </c>
      <c r="H16" s="55" t="str">
        <f aca="true">IF(A16="","",IF(NOT(AND(ISNUMBER(C16),ISNUMBER(D16))),"Sem data definida",IF(D16&lt;C16,"⚠ Datas invertidas",IF(TODAY()&lt;C16,IF(C16-TODAY()=1,"Começa amanhã","Começa em "&amp;(C16-TODAY())&amp;" dias"),IF(TODAY()&gt;D16,"Concluídas",IF(TODAY()=D16,"EM FÉRIAS (último dia)","EM FÉRIAS (faltam "&amp;(D16-TODAY())&amp;" dias)"))))))</f>
        <v/>
      </c>
      <c r="I16" s="55" t="str">
        <f aca="false">IF(OR(A16="",NOT(AND(ISNUMBER(C16),ISNUMBER(D16)))),"",IF(D16-C16+1&gt;30,"⚠ Período acima de 30 dias",IF(COUNTIFS($B$2:$B$301,B16,$C$2:$C$301,"&lt;="&amp;D16,$D$2:$D$301,"&gt;="&amp;C16)&gt;1,"⚠ Coincide com férias de outro do setor","")))</f>
        <v/>
      </c>
      <c r="K16" s="0" t="str">
        <f aca="true">IF(AND(ISNUMBER(C16),ISNUMBER(D16),C16&lt;=TODAY(),D16&gt;=TODAY()),D16+ROW()/100000,"")</f>
        <v/>
      </c>
      <c r="L16" s="0" t="str">
        <f aca="true">IF(AND(ISNUMBER(C16),C16&gt;TODAY(),C16&lt;=TODAY()+30),C16+ROW()/100000,"")</f>
        <v/>
      </c>
      <c r="M16" s="0" t="str">
        <f aca="false">IF(AND(ISNUMBER(C16),ISNUMBER(D16),C16&lt;=CALENDÁRIO!$L$4,D16&gt;=CALENDÁRIO!$L$4),ROW(),"")</f>
        <v/>
      </c>
    </row>
    <row r="17" customFormat="false" ht="13.5" hidden="false" customHeight="true" outlineLevel="0" collapsed="false">
      <c r="A17" s="54"/>
      <c r="B17" s="54"/>
      <c r="C17" s="73"/>
      <c r="D17" s="73"/>
      <c r="E17" s="64"/>
      <c r="F17" s="65" t="str">
        <f aca="false">IF(AND(ISNUMBER(C17),ISNUMBER(D17),D17&gt;=C17),D17-C17+1,"")</f>
        <v/>
      </c>
      <c r="G17" s="66" t="str">
        <f aca="false">IF(AND(ISNUMBER(C17),ISNUMBER(D17),D17&gt;=C17),WORKDAY(D17,1),"")</f>
        <v/>
      </c>
      <c r="H17" s="55" t="str">
        <f aca="true">IF(A17="","",IF(NOT(AND(ISNUMBER(C17),ISNUMBER(D17))),"Sem data definida",IF(D17&lt;C17,"⚠ Datas invertidas",IF(TODAY()&lt;C17,IF(C17-TODAY()=1,"Começa amanhã","Começa em "&amp;(C17-TODAY())&amp;" dias"),IF(TODAY()&gt;D17,"Concluídas",IF(TODAY()=D17,"EM FÉRIAS (último dia)","EM FÉRIAS (faltam "&amp;(D17-TODAY())&amp;" dias)"))))))</f>
        <v/>
      </c>
      <c r="I17" s="55" t="str">
        <f aca="false">IF(OR(A17="",NOT(AND(ISNUMBER(C17),ISNUMBER(D17)))),"",IF(D17-C17+1&gt;30,"⚠ Período acima de 30 dias",IF(COUNTIFS($B$2:$B$301,B17,$C$2:$C$301,"&lt;="&amp;D17,$D$2:$D$301,"&gt;="&amp;C17)&gt;1,"⚠ Coincide com férias de outro do setor","")))</f>
        <v/>
      </c>
      <c r="K17" s="0" t="str">
        <f aca="true">IF(AND(ISNUMBER(C17),ISNUMBER(D17),C17&lt;=TODAY(),D17&gt;=TODAY()),D17+ROW()/100000,"")</f>
        <v/>
      </c>
      <c r="L17" s="0" t="str">
        <f aca="true">IF(AND(ISNUMBER(C17),C17&gt;TODAY(),C17&lt;=TODAY()+30),C17+ROW()/100000,"")</f>
        <v/>
      </c>
      <c r="M17" s="0" t="str">
        <f aca="false">IF(AND(ISNUMBER(C17),ISNUMBER(D17),C17&lt;=CALENDÁRIO!$L$4,D17&gt;=CALENDÁRIO!$L$4),ROW(),"")</f>
        <v/>
      </c>
    </row>
    <row r="18" customFormat="false" ht="13.5" hidden="false" customHeight="true" outlineLevel="0" collapsed="false">
      <c r="A18" s="54"/>
      <c r="B18" s="54"/>
      <c r="C18" s="73"/>
      <c r="D18" s="73"/>
      <c r="E18" s="64"/>
      <c r="F18" s="65" t="str">
        <f aca="false">IF(AND(ISNUMBER(C18),ISNUMBER(D18),D18&gt;=C18),D18-C18+1,"")</f>
        <v/>
      </c>
      <c r="G18" s="66" t="str">
        <f aca="false">IF(AND(ISNUMBER(C18),ISNUMBER(D18),D18&gt;=C18),WORKDAY(D18,1),"")</f>
        <v/>
      </c>
      <c r="H18" s="55" t="str">
        <f aca="true">IF(A18="","",IF(NOT(AND(ISNUMBER(C18),ISNUMBER(D18))),"Sem data definida",IF(D18&lt;C18,"⚠ Datas invertidas",IF(TODAY()&lt;C18,IF(C18-TODAY()=1,"Começa amanhã","Começa em "&amp;(C18-TODAY())&amp;" dias"),IF(TODAY()&gt;D18,"Concluídas",IF(TODAY()=D18,"EM FÉRIAS (último dia)","EM FÉRIAS (faltam "&amp;(D18-TODAY())&amp;" dias)"))))))</f>
        <v/>
      </c>
      <c r="I18" s="55" t="str">
        <f aca="false">IF(OR(A18="",NOT(AND(ISNUMBER(C18),ISNUMBER(D18)))),"",IF(D18-C18+1&gt;30,"⚠ Período acima de 30 dias",IF(COUNTIFS($B$2:$B$301,B18,$C$2:$C$301,"&lt;="&amp;D18,$D$2:$D$301,"&gt;="&amp;C18)&gt;1,"⚠ Coincide com férias de outro do setor","")))</f>
        <v/>
      </c>
      <c r="K18" s="0" t="str">
        <f aca="true">IF(AND(ISNUMBER(C18),ISNUMBER(D18),C18&lt;=TODAY(),D18&gt;=TODAY()),D18+ROW()/100000,"")</f>
        <v/>
      </c>
      <c r="L18" s="0" t="str">
        <f aca="true">IF(AND(ISNUMBER(C18),C18&gt;TODAY(),C18&lt;=TODAY()+30),C18+ROW()/100000,"")</f>
        <v/>
      </c>
      <c r="M18" s="0" t="str">
        <f aca="false">IF(AND(ISNUMBER(C18),ISNUMBER(D18),C18&lt;=CALENDÁRIO!$L$4,D18&gt;=CALENDÁRIO!$L$4),ROW(),"")</f>
        <v/>
      </c>
    </row>
    <row r="19" customFormat="false" ht="13.5" hidden="false" customHeight="true" outlineLevel="0" collapsed="false">
      <c r="A19" s="54"/>
      <c r="B19" s="54"/>
      <c r="C19" s="73"/>
      <c r="D19" s="73"/>
      <c r="E19" s="64"/>
      <c r="F19" s="65" t="str">
        <f aca="false">IF(AND(ISNUMBER(C19),ISNUMBER(D19),D19&gt;=C19),D19-C19+1,"")</f>
        <v/>
      </c>
      <c r="G19" s="66" t="str">
        <f aca="false">IF(AND(ISNUMBER(C19),ISNUMBER(D19),D19&gt;=C19),WORKDAY(D19,1),"")</f>
        <v/>
      </c>
      <c r="H19" s="55" t="str">
        <f aca="true">IF(A19="","",IF(NOT(AND(ISNUMBER(C19),ISNUMBER(D19))),"Sem data definida",IF(D19&lt;C19,"⚠ Datas invertidas",IF(TODAY()&lt;C19,IF(C19-TODAY()=1,"Começa amanhã","Começa em "&amp;(C19-TODAY())&amp;" dias"),IF(TODAY()&gt;D19,"Concluídas",IF(TODAY()=D19,"EM FÉRIAS (último dia)","EM FÉRIAS (faltam "&amp;(D19-TODAY())&amp;" dias)"))))))</f>
        <v/>
      </c>
      <c r="I19" s="55" t="str">
        <f aca="false">IF(OR(A19="",NOT(AND(ISNUMBER(C19),ISNUMBER(D19)))),"",IF(D19-C19+1&gt;30,"⚠ Período acima de 30 dias",IF(COUNTIFS($B$2:$B$301,B19,$C$2:$C$301,"&lt;="&amp;D19,$D$2:$D$301,"&gt;="&amp;C19)&gt;1,"⚠ Coincide com férias de outro do setor","")))</f>
        <v/>
      </c>
      <c r="K19" s="0" t="str">
        <f aca="true">IF(AND(ISNUMBER(C19),ISNUMBER(D19),C19&lt;=TODAY(),D19&gt;=TODAY()),D19+ROW()/100000,"")</f>
        <v/>
      </c>
      <c r="L19" s="0" t="str">
        <f aca="true">IF(AND(ISNUMBER(C19),C19&gt;TODAY(),C19&lt;=TODAY()+30),C19+ROW()/100000,"")</f>
        <v/>
      </c>
      <c r="M19" s="0" t="str">
        <f aca="false">IF(AND(ISNUMBER(C19),ISNUMBER(D19),C19&lt;=CALENDÁRIO!$L$4,D19&gt;=CALENDÁRIO!$L$4),ROW(),"")</f>
        <v/>
      </c>
    </row>
    <row r="20" customFormat="false" ht="13.5" hidden="false" customHeight="true" outlineLevel="0" collapsed="false">
      <c r="A20" s="54"/>
      <c r="B20" s="54"/>
      <c r="C20" s="73"/>
      <c r="D20" s="73"/>
      <c r="E20" s="64"/>
      <c r="F20" s="65" t="str">
        <f aca="false">IF(AND(ISNUMBER(C20),ISNUMBER(D20),D20&gt;=C20),D20-C20+1,"")</f>
        <v/>
      </c>
      <c r="G20" s="66" t="str">
        <f aca="false">IF(AND(ISNUMBER(C20),ISNUMBER(D20),D20&gt;=C20),WORKDAY(D20,1),"")</f>
        <v/>
      </c>
      <c r="H20" s="55" t="str">
        <f aca="true">IF(A20="","",IF(NOT(AND(ISNUMBER(C20),ISNUMBER(D20))),"Sem data definida",IF(D20&lt;C20,"⚠ Datas invertidas",IF(TODAY()&lt;C20,IF(C20-TODAY()=1,"Começa amanhã","Começa em "&amp;(C20-TODAY())&amp;" dias"),IF(TODAY()&gt;D20,"Concluídas",IF(TODAY()=D20,"EM FÉRIAS (último dia)","EM FÉRIAS (faltam "&amp;(D20-TODAY())&amp;" dias)"))))))</f>
        <v/>
      </c>
      <c r="I20" s="55" t="str">
        <f aca="false">IF(OR(A20="",NOT(AND(ISNUMBER(C20),ISNUMBER(D20)))),"",IF(D20-C20+1&gt;30,"⚠ Período acima de 30 dias",IF(COUNTIFS($B$2:$B$301,B20,$C$2:$C$301,"&lt;="&amp;D20,$D$2:$D$301,"&gt;="&amp;C20)&gt;1,"⚠ Coincide com férias de outro do setor","")))</f>
        <v/>
      </c>
      <c r="K20" s="0" t="str">
        <f aca="true">IF(AND(ISNUMBER(C20),ISNUMBER(D20),C20&lt;=TODAY(),D20&gt;=TODAY()),D20+ROW()/100000,"")</f>
        <v/>
      </c>
      <c r="L20" s="0" t="str">
        <f aca="true">IF(AND(ISNUMBER(C20),C20&gt;TODAY(),C20&lt;=TODAY()+30),C20+ROW()/100000,"")</f>
        <v/>
      </c>
      <c r="M20" s="0" t="str">
        <f aca="false">IF(AND(ISNUMBER(C20),ISNUMBER(D20),C20&lt;=CALENDÁRIO!$L$4,D20&gt;=CALENDÁRIO!$L$4),ROW(),"")</f>
        <v/>
      </c>
    </row>
    <row r="21" customFormat="false" ht="13.5" hidden="false" customHeight="true" outlineLevel="0" collapsed="false">
      <c r="A21" s="54"/>
      <c r="B21" s="54"/>
      <c r="C21" s="73"/>
      <c r="D21" s="73"/>
      <c r="E21" s="64"/>
      <c r="F21" s="65" t="str">
        <f aca="false">IF(AND(ISNUMBER(C21),ISNUMBER(D21),D21&gt;=C21),D21-C21+1,"")</f>
        <v/>
      </c>
      <c r="G21" s="66" t="str">
        <f aca="false">IF(AND(ISNUMBER(C21),ISNUMBER(D21),D21&gt;=C21),WORKDAY(D21,1),"")</f>
        <v/>
      </c>
      <c r="H21" s="55" t="str">
        <f aca="true">IF(A21="","",IF(NOT(AND(ISNUMBER(C21),ISNUMBER(D21))),"Sem data definida",IF(D21&lt;C21,"⚠ Datas invertidas",IF(TODAY()&lt;C21,IF(C21-TODAY()=1,"Começa amanhã","Começa em "&amp;(C21-TODAY())&amp;" dias"),IF(TODAY()&gt;D21,"Concluídas",IF(TODAY()=D21,"EM FÉRIAS (último dia)","EM FÉRIAS (faltam "&amp;(D21-TODAY())&amp;" dias)"))))))</f>
        <v/>
      </c>
      <c r="I21" s="55" t="str">
        <f aca="false">IF(OR(A21="",NOT(AND(ISNUMBER(C21),ISNUMBER(D21)))),"",IF(D21-C21+1&gt;30,"⚠ Período acima de 30 dias",IF(COUNTIFS($B$2:$B$301,B21,$C$2:$C$301,"&lt;="&amp;D21,$D$2:$D$301,"&gt;="&amp;C21)&gt;1,"⚠ Coincide com férias de outro do setor","")))</f>
        <v/>
      </c>
      <c r="K21" s="0" t="str">
        <f aca="true">IF(AND(ISNUMBER(C21),ISNUMBER(D21),C21&lt;=TODAY(),D21&gt;=TODAY()),D21+ROW()/100000,"")</f>
        <v/>
      </c>
      <c r="L21" s="0" t="str">
        <f aca="true">IF(AND(ISNUMBER(C21),C21&gt;TODAY(),C21&lt;=TODAY()+30),C21+ROW()/100000,"")</f>
        <v/>
      </c>
      <c r="M21" s="0" t="str">
        <f aca="false">IF(AND(ISNUMBER(C21),ISNUMBER(D21),C21&lt;=CALENDÁRIO!$L$4,D21&gt;=CALENDÁRIO!$L$4),ROW(),"")</f>
        <v/>
      </c>
    </row>
    <row r="22" customFormat="false" ht="13.5" hidden="false" customHeight="true" outlineLevel="0" collapsed="false">
      <c r="A22" s="54"/>
      <c r="B22" s="54"/>
      <c r="C22" s="73"/>
      <c r="D22" s="73"/>
      <c r="E22" s="64"/>
      <c r="F22" s="65" t="str">
        <f aca="false">IF(AND(ISNUMBER(C22),ISNUMBER(D22),D22&gt;=C22),D22-C22+1,"")</f>
        <v/>
      </c>
      <c r="G22" s="66" t="str">
        <f aca="false">IF(AND(ISNUMBER(C22),ISNUMBER(D22),D22&gt;=C22),WORKDAY(D22,1),"")</f>
        <v/>
      </c>
      <c r="H22" s="55" t="str">
        <f aca="true">IF(A22="","",IF(NOT(AND(ISNUMBER(C22),ISNUMBER(D22))),"Sem data definida",IF(D22&lt;C22,"⚠ Datas invertidas",IF(TODAY()&lt;C22,IF(C22-TODAY()=1,"Começa amanhã","Começa em "&amp;(C22-TODAY())&amp;" dias"),IF(TODAY()&gt;D22,"Concluídas",IF(TODAY()=D22,"EM FÉRIAS (último dia)","EM FÉRIAS (faltam "&amp;(D22-TODAY())&amp;" dias)"))))))</f>
        <v/>
      </c>
      <c r="I22" s="55" t="str">
        <f aca="false">IF(OR(A22="",NOT(AND(ISNUMBER(C22),ISNUMBER(D22)))),"",IF(D22-C22+1&gt;30,"⚠ Período acima de 30 dias",IF(COUNTIFS($B$2:$B$301,B22,$C$2:$C$301,"&lt;="&amp;D22,$D$2:$D$301,"&gt;="&amp;C22)&gt;1,"⚠ Coincide com férias de outro do setor","")))</f>
        <v/>
      </c>
      <c r="K22" s="0" t="str">
        <f aca="true">IF(AND(ISNUMBER(C22),ISNUMBER(D22),C22&lt;=TODAY(),D22&gt;=TODAY()),D22+ROW()/100000,"")</f>
        <v/>
      </c>
      <c r="L22" s="0" t="str">
        <f aca="true">IF(AND(ISNUMBER(C22),C22&gt;TODAY(),C22&lt;=TODAY()+30),C22+ROW()/100000,"")</f>
        <v/>
      </c>
      <c r="M22" s="0" t="str">
        <f aca="false">IF(AND(ISNUMBER(C22),ISNUMBER(D22),C22&lt;=CALENDÁRIO!$L$4,D22&gt;=CALENDÁRIO!$L$4),ROW(),"")</f>
        <v/>
      </c>
    </row>
    <row r="23" customFormat="false" ht="13.5" hidden="false" customHeight="true" outlineLevel="0" collapsed="false">
      <c r="A23" s="54"/>
      <c r="B23" s="54"/>
      <c r="C23" s="73"/>
      <c r="D23" s="73"/>
      <c r="E23" s="64"/>
      <c r="F23" s="65" t="str">
        <f aca="false">IF(AND(ISNUMBER(C23),ISNUMBER(D23),D23&gt;=C23),D23-C23+1,"")</f>
        <v/>
      </c>
      <c r="G23" s="66" t="str">
        <f aca="false">IF(AND(ISNUMBER(C23),ISNUMBER(D23),D23&gt;=C23),WORKDAY(D23,1),"")</f>
        <v/>
      </c>
      <c r="H23" s="55" t="str">
        <f aca="true">IF(A23="","",IF(NOT(AND(ISNUMBER(C23),ISNUMBER(D23))),"Sem data definida",IF(D23&lt;C23,"⚠ Datas invertidas",IF(TODAY()&lt;C23,IF(C23-TODAY()=1,"Começa amanhã","Começa em "&amp;(C23-TODAY())&amp;" dias"),IF(TODAY()&gt;D23,"Concluídas",IF(TODAY()=D23,"EM FÉRIAS (último dia)","EM FÉRIAS (faltam "&amp;(D23-TODAY())&amp;" dias)"))))))</f>
        <v/>
      </c>
      <c r="I23" s="55" t="str">
        <f aca="false">IF(OR(A23="",NOT(AND(ISNUMBER(C23),ISNUMBER(D23)))),"",IF(D23-C23+1&gt;30,"⚠ Período acima de 30 dias",IF(COUNTIFS($B$2:$B$301,B23,$C$2:$C$301,"&lt;="&amp;D23,$D$2:$D$301,"&gt;="&amp;C23)&gt;1,"⚠ Coincide com férias de outro do setor","")))</f>
        <v/>
      </c>
      <c r="K23" s="0" t="str">
        <f aca="true">IF(AND(ISNUMBER(C23),ISNUMBER(D23),C23&lt;=TODAY(),D23&gt;=TODAY()),D23+ROW()/100000,"")</f>
        <v/>
      </c>
      <c r="L23" s="0" t="str">
        <f aca="true">IF(AND(ISNUMBER(C23),C23&gt;TODAY(),C23&lt;=TODAY()+30),C23+ROW()/100000,"")</f>
        <v/>
      </c>
      <c r="M23" s="0" t="str">
        <f aca="false">IF(AND(ISNUMBER(C23),ISNUMBER(D23),C23&lt;=CALENDÁRIO!$L$4,D23&gt;=CALENDÁRIO!$L$4),ROW(),"")</f>
        <v/>
      </c>
    </row>
    <row r="24" customFormat="false" ht="13.5" hidden="false" customHeight="true" outlineLevel="0" collapsed="false">
      <c r="A24" s="54"/>
      <c r="B24" s="54"/>
      <c r="C24" s="73"/>
      <c r="D24" s="73"/>
      <c r="E24" s="64"/>
      <c r="F24" s="65" t="str">
        <f aca="false">IF(AND(ISNUMBER(C24),ISNUMBER(D24),D24&gt;=C24),D24-C24+1,"")</f>
        <v/>
      </c>
      <c r="G24" s="66" t="str">
        <f aca="false">IF(AND(ISNUMBER(C24),ISNUMBER(D24),D24&gt;=C24),WORKDAY(D24,1),"")</f>
        <v/>
      </c>
      <c r="H24" s="55" t="str">
        <f aca="true">IF(A24="","",IF(NOT(AND(ISNUMBER(C24),ISNUMBER(D24))),"Sem data definida",IF(D24&lt;C24,"⚠ Datas invertidas",IF(TODAY()&lt;C24,IF(C24-TODAY()=1,"Começa amanhã","Começa em "&amp;(C24-TODAY())&amp;" dias"),IF(TODAY()&gt;D24,"Concluídas",IF(TODAY()=D24,"EM FÉRIAS (último dia)","EM FÉRIAS (faltam "&amp;(D24-TODAY())&amp;" dias)"))))))</f>
        <v/>
      </c>
      <c r="I24" s="55" t="str">
        <f aca="false">IF(OR(A24="",NOT(AND(ISNUMBER(C24),ISNUMBER(D24)))),"",IF(D24-C24+1&gt;30,"⚠ Período acima de 30 dias",IF(COUNTIFS($B$2:$B$301,B24,$C$2:$C$301,"&lt;="&amp;D24,$D$2:$D$301,"&gt;="&amp;C24)&gt;1,"⚠ Coincide com férias de outro do setor","")))</f>
        <v/>
      </c>
      <c r="K24" s="0" t="str">
        <f aca="true">IF(AND(ISNUMBER(C24),ISNUMBER(D24),C24&lt;=TODAY(),D24&gt;=TODAY()),D24+ROW()/100000,"")</f>
        <v/>
      </c>
      <c r="L24" s="0" t="str">
        <f aca="true">IF(AND(ISNUMBER(C24),C24&gt;TODAY(),C24&lt;=TODAY()+30),C24+ROW()/100000,"")</f>
        <v/>
      </c>
      <c r="M24" s="0" t="str">
        <f aca="false">IF(AND(ISNUMBER(C24),ISNUMBER(D24),C24&lt;=CALENDÁRIO!$L$4,D24&gt;=CALENDÁRIO!$L$4),ROW(),"")</f>
        <v/>
      </c>
    </row>
    <row r="25" customFormat="false" ht="13.5" hidden="false" customHeight="true" outlineLevel="0" collapsed="false">
      <c r="A25" s="54"/>
      <c r="B25" s="54"/>
      <c r="C25" s="73"/>
      <c r="D25" s="73"/>
      <c r="E25" s="64"/>
      <c r="F25" s="65" t="str">
        <f aca="false">IF(AND(ISNUMBER(C25),ISNUMBER(D25),D25&gt;=C25),D25-C25+1,"")</f>
        <v/>
      </c>
      <c r="G25" s="66" t="str">
        <f aca="false">IF(AND(ISNUMBER(C25),ISNUMBER(D25),D25&gt;=C25),WORKDAY(D25,1),"")</f>
        <v/>
      </c>
      <c r="H25" s="55" t="str">
        <f aca="true">IF(A25="","",IF(NOT(AND(ISNUMBER(C25),ISNUMBER(D25))),"Sem data definida",IF(D25&lt;C25,"⚠ Datas invertidas",IF(TODAY()&lt;C25,IF(C25-TODAY()=1,"Começa amanhã","Começa em "&amp;(C25-TODAY())&amp;" dias"),IF(TODAY()&gt;D25,"Concluídas",IF(TODAY()=D25,"EM FÉRIAS (último dia)","EM FÉRIAS (faltam "&amp;(D25-TODAY())&amp;" dias)"))))))</f>
        <v/>
      </c>
      <c r="I25" s="55" t="str">
        <f aca="false">IF(OR(A25="",NOT(AND(ISNUMBER(C25),ISNUMBER(D25)))),"",IF(D25-C25+1&gt;30,"⚠ Período acima de 30 dias",IF(COUNTIFS($B$2:$B$301,B25,$C$2:$C$301,"&lt;="&amp;D25,$D$2:$D$301,"&gt;="&amp;C25)&gt;1,"⚠ Coincide com férias de outro do setor","")))</f>
        <v/>
      </c>
      <c r="K25" s="0" t="str">
        <f aca="true">IF(AND(ISNUMBER(C25),ISNUMBER(D25),C25&lt;=TODAY(),D25&gt;=TODAY()),D25+ROW()/100000,"")</f>
        <v/>
      </c>
      <c r="L25" s="0" t="str">
        <f aca="true">IF(AND(ISNUMBER(C25),C25&gt;TODAY(),C25&lt;=TODAY()+30),C25+ROW()/100000,"")</f>
        <v/>
      </c>
      <c r="M25" s="0" t="str">
        <f aca="false">IF(AND(ISNUMBER(C25),ISNUMBER(D25),C25&lt;=CALENDÁRIO!$L$4,D25&gt;=CALENDÁRIO!$L$4),ROW(),"")</f>
        <v/>
      </c>
    </row>
    <row r="26" customFormat="false" ht="13.5" hidden="false" customHeight="true" outlineLevel="0" collapsed="false">
      <c r="A26" s="54"/>
      <c r="B26" s="54"/>
      <c r="C26" s="73"/>
      <c r="D26" s="73"/>
      <c r="E26" s="64"/>
      <c r="F26" s="65" t="str">
        <f aca="false">IF(AND(ISNUMBER(C26),ISNUMBER(D26),D26&gt;=C26),D26-C26+1,"")</f>
        <v/>
      </c>
      <c r="G26" s="66" t="str">
        <f aca="false">IF(AND(ISNUMBER(C26),ISNUMBER(D26),D26&gt;=C26),WORKDAY(D26,1),"")</f>
        <v/>
      </c>
      <c r="H26" s="55" t="str">
        <f aca="true">IF(A26="","",IF(NOT(AND(ISNUMBER(C26),ISNUMBER(D26))),"Sem data definida",IF(D26&lt;C26,"⚠ Datas invertidas",IF(TODAY()&lt;C26,IF(C26-TODAY()=1,"Começa amanhã","Começa em "&amp;(C26-TODAY())&amp;" dias"),IF(TODAY()&gt;D26,"Concluídas",IF(TODAY()=D26,"EM FÉRIAS (último dia)","EM FÉRIAS (faltam "&amp;(D26-TODAY())&amp;" dias)"))))))</f>
        <v/>
      </c>
      <c r="I26" s="55" t="str">
        <f aca="false">IF(OR(A26="",NOT(AND(ISNUMBER(C26),ISNUMBER(D26)))),"",IF(D26-C26+1&gt;30,"⚠ Período acima de 30 dias",IF(COUNTIFS($B$2:$B$301,B26,$C$2:$C$301,"&lt;="&amp;D26,$D$2:$D$301,"&gt;="&amp;C26)&gt;1,"⚠ Coincide com férias de outro do setor","")))</f>
        <v/>
      </c>
      <c r="K26" s="0" t="str">
        <f aca="true">IF(AND(ISNUMBER(C26),ISNUMBER(D26),C26&lt;=TODAY(),D26&gt;=TODAY()),D26+ROW()/100000,"")</f>
        <v/>
      </c>
      <c r="L26" s="0" t="str">
        <f aca="true">IF(AND(ISNUMBER(C26),C26&gt;TODAY(),C26&lt;=TODAY()+30),C26+ROW()/100000,"")</f>
        <v/>
      </c>
      <c r="M26" s="0" t="str">
        <f aca="false">IF(AND(ISNUMBER(C26),ISNUMBER(D26),C26&lt;=CALENDÁRIO!$L$4,D26&gt;=CALENDÁRIO!$L$4),ROW(),"")</f>
        <v/>
      </c>
    </row>
    <row r="27" customFormat="false" ht="13.5" hidden="false" customHeight="true" outlineLevel="0" collapsed="false">
      <c r="A27" s="54"/>
      <c r="B27" s="54"/>
      <c r="C27" s="73"/>
      <c r="D27" s="73"/>
      <c r="E27" s="64"/>
      <c r="F27" s="65" t="str">
        <f aca="false">IF(AND(ISNUMBER(C27),ISNUMBER(D27),D27&gt;=C27),D27-C27+1,"")</f>
        <v/>
      </c>
      <c r="G27" s="66" t="str">
        <f aca="false">IF(AND(ISNUMBER(C27),ISNUMBER(D27),D27&gt;=C27),WORKDAY(D27,1),"")</f>
        <v/>
      </c>
      <c r="H27" s="55" t="str">
        <f aca="true">IF(A27="","",IF(NOT(AND(ISNUMBER(C27),ISNUMBER(D27))),"Sem data definida",IF(D27&lt;C27,"⚠ Datas invertidas",IF(TODAY()&lt;C27,IF(C27-TODAY()=1,"Começa amanhã","Começa em "&amp;(C27-TODAY())&amp;" dias"),IF(TODAY()&gt;D27,"Concluídas",IF(TODAY()=D27,"EM FÉRIAS (último dia)","EM FÉRIAS (faltam "&amp;(D27-TODAY())&amp;" dias)"))))))</f>
        <v/>
      </c>
      <c r="I27" s="55" t="str">
        <f aca="false">IF(OR(A27="",NOT(AND(ISNUMBER(C27),ISNUMBER(D27)))),"",IF(D27-C27+1&gt;30,"⚠ Período acima de 30 dias",IF(COUNTIFS($B$2:$B$301,B27,$C$2:$C$301,"&lt;="&amp;D27,$D$2:$D$301,"&gt;="&amp;C27)&gt;1,"⚠ Coincide com férias de outro do setor","")))</f>
        <v/>
      </c>
      <c r="K27" s="0" t="str">
        <f aca="true">IF(AND(ISNUMBER(C27),ISNUMBER(D27),C27&lt;=TODAY(),D27&gt;=TODAY()),D27+ROW()/100000,"")</f>
        <v/>
      </c>
      <c r="L27" s="0" t="str">
        <f aca="true">IF(AND(ISNUMBER(C27),C27&gt;TODAY(),C27&lt;=TODAY()+30),C27+ROW()/100000,"")</f>
        <v/>
      </c>
      <c r="M27" s="0" t="str">
        <f aca="false">IF(AND(ISNUMBER(C27),ISNUMBER(D27),C27&lt;=CALENDÁRIO!$L$4,D27&gt;=CALENDÁRIO!$L$4),ROW(),"")</f>
        <v/>
      </c>
    </row>
    <row r="28" customFormat="false" ht="15" hidden="false" customHeight="true" outlineLevel="0" collapsed="false">
      <c r="A28" s="54"/>
      <c r="B28" s="54"/>
      <c r="C28" s="53"/>
      <c r="D28" s="53"/>
      <c r="E28" s="64"/>
      <c r="F28" s="65" t="str">
        <f aca="false">IF(AND(ISNUMBER(C28),ISNUMBER(D28),D28&gt;=C28),D28-C28+1,"")</f>
        <v/>
      </c>
      <c r="G28" s="66" t="str">
        <f aca="false">IF(AND(ISNUMBER(C28),ISNUMBER(D28),D28&gt;=C28),WORKDAY(D28,1),"")</f>
        <v/>
      </c>
      <c r="H28" s="55" t="str">
        <f aca="true">IF(A28="","",IF(NOT(AND(ISNUMBER(C28),ISNUMBER(D28))),"Sem data definida",IF(D28&lt;C28,"⚠ Datas invertidas",IF(TODAY()&lt;C28,IF(C28-TODAY()=1,"Começa amanhã","Começa em "&amp;(C28-TODAY())&amp;" dias"),IF(TODAY()&gt;D28,"Concluídas",IF(TODAY()=D28,"EM FÉRIAS (último dia)","EM FÉRIAS (faltam "&amp;(D28-TODAY())&amp;" dias)"))))))</f>
        <v/>
      </c>
      <c r="I28" s="55" t="str">
        <f aca="false">IF(OR(A28="",NOT(AND(ISNUMBER(C28),ISNUMBER(D28)))),"",IF(D28-C28+1&gt;30,"⚠ Período acima de 30 dias",IF(COUNTIFS($B$2:$B$301,B28,$C$2:$C$301,"&lt;="&amp;D28,$D$2:$D$301,"&gt;="&amp;C28)&gt;1,"⚠ Coincide com férias de outro do setor","")))</f>
        <v/>
      </c>
      <c r="K28" s="0" t="str">
        <f aca="true">IF(AND(ISNUMBER(C28),ISNUMBER(D28),C28&lt;=TODAY(),D28&gt;=TODAY()),D28+ROW()/100000,"")</f>
        <v/>
      </c>
      <c r="L28" s="0" t="str">
        <f aca="true">IF(AND(ISNUMBER(C28),C28&gt;TODAY(),C28&lt;=TODAY()+30),C28+ROW()/100000,"")</f>
        <v/>
      </c>
      <c r="M28" s="0" t="str">
        <f aca="false">IF(AND(ISNUMBER(C28),ISNUMBER(D28),C28&lt;=CALENDÁRIO!$L$4,D28&gt;=CALENDÁRIO!$L$4),ROW(),"")</f>
        <v/>
      </c>
    </row>
    <row r="29" customFormat="false" ht="15" hidden="false" customHeight="true" outlineLevel="0" collapsed="false">
      <c r="A29" s="54"/>
      <c r="B29" s="54"/>
      <c r="C29" s="53"/>
      <c r="D29" s="53"/>
      <c r="E29" s="64"/>
      <c r="F29" s="65" t="str">
        <f aca="false">IF(AND(ISNUMBER(C29),ISNUMBER(D29),D29&gt;=C29),D29-C29+1,"")</f>
        <v/>
      </c>
      <c r="G29" s="66" t="str">
        <f aca="false">IF(AND(ISNUMBER(C29),ISNUMBER(D29),D29&gt;=C29),WORKDAY(D29,1),"")</f>
        <v/>
      </c>
      <c r="H29" s="55" t="str">
        <f aca="true">IF(A29="","",IF(NOT(AND(ISNUMBER(C29),ISNUMBER(D29))),"Sem data definida",IF(D29&lt;C29,"⚠ Datas invertidas",IF(TODAY()&lt;C29,IF(C29-TODAY()=1,"Começa amanhã","Começa em "&amp;(C29-TODAY())&amp;" dias"),IF(TODAY()&gt;D29,"Concluídas",IF(TODAY()=D29,"EM FÉRIAS (último dia)","EM FÉRIAS (faltam "&amp;(D29-TODAY())&amp;" dias)"))))))</f>
        <v/>
      </c>
      <c r="I29" s="55" t="str">
        <f aca="false">IF(OR(A29="",NOT(AND(ISNUMBER(C29),ISNUMBER(D29)))),"",IF(D29-C29+1&gt;30,"⚠ Período acima de 30 dias",IF(COUNTIFS($B$2:$B$301,B29,$C$2:$C$301,"&lt;="&amp;D29,$D$2:$D$301,"&gt;="&amp;C29)&gt;1,"⚠ Coincide com férias de outro do setor","")))</f>
        <v/>
      </c>
      <c r="K29" s="0" t="str">
        <f aca="true">IF(AND(ISNUMBER(C29),ISNUMBER(D29),C29&lt;=TODAY(),D29&gt;=TODAY()),D29+ROW()/100000,"")</f>
        <v/>
      </c>
      <c r="L29" s="0" t="str">
        <f aca="true">IF(AND(ISNUMBER(C29),C29&gt;TODAY(),C29&lt;=TODAY()+30),C29+ROW()/100000,"")</f>
        <v/>
      </c>
      <c r="M29" s="0" t="str">
        <f aca="false">IF(AND(ISNUMBER(C29),ISNUMBER(D29),C29&lt;=CALENDÁRIO!$L$4,D29&gt;=CALENDÁRIO!$L$4),ROW(),"")</f>
        <v/>
      </c>
    </row>
    <row r="30" customFormat="false" ht="15" hidden="false" customHeight="true" outlineLevel="0" collapsed="false">
      <c r="A30" s="54"/>
      <c r="B30" s="54"/>
      <c r="C30" s="53"/>
      <c r="D30" s="53"/>
      <c r="E30" s="64"/>
      <c r="F30" s="65" t="str">
        <f aca="false">IF(AND(ISNUMBER(C30),ISNUMBER(D30),D30&gt;=C30),D30-C30+1,"")</f>
        <v/>
      </c>
      <c r="G30" s="66" t="str">
        <f aca="false">IF(AND(ISNUMBER(C30),ISNUMBER(D30),D30&gt;=C30),WORKDAY(D30,1),"")</f>
        <v/>
      </c>
      <c r="H30" s="55" t="str">
        <f aca="true">IF(A30="","",IF(NOT(AND(ISNUMBER(C30),ISNUMBER(D30))),"Sem data definida",IF(D30&lt;C30,"⚠ Datas invertidas",IF(TODAY()&lt;C30,IF(C30-TODAY()=1,"Começa amanhã","Começa em "&amp;(C30-TODAY())&amp;" dias"),IF(TODAY()&gt;D30,"Concluídas",IF(TODAY()=D30,"EM FÉRIAS (último dia)","EM FÉRIAS (faltam "&amp;(D30-TODAY())&amp;" dias)"))))))</f>
        <v/>
      </c>
      <c r="I30" s="55" t="str">
        <f aca="false">IF(OR(A30="",NOT(AND(ISNUMBER(C30),ISNUMBER(D30)))),"",IF(D30-C30+1&gt;30,"⚠ Período acima de 30 dias",IF(COUNTIFS($B$2:$B$301,B30,$C$2:$C$301,"&lt;="&amp;D30,$D$2:$D$301,"&gt;="&amp;C30)&gt;1,"⚠ Coincide com férias de outro do setor","")))</f>
        <v/>
      </c>
      <c r="K30" s="0" t="str">
        <f aca="true">IF(AND(ISNUMBER(C30),ISNUMBER(D30),C30&lt;=TODAY(),D30&gt;=TODAY()),D30+ROW()/100000,"")</f>
        <v/>
      </c>
      <c r="L30" s="0" t="str">
        <f aca="true">IF(AND(ISNUMBER(C30),C30&gt;TODAY(),C30&lt;=TODAY()+30),C30+ROW()/100000,"")</f>
        <v/>
      </c>
      <c r="M30" s="0" t="str">
        <f aca="false">IF(AND(ISNUMBER(C30),ISNUMBER(D30),C30&lt;=CALENDÁRIO!$L$4,D30&gt;=CALENDÁRIO!$L$4),ROW(),"")</f>
        <v/>
      </c>
    </row>
    <row r="31" customFormat="false" ht="15" hidden="false" customHeight="true" outlineLevel="0" collapsed="false">
      <c r="A31" s="54"/>
      <c r="B31" s="54"/>
      <c r="C31" s="53"/>
      <c r="D31" s="53"/>
      <c r="E31" s="64"/>
      <c r="F31" s="65" t="str">
        <f aca="false">IF(AND(ISNUMBER(C31),ISNUMBER(D31),D31&gt;=C31),D31-C31+1,"")</f>
        <v/>
      </c>
      <c r="G31" s="66" t="str">
        <f aca="false">IF(AND(ISNUMBER(C31),ISNUMBER(D31),D31&gt;=C31),WORKDAY(D31,1),"")</f>
        <v/>
      </c>
      <c r="H31" s="55" t="str">
        <f aca="true">IF(A31="","",IF(NOT(AND(ISNUMBER(C31),ISNUMBER(D31))),"Sem data definida",IF(D31&lt;C31,"⚠ Datas invertidas",IF(TODAY()&lt;C31,IF(C31-TODAY()=1,"Começa amanhã","Começa em "&amp;(C31-TODAY())&amp;" dias"),IF(TODAY()&gt;D31,"Concluídas",IF(TODAY()=D31,"EM FÉRIAS (último dia)","EM FÉRIAS (faltam "&amp;(D31-TODAY())&amp;" dias)"))))))</f>
        <v/>
      </c>
      <c r="I31" s="55" t="str">
        <f aca="false">IF(OR(A31="",NOT(AND(ISNUMBER(C31),ISNUMBER(D31)))),"",IF(D31-C31+1&gt;30,"⚠ Período acima de 30 dias",IF(COUNTIFS($B$2:$B$301,B31,$C$2:$C$301,"&lt;="&amp;D31,$D$2:$D$301,"&gt;="&amp;C31)&gt;1,"⚠ Coincide com férias de outro do setor","")))</f>
        <v/>
      </c>
      <c r="K31" s="0" t="str">
        <f aca="true">IF(AND(ISNUMBER(C31),ISNUMBER(D31),C31&lt;=TODAY(),D31&gt;=TODAY()),D31+ROW()/100000,"")</f>
        <v/>
      </c>
      <c r="L31" s="0" t="str">
        <f aca="true">IF(AND(ISNUMBER(C31),C31&gt;TODAY(),C31&lt;=TODAY()+30),C31+ROW()/100000,"")</f>
        <v/>
      </c>
      <c r="M31" s="0" t="str">
        <f aca="false">IF(AND(ISNUMBER(C31),ISNUMBER(D31),C31&lt;=CALENDÁRIO!$L$4,D31&gt;=CALENDÁRIO!$L$4),ROW(),"")</f>
        <v/>
      </c>
    </row>
    <row r="32" customFormat="false" ht="15" hidden="false" customHeight="true" outlineLevel="0" collapsed="false">
      <c r="A32" s="54"/>
      <c r="B32" s="54"/>
      <c r="C32" s="53"/>
      <c r="D32" s="53"/>
      <c r="E32" s="64"/>
      <c r="F32" s="65" t="str">
        <f aca="false">IF(AND(ISNUMBER(C32),ISNUMBER(D32),D32&gt;=C32),D32-C32+1,"")</f>
        <v/>
      </c>
      <c r="G32" s="66" t="str">
        <f aca="false">IF(AND(ISNUMBER(C32),ISNUMBER(D32),D32&gt;=C32),WORKDAY(D32,1),"")</f>
        <v/>
      </c>
      <c r="H32" s="55" t="str">
        <f aca="true">IF(A32="","",IF(NOT(AND(ISNUMBER(C32),ISNUMBER(D32))),"Sem data definida",IF(D32&lt;C32,"⚠ Datas invertidas",IF(TODAY()&lt;C32,IF(C32-TODAY()=1,"Começa amanhã","Começa em "&amp;(C32-TODAY())&amp;" dias"),IF(TODAY()&gt;D32,"Concluídas",IF(TODAY()=D32,"EM FÉRIAS (último dia)","EM FÉRIAS (faltam "&amp;(D32-TODAY())&amp;" dias)"))))))</f>
        <v/>
      </c>
      <c r="I32" s="55" t="str">
        <f aca="false">IF(OR(A32="",NOT(AND(ISNUMBER(C32),ISNUMBER(D32)))),"",IF(D32-C32+1&gt;30,"⚠ Período acima de 30 dias",IF(COUNTIFS($B$2:$B$301,B32,$C$2:$C$301,"&lt;="&amp;D32,$D$2:$D$301,"&gt;="&amp;C32)&gt;1,"⚠ Coincide com férias de outro do setor","")))</f>
        <v/>
      </c>
      <c r="K32" s="0" t="str">
        <f aca="true">IF(AND(ISNUMBER(C32),ISNUMBER(D32),C32&lt;=TODAY(),D32&gt;=TODAY()),D32+ROW()/100000,"")</f>
        <v/>
      </c>
      <c r="L32" s="0" t="str">
        <f aca="true">IF(AND(ISNUMBER(C32),C32&gt;TODAY(),C32&lt;=TODAY()+30),C32+ROW()/100000,"")</f>
        <v/>
      </c>
      <c r="M32" s="0" t="str">
        <f aca="false">IF(AND(ISNUMBER(C32),ISNUMBER(D32),C32&lt;=CALENDÁRIO!$L$4,D32&gt;=CALENDÁRIO!$L$4),ROW(),"")</f>
        <v/>
      </c>
    </row>
    <row r="33" customFormat="false" ht="15" hidden="false" customHeight="true" outlineLevel="0" collapsed="false">
      <c r="A33" s="54"/>
      <c r="B33" s="54"/>
      <c r="C33" s="53"/>
      <c r="D33" s="53"/>
      <c r="E33" s="64"/>
      <c r="F33" s="65" t="str">
        <f aca="false">IF(AND(ISNUMBER(C33),ISNUMBER(D33),D33&gt;=C33),D33-C33+1,"")</f>
        <v/>
      </c>
      <c r="G33" s="66" t="str">
        <f aca="false">IF(AND(ISNUMBER(C33),ISNUMBER(D33),D33&gt;=C33),WORKDAY(D33,1),"")</f>
        <v/>
      </c>
      <c r="H33" s="55" t="str">
        <f aca="true">IF(A33="","",IF(NOT(AND(ISNUMBER(C33),ISNUMBER(D33))),"Sem data definida",IF(D33&lt;C33,"⚠ Datas invertidas",IF(TODAY()&lt;C33,IF(C33-TODAY()=1,"Começa amanhã","Começa em "&amp;(C33-TODAY())&amp;" dias"),IF(TODAY()&gt;D33,"Concluídas",IF(TODAY()=D33,"EM FÉRIAS (último dia)","EM FÉRIAS (faltam "&amp;(D33-TODAY())&amp;" dias)"))))))</f>
        <v/>
      </c>
      <c r="I33" s="55" t="str">
        <f aca="false">IF(OR(A33="",NOT(AND(ISNUMBER(C33),ISNUMBER(D33)))),"",IF(D33-C33+1&gt;30,"⚠ Período acima de 30 dias",IF(COUNTIFS($B$2:$B$301,B33,$C$2:$C$301,"&lt;="&amp;D33,$D$2:$D$301,"&gt;="&amp;C33)&gt;1,"⚠ Coincide com férias de outro do setor","")))</f>
        <v/>
      </c>
      <c r="K33" s="0" t="str">
        <f aca="true">IF(AND(ISNUMBER(C33),ISNUMBER(D33),C33&lt;=TODAY(),D33&gt;=TODAY()),D33+ROW()/100000,"")</f>
        <v/>
      </c>
      <c r="L33" s="0" t="str">
        <f aca="true">IF(AND(ISNUMBER(C33),C33&gt;TODAY(),C33&lt;=TODAY()+30),C33+ROW()/100000,"")</f>
        <v/>
      </c>
      <c r="M33" s="0" t="str">
        <f aca="false">IF(AND(ISNUMBER(C33),ISNUMBER(D33),C33&lt;=CALENDÁRIO!$L$4,D33&gt;=CALENDÁRIO!$L$4),ROW(),"")</f>
        <v/>
      </c>
    </row>
    <row r="34" customFormat="false" ht="15" hidden="false" customHeight="true" outlineLevel="0" collapsed="false">
      <c r="A34" s="54"/>
      <c r="B34" s="54"/>
      <c r="C34" s="53"/>
      <c r="D34" s="53"/>
      <c r="E34" s="64"/>
      <c r="F34" s="65" t="str">
        <f aca="false">IF(AND(ISNUMBER(C34),ISNUMBER(D34),D34&gt;=C34),D34-C34+1,"")</f>
        <v/>
      </c>
      <c r="G34" s="66" t="str">
        <f aca="false">IF(AND(ISNUMBER(C34),ISNUMBER(D34),D34&gt;=C34),WORKDAY(D34,1),"")</f>
        <v/>
      </c>
      <c r="H34" s="55" t="str">
        <f aca="true">IF(A34="","",IF(NOT(AND(ISNUMBER(C34),ISNUMBER(D34))),"Sem data definida",IF(D34&lt;C34,"⚠ Datas invertidas",IF(TODAY()&lt;C34,IF(C34-TODAY()=1,"Começa amanhã","Começa em "&amp;(C34-TODAY())&amp;" dias"),IF(TODAY()&gt;D34,"Concluídas",IF(TODAY()=D34,"EM FÉRIAS (último dia)","EM FÉRIAS (faltam "&amp;(D34-TODAY())&amp;" dias)"))))))</f>
        <v/>
      </c>
      <c r="I34" s="55" t="str">
        <f aca="false">IF(OR(A34="",NOT(AND(ISNUMBER(C34),ISNUMBER(D34)))),"",IF(D34-C34+1&gt;30,"⚠ Período acima de 30 dias",IF(COUNTIFS($B$2:$B$301,B34,$C$2:$C$301,"&lt;="&amp;D34,$D$2:$D$301,"&gt;="&amp;C34)&gt;1,"⚠ Coincide com férias de outro do setor","")))</f>
        <v/>
      </c>
      <c r="K34" s="0" t="str">
        <f aca="true">IF(AND(ISNUMBER(C34),ISNUMBER(D34),C34&lt;=TODAY(),D34&gt;=TODAY()),D34+ROW()/100000,"")</f>
        <v/>
      </c>
      <c r="L34" s="0" t="str">
        <f aca="true">IF(AND(ISNUMBER(C34),C34&gt;TODAY(),C34&lt;=TODAY()+30),C34+ROW()/100000,"")</f>
        <v/>
      </c>
      <c r="M34" s="0" t="str">
        <f aca="false">IF(AND(ISNUMBER(C34),ISNUMBER(D34),C34&lt;=CALENDÁRIO!$L$4,D34&gt;=CALENDÁRIO!$L$4),ROW(),"")</f>
        <v/>
      </c>
    </row>
    <row r="35" customFormat="false" ht="15" hidden="false" customHeight="true" outlineLevel="0" collapsed="false">
      <c r="A35" s="54"/>
      <c r="B35" s="54"/>
      <c r="C35" s="53"/>
      <c r="D35" s="53"/>
      <c r="E35" s="64"/>
      <c r="F35" s="65" t="str">
        <f aca="false">IF(AND(ISNUMBER(C35),ISNUMBER(D35),D35&gt;=C35),D35-C35+1,"")</f>
        <v/>
      </c>
      <c r="G35" s="66" t="str">
        <f aca="false">IF(AND(ISNUMBER(C35),ISNUMBER(D35),D35&gt;=C35),WORKDAY(D35,1),"")</f>
        <v/>
      </c>
      <c r="H35" s="55" t="str">
        <f aca="true">IF(A35="","",IF(NOT(AND(ISNUMBER(C35),ISNUMBER(D35))),"Sem data definida",IF(D35&lt;C35,"⚠ Datas invertidas",IF(TODAY()&lt;C35,IF(C35-TODAY()=1,"Começa amanhã","Começa em "&amp;(C35-TODAY())&amp;" dias"),IF(TODAY()&gt;D35,"Concluídas",IF(TODAY()=D35,"EM FÉRIAS (último dia)","EM FÉRIAS (faltam "&amp;(D35-TODAY())&amp;" dias)"))))))</f>
        <v/>
      </c>
      <c r="I35" s="55" t="str">
        <f aca="false">IF(OR(A35="",NOT(AND(ISNUMBER(C35),ISNUMBER(D35)))),"",IF(D35-C35+1&gt;30,"⚠ Período acima de 30 dias",IF(COUNTIFS($B$2:$B$301,B35,$C$2:$C$301,"&lt;="&amp;D35,$D$2:$D$301,"&gt;="&amp;C35)&gt;1,"⚠ Coincide com férias de outro do setor","")))</f>
        <v/>
      </c>
      <c r="K35" s="0" t="str">
        <f aca="true">IF(AND(ISNUMBER(C35),ISNUMBER(D35),C35&lt;=TODAY(),D35&gt;=TODAY()),D35+ROW()/100000,"")</f>
        <v/>
      </c>
      <c r="L35" s="0" t="str">
        <f aca="true">IF(AND(ISNUMBER(C35),C35&gt;TODAY(),C35&lt;=TODAY()+30),C35+ROW()/100000,"")</f>
        <v/>
      </c>
      <c r="M35" s="0" t="str">
        <f aca="false">IF(AND(ISNUMBER(C35),ISNUMBER(D35),C35&lt;=CALENDÁRIO!$L$4,D35&gt;=CALENDÁRIO!$L$4),ROW(),"")</f>
        <v/>
      </c>
    </row>
    <row r="36" customFormat="false" ht="15" hidden="false" customHeight="true" outlineLevel="0" collapsed="false">
      <c r="A36" s="54"/>
      <c r="B36" s="54"/>
      <c r="C36" s="53"/>
      <c r="D36" s="53"/>
      <c r="E36" s="64"/>
      <c r="F36" s="65" t="str">
        <f aca="false">IF(AND(ISNUMBER(C36),ISNUMBER(D36),D36&gt;=C36),D36-C36+1,"")</f>
        <v/>
      </c>
      <c r="G36" s="66" t="str">
        <f aca="false">IF(AND(ISNUMBER(C36),ISNUMBER(D36),D36&gt;=C36),WORKDAY(D36,1),"")</f>
        <v/>
      </c>
      <c r="H36" s="55" t="str">
        <f aca="true">IF(A36="","",IF(NOT(AND(ISNUMBER(C36),ISNUMBER(D36))),"Sem data definida",IF(D36&lt;C36,"⚠ Datas invertidas",IF(TODAY()&lt;C36,IF(C36-TODAY()=1,"Começa amanhã","Começa em "&amp;(C36-TODAY())&amp;" dias"),IF(TODAY()&gt;D36,"Concluídas",IF(TODAY()=D36,"EM FÉRIAS (último dia)","EM FÉRIAS (faltam "&amp;(D36-TODAY())&amp;" dias)"))))))</f>
        <v/>
      </c>
      <c r="I36" s="55" t="str">
        <f aca="false">IF(OR(A36="",NOT(AND(ISNUMBER(C36),ISNUMBER(D36)))),"",IF(D36-C36+1&gt;30,"⚠ Período acima de 30 dias",IF(COUNTIFS($B$2:$B$301,B36,$C$2:$C$301,"&lt;="&amp;D36,$D$2:$D$301,"&gt;="&amp;C36)&gt;1,"⚠ Coincide com férias de outro do setor","")))</f>
        <v/>
      </c>
      <c r="K36" s="0" t="str">
        <f aca="true">IF(AND(ISNUMBER(C36),ISNUMBER(D36),C36&lt;=TODAY(),D36&gt;=TODAY()),D36+ROW()/100000,"")</f>
        <v/>
      </c>
      <c r="L36" s="0" t="str">
        <f aca="true">IF(AND(ISNUMBER(C36),C36&gt;TODAY(),C36&lt;=TODAY()+30),C36+ROW()/100000,"")</f>
        <v/>
      </c>
      <c r="M36" s="0" t="str">
        <f aca="false">IF(AND(ISNUMBER(C36),ISNUMBER(D36),C36&lt;=CALENDÁRIO!$L$4,D36&gt;=CALENDÁRIO!$L$4),ROW(),"")</f>
        <v/>
      </c>
    </row>
    <row r="37" customFormat="false" ht="15" hidden="false" customHeight="true" outlineLevel="0" collapsed="false">
      <c r="A37" s="54"/>
      <c r="B37" s="54"/>
      <c r="C37" s="53"/>
      <c r="D37" s="53"/>
      <c r="E37" s="64"/>
      <c r="F37" s="65" t="str">
        <f aca="false">IF(AND(ISNUMBER(C37),ISNUMBER(D37),D37&gt;=C37),D37-C37+1,"")</f>
        <v/>
      </c>
      <c r="G37" s="66" t="str">
        <f aca="false">IF(AND(ISNUMBER(C37),ISNUMBER(D37),D37&gt;=C37),WORKDAY(D37,1),"")</f>
        <v/>
      </c>
      <c r="H37" s="55" t="str">
        <f aca="true">IF(A37="","",IF(NOT(AND(ISNUMBER(C37),ISNUMBER(D37))),"Sem data definida",IF(D37&lt;C37,"⚠ Datas invertidas",IF(TODAY()&lt;C37,IF(C37-TODAY()=1,"Começa amanhã","Começa em "&amp;(C37-TODAY())&amp;" dias"),IF(TODAY()&gt;D37,"Concluídas",IF(TODAY()=D37,"EM FÉRIAS (último dia)","EM FÉRIAS (faltam "&amp;(D37-TODAY())&amp;" dias)"))))))</f>
        <v/>
      </c>
      <c r="I37" s="55" t="str">
        <f aca="false">IF(OR(A37="",NOT(AND(ISNUMBER(C37),ISNUMBER(D37)))),"",IF(D37-C37+1&gt;30,"⚠ Período acima de 30 dias",IF(COUNTIFS($B$2:$B$301,B37,$C$2:$C$301,"&lt;="&amp;D37,$D$2:$D$301,"&gt;="&amp;C37)&gt;1,"⚠ Coincide com férias de outro do setor","")))</f>
        <v/>
      </c>
      <c r="K37" s="0" t="str">
        <f aca="true">IF(AND(ISNUMBER(C37),ISNUMBER(D37),C37&lt;=TODAY(),D37&gt;=TODAY()),D37+ROW()/100000,"")</f>
        <v/>
      </c>
      <c r="L37" s="0" t="str">
        <f aca="true">IF(AND(ISNUMBER(C37),C37&gt;TODAY(),C37&lt;=TODAY()+30),C37+ROW()/100000,"")</f>
        <v/>
      </c>
      <c r="M37" s="0" t="str">
        <f aca="false">IF(AND(ISNUMBER(C37),ISNUMBER(D37),C37&lt;=CALENDÁRIO!$L$4,D37&gt;=CALENDÁRIO!$L$4),ROW(),"")</f>
        <v/>
      </c>
    </row>
    <row r="38" customFormat="false" ht="15" hidden="false" customHeight="true" outlineLevel="0" collapsed="false">
      <c r="A38" s="54"/>
      <c r="B38" s="54"/>
      <c r="C38" s="53"/>
      <c r="D38" s="53"/>
      <c r="E38" s="64"/>
      <c r="F38" s="65" t="str">
        <f aca="false">IF(AND(ISNUMBER(C38),ISNUMBER(D38),D38&gt;=C38),D38-C38+1,"")</f>
        <v/>
      </c>
      <c r="G38" s="66" t="str">
        <f aca="false">IF(AND(ISNUMBER(C38),ISNUMBER(D38),D38&gt;=C38),WORKDAY(D38,1),"")</f>
        <v/>
      </c>
      <c r="H38" s="55" t="str">
        <f aca="true">IF(A38="","",IF(NOT(AND(ISNUMBER(C38),ISNUMBER(D38))),"Sem data definida",IF(D38&lt;C38,"⚠ Datas invertidas",IF(TODAY()&lt;C38,IF(C38-TODAY()=1,"Começa amanhã","Começa em "&amp;(C38-TODAY())&amp;" dias"),IF(TODAY()&gt;D38,"Concluídas",IF(TODAY()=D38,"EM FÉRIAS (último dia)","EM FÉRIAS (faltam "&amp;(D38-TODAY())&amp;" dias)"))))))</f>
        <v/>
      </c>
      <c r="I38" s="55" t="str">
        <f aca="false">IF(OR(A38="",NOT(AND(ISNUMBER(C38),ISNUMBER(D38)))),"",IF(D38-C38+1&gt;30,"⚠ Período acima de 30 dias",IF(COUNTIFS($B$2:$B$301,B38,$C$2:$C$301,"&lt;="&amp;D38,$D$2:$D$301,"&gt;="&amp;C38)&gt;1,"⚠ Coincide com férias de outro do setor","")))</f>
        <v/>
      </c>
      <c r="K38" s="0" t="str">
        <f aca="true">IF(AND(ISNUMBER(C38),ISNUMBER(D38),C38&lt;=TODAY(),D38&gt;=TODAY()),D38+ROW()/100000,"")</f>
        <v/>
      </c>
      <c r="L38" s="0" t="str">
        <f aca="true">IF(AND(ISNUMBER(C38),C38&gt;TODAY(),C38&lt;=TODAY()+30),C38+ROW()/100000,"")</f>
        <v/>
      </c>
      <c r="M38" s="0" t="str">
        <f aca="false">IF(AND(ISNUMBER(C38),ISNUMBER(D38),C38&lt;=CALENDÁRIO!$L$4,D38&gt;=CALENDÁRIO!$L$4),ROW(),"")</f>
        <v/>
      </c>
    </row>
    <row r="39" customFormat="false" ht="15" hidden="false" customHeight="true" outlineLevel="0" collapsed="false">
      <c r="A39" s="54"/>
      <c r="B39" s="54"/>
      <c r="C39" s="53"/>
      <c r="D39" s="53"/>
      <c r="E39" s="64"/>
      <c r="F39" s="65" t="str">
        <f aca="false">IF(AND(ISNUMBER(C39),ISNUMBER(D39),D39&gt;=C39),D39-C39+1,"")</f>
        <v/>
      </c>
      <c r="G39" s="66" t="str">
        <f aca="false">IF(AND(ISNUMBER(C39),ISNUMBER(D39),D39&gt;=C39),WORKDAY(D39,1),"")</f>
        <v/>
      </c>
      <c r="H39" s="55" t="str">
        <f aca="true">IF(A39="","",IF(NOT(AND(ISNUMBER(C39),ISNUMBER(D39))),"Sem data definida",IF(D39&lt;C39,"⚠ Datas invertidas",IF(TODAY()&lt;C39,IF(C39-TODAY()=1,"Começa amanhã","Começa em "&amp;(C39-TODAY())&amp;" dias"),IF(TODAY()&gt;D39,"Concluídas",IF(TODAY()=D39,"EM FÉRIAS (último dia)","EM FÉRIAS (faltam "&amp;(D39-TODAY())&amp;" dias)"))))))</f>
        <v/>
      </c>
      <c r="I39" s="55" t="str">
        <f aca="false">IF(OR(A39="",NOT(AND(ISNUMBER(C39),ISNUMBER(D39)))),"",IF(D39-C39+1&gt;30,"⚠ Período acima de 30 dias",IF(COUNTIFS($B$2:$B$301,B39,$C$2:$C$301,"&lt;="&amp;D39,$D$2:$D$301,"&gt;="&amp;C39)&gt;1,"⚠ Coincide com férias de outro do setor","")))</f>
        <v/>
      </c>
      <c r="K39" s="0" t="str">
        <f aca="true">IF(AND(ISNUMBER(C39),ISNUMBER(D39),C39&lt;=TODAY(),D39&gt;=TODAY()),D39+ROW()/100000,"")</f>
        <v/>
      </c>
      <c r="L39" s="0" t="str">
        <f aca="true">IF(AND(ISNUMBER(C39),C39&gt;TODAY(),C39&lt;=TODAY()+30),C39+ROW()/100000,"")</f>
        <v/>
      </c>
      <c r="M39" s="0" t="str">
        <f aca="false">IF(AND(ISNUMBER(C39),ISNUMBER(D39),C39&lt;=CALENDÁRIO!$L$4,D39&gt;=CALENDÁRIO!$L$4),ROW(),"")</f>
        <v/>
      </c>
    </row>
    <row r="40" customFormat="false" ht="15" hidden="false" customHeight="true" outlineLevel="0" collapsed="false">
      <c r="A40" s="54"/>
      <c r="B40" s="54"/>
      <c r="C40" s="53"/>
      <c r="D40" s="53"/>
      <c r="E40" s="64"/>
      <c r="F40" s="65" t="str">
        <f aca="false">IF(AND(ISNUMBER(C40),ISNUMBER(D40),D40&gt;=C40),D40-C40+1,"")</f>
        <v/>
      </c>
      <c r="G40" s="66" t="str">
        <f aca="false">IF(AND(ISNUMBER(C40),ISNUMBER(D40),D40&gt;=C40),WORKDAY(D40,1),"")</f>
        <v/>
      </c>
      <c r="H40" s="55" t="str">
        <f aca="true">IF(A40="","",IF(NOT(AND(ISNUMBER(C40),ISNUMBER(D40))),"Sem data definida",IF(D40&lt;C40,"⚠ Datas invertidas",IF(TODAY()&lt;C40,IF(C40-TODAY()=1,"Começa amanhã","Começa em "&amp;(C40-TODAY())&amp;" dias"),IF(TODAY()&gt;D40,"Concluídas",IF(TODAY()=D40,"EM FÉRIAS (último dia)","EM FÉRIAS (faltam "&amp;(D40-TODAY())&amp;" dias)"))))))</f>
        <v/>
      </c>
      <c r="I40" s="55" t="str">
        <f aca="false">IF(OR(A40="",NOT(AND(ISNUMBER(C40),ISNUMBER(D40)))),"",IF(D40-C40+1&gt;30,"⚠ Período acima de 30 dias",IF(COUNTIFS($B$2:$B$301,B40,$C$2:$C$301,"&lt;="&amp;D40,$D$2:$D$301,"&gt;="&amp;C40)&gt;1,"⚠ Coincide com férias de outro do setor","")))</f>
        <v/>
      </c>
      <c r="K40" s="0" t="str">
        <f aca="true">IF(AND(ISNUMBER(C40),ISNUMBER(D40),C40&lt;=TODAY(),D40&gt;=TODAY()),D40+ROW()/100000,"")</f>
        <v/>
      </c>
      <c r="L40" s="0" t="str">
        <f aca="true">IF(AND(ISNUMBER(C40),C40&gt;TODAY(),C40&lt;=TODAY()+30),C40+ROW()/100000,"")</f>
        <v/>
      </c>
      <c r="M40" s="0" t="str">
        <f aca="false">IF(AND(ISNUMBER(C40),ISNUMBER(D40),C40&lt;=CALENDÁRIO!$L$4,D40&gt;=CALENDÁRIO!$L$4),ROW(),"")</f>
        <v/>
      </c>
    </row>
    <row r="41" customFormat="false" ht="15" hidden="false" customHeight="true" outlineLevel="0" collapsed="false">
      <c r="A41" s="54"/>
      <c r="B41" s="54"/>
      <c r="C41" s="53"/>
      <c r="D41" s="53"/>
      <c r="E41" s="64"/>
      <c r="F41" s="65" t="str">
        <f aca="false">IF(AND(ISNUMBER(C41),ISNUMBER(D41),D41&gt;=C41),D41-C41+1,"")</f>
        <v/>
      </c>
      <c r="G41" s="66" t="str">
        <f aca="false">IF(AND(ISNUMBER(C41),ISNUMBER(D41),D41&gt;=C41),WORKDAY(D41,1),"")</f>
        <v/>
      </c>
      <c r="H41" s="55" t="str">
        <f aca="true">IF(A41="","",IF(NOT(AND(ISNUMBER(C41),ISNUMBER(D41))),"Sem data definida",IF(D41&lt;C41,"⚠ Datas invertidas",IF(TODAY()&lt;C41,IF(C41-TODAY()=1,"Começa amanhã","Começa em "&amp;(C41-TODAY())&amp;" dias"),IF(TODAY()&gt;D41,"Concluídas",IF(TODAY()=D41,"EM FÉRIAS (último dia)","EM FÉRIAS (faltam "&amp;(D41-TODAY())&amp;" dias)"))))))</f>
        <v/>
      </c>
      <c r="I41" s="55" t="str">
        <f aca="false">IF(OR(A41="",NOT(AND(ISNUMBER(C41),ISNUMBER(D41)))),"",IF(D41-C41+1&gt;30,"⚠ Período acima de 30 dias",IF(COUNTIFS($B$2:$B$301,B41,$C$2:$C$301,"&lt;="&amp;D41,$D$2:$D$301,"&gt;="&amp;C41)&gt;1,"⚠ Coincide com férias de outro do setor","")))</f>
        <v/>
      </c>
      <c r="K41" s="0" t="str">
        <f aca="true">IF(AND(ISNUMBER(C41),ISNUMBER(D41),C41&lt;=TODAY(),D41&gt;=TODAY()),D41+ROW()/100000,"")</f>
        <v/>
      </c>
      <c r="L41" s="0" t="str">
        <f aca="true">IF(AND(ISNUMBER(C41),C41&gt;TODAY(),C41&lt;=TODAY()+30),C41+ROW()/100000,"")</f>
        <v/>
      </c>
      <c r="M41" s="0" t="str">
        <f aca="false">IF(AND(ISNUMBER(C41),ISNUMBER(D41),C41&lt;=CALENDÁRIO!$L$4,D41&gt;=CALENDÁRIO!$L$4),ROW(),"")</f>
        <v/>
      </c>
    </row>
    <row r="42" customFormat="false" ht="15" hidden="false" customHeight="true" outlineLevel="0" collapsed="false">
      <c r="A42" s="54"/>
      <c r="B42" s="54"/>
      <c r="C42" s="53"/>
      <c r="D42" s="53"/>
      <c r="E42" s="64"/>
      <c r="F42" s="65" t="str">
        <f aca="false">IF(AND(ISNUMBER(C42),ISNUMBER(D42),D42&gt;=C42),D42-C42+1,"")</f>
        <v/>
      </c>
      <c r="G42" s="66" t="str">
        <f aca="false">IF(AND(ISNUMBER(C42),ISNUMBER(D42),D42&gt;=C42),WORKDAY(D42,1),"")</f>
        <v/>
      </c>
      <c r="H42" s="55" t="str">
        <f aca="true">IF(A42="","",IF(NOT(AND(ISNUMBER(C42),ISNUMBER(D42))),"Sem data definida",IF(D42&lt;C42,"⚠ Datas invertidas",IF(TODAY()&lt;C42,IF(C42-TODAY()=1,"Começa amanhã","Começa em "&amp;(C42-TODAY())&amp;" dias"),IF(TODAY()&gt;D42,"Concluídas",IF(TODAY()=D42,"EM FÉRIAS (último dia)","EM FÉRIAS (faltam "&amp;(D42-TODAY())&amp;" dias)"))))))</f>
        <v/>
      </c>
      <c r="I42" s="55" t="str">
        <f aca="false">IF(OR(A42="",NOT(AND(ISNUMBER(C42),ISNUMBER(D42)))),"",IF(D42-C42+1&gt;30,"⚠ Período acima de 30 dias",IF(COUNTIFS($B$2:$B$301,B42,$C$2:$C$301,"&lt;="&amp;D42,$D$2:$D$301,"&gt;="&amp;C42)&gt;1,"⚠ Coincide com férias de outro do setor","")))</f>
        <v/>
      </c>
      <c r="K42" s="0" t="str">
        <f aca="true">IF(AND(ISNUMBER(C42),ISNUMBER(D42),C42&lt;=TODAY(),D42&gt;=TODAY()),D42+ROW()/100000,"")</f>
        <v/>
      </c>
      <c r="L42" s="0" t="str">
        <f aca="true">IF(AND(ISNUMBER(C42),C42&gt;TODAY(),C42&lt;=TODAY()+30),C42+ROW()/100000,"")</f>
        <v/>
      </c>
      <c r="M42" s="0" t="str">
        <f aca="false">IF(AND(ISNUMBER(C42),ISNUMBER(D42),C42&lt;=CALENDÁRIO!$L$4,D42&gt;=CALENDÁRIO!$L$4),ROW(),"")</f>
        <v/>
      </c>
    </row>
    <row r="43" customFormat="false" ht="15" hidden="false" customHeight="true" outlineLevel="0" collapsed="false">
      <c r="A43" s="54"/>
      <c r="B43" s="54"/>
      <c r="C43" s="53"/>
      <c r="D43" s="53"/>
      <c r="E43" s="64"/>
      <c r="F43" s="65" t="str">
        <f aca="false">IF(AND(ISNUMBER(C43),ISNUMBER(D43),D43&gt;=C43),D43-C43+1,"")</f>
        <v/>
      </c>
      <c r="G43" s="66" t="str">
        <f aca="false">IF(AND(ISNUMBER(C43),ISNUMBER(D43),D43&gt;=C43),WORKDAY(D43,1),"")</f>
        <v/>
      </c>
      <c r="H43" s="55" t="str">
        <f aca="true">IF(A43="","",IF(NOT(AND(ISNUMBER(C43),ISNUMBER(D43))),"Sem data definida",IF(D43&lt;C43,"⚠ Datas invertidas",IF(TODAY()&lt;C43,IF(C43-TODAY()=1,"Começa amanhã","Começa em "&amp;(C43-TODAY())&amp;" dias"),IF(TODAY()&gt;D43,"Concluídas",IF(TODAY()=D43,"EM FÉRIAS (último dia)","EM FÉRIAS (faltam "&amp;(D43-TODAY())&amp;" dias)"))))))</f>
        <v/>
      </c>
      <c r="I43" s="55" t="str">
        <f aca="false">IF(OR(A43="",NOT(AND(ISNUMBER(C43),ISNUMBER(D43)))),"",IF(D43-C43+1&gt;30,"⚠ Período acima de 30 dias",IF(COUNTIFS($B$2:$B$301,B43,$C$2:$C$301,"&lt;="&amp;D43,$D$2:$D$301,"&gt;="&amp;C43)&gt;1,"⚠ Coincide com férias de outro do setor","")))</f>
        <v/>
      </c>
      <c r="K43" s="0" t="str">
        <f aca="true">IF(AND(ISNUMBER(C43),ISNUMBER(D43),C43&lt;=TODAY(),D43&gt;=TODAY()),D43+ROW()/100000,"")</f>
        <v/>
      </c>
      <c r="L43" s="0" t="str">
        <f aca="true">IF(AND(ISNUMBER(C43),C43&gt;TODAY(),C43&lt;=TODAY()+30),C43+ROW()/100000,"")</f>
        <v/>
      </c>
      <c r="M43" s="0" t="str">
        <f aca="false">IF(AND(ISNUMBER(C43),ISNUMBER(D43),C43&lt;=CALENDÁRIO!$L$4,D43&gt;=CALENDÁRIO!$L$4),ROW(),"")</f>
        <v/>
      </c>
    </row>
    <row r="44" customFormat="false" ht="15" hidden="false" customHeight="true" outlineLevel="0" collapsed="false">
      <c r="A44" s="54"/>
      <c r="B44" s="54"/>
      <c r="C44" s="53"/>
      <c r="D44" s="53"/>
      <c r="E44" s="64"/>
      <c r="F44" s="65" t="str">
        <f aca="false">IF(AND(ISNUMBER(C44),ISNUMBER(D44),D44&gt;=C44),D44-C44+1,"")</f>
        <v/>
      </c>
      <c r="G44" s="66" t="str">
        <f aca="false">IF(AND(ISNUMBER(C44),ISNUMBER(D44),D44&gt;=C44),WORKDAY(D44,1),"")</f>
        <v/>
      </c>
      <c r="H44" s="55" t="str">
        <f aca="true">IF(A44="","",IF(NOT(AND(ISNUMBER(C44),ISNUMBER(D44))),"Sem data definida",IF(D44&lt;C44,"⚠ Datas invertidas",IF(TODAY()&lt;C44,IF(C44-TODAY()=1,"Começa amanhã","Começa em "&amp;(C44-TODAY())&amp;" dias"),IF(TODAY()&gt;D44,"Concluídas",IF(TODAY()=D44,"EM FÉRIAS (último dia)","EM FÉRIAS (faltam "&amp;(D44-TODAY())&amp;" dias)"))))))</f>
        <v/>
      </c>
      <c r="I44" s="55" t="str">
        <f aca="false">IF(OR(A44="",NOT(AND(ISNUMBER(C44),ISNUMBER(D44)))),"",IF(D44-C44+1&gt;30,"⚠ Período acima de 30 dias",IF(COUNTIFS($B$2:$B$301,B44,$C$2:$C$301,"&lt;="&amp;D44,$D$2:$D$301,"&gt;="&amp;C44)&gt;1,"⚠ Coincide com férias de outro do setor","")))</f>
        <v/>
      </c>
      <c r="K44" s="0" t="str">
        <f aca="true">IF(AND(ISNUMBER(C44),ISNUMBER(D44),C44&lt;=TODAY(),D44&gt;=TODAY()),D44+ROW()/100000,"")</f>
        <v/>
      </c>
      <c r="L44" s="0" t="str">
        <f aca="true">IF(AND(ISNUMBER(C44),C44&gt;TODAY(),C44&lt;=TODAY()+30),C44+ROW()/100000,"")</f>
        <v/>
      </c>
      <c r="M44" s="0" t="str">
        <f aca="false">IF(AND(ISNUMBER(C44),ISNUMBER(D44),C44&lt;=CALENDÁRIO!$L$4,D44&gt;=CALENDÁRIO!$L$4),ROW(),"")</f>
        <v/>
      </c>
    </row>
    <row r="45" customFormat="false" ht="15" hidden="false" customHeight="true" outlineLevel="0" collapsed="false">
      <c r="A45" s="54"/>
      <c r="B45" s="54"/>
      <c r="C45" s="53"/>
      <c r="D45" s="53"/>
      <c r="E45" s="64"/>
      <c r="F45" s="65" t="str">
        <f aca="false">IF(AND(ISNUMBER(C45),ISNUMBER(D45),D45&gt;=C45),D45-C45+1,"")</f>
        <v/>
      </c>
      <c r="G45" s="66" t="str">
        <f aca="false">IF(AND(ISNUMBER(C45),ISNUMBER(D45),D45&gt;=C45),WORKDAY(D45,1),"")</f>
        <v/>
      </c>
      <c r="H45" s="55" t="str">
        <f aca="true">IF(A45="","",IF(NOT(AND(ISNUMBER(C45),ISNUMBER(D45))),"Sem data definida",IF(D45&lt;C45,"⚠ Datas invertidas",IF(TODAY()&lt;C45,IF(C45-TODAY()=1,"Começa amanhã","Começa em "&amp;(C45-TODAY())&amp;" dias"),IF(TODAY()&gt;D45,"Concluídas",IF(TODAY()=D45,"EM FÉRIAS (último dia)","EM FÉRIAS (faltam "&amp;(D45-TODAY())&amp;" dias)"))))))</f>
        <v/>
      </c>
      <c r="I45" s="55" t="str">
        <f aca="false">IF(OR(A45="",NOT(AND(ISNUMBER(C45),ISNUMBER(D45)))),"",IF(D45-C45+1&gt;30,"⚠ Período acima de 30 dias",IF(COUNTIFS($B$2:$B$301,B45,$C$2:$C$301,"&lt;="&amp;D45,$D$2:$D$301,"&gt;="&amp;C45)&gt;1,"⚠ Coincide com férias de outro do setor","")))</f>
        <v/>
      </c>
      <c r="K45" s="0" t="str">
        <f aca="true">IF(AND(ISNUMBER(C45),ISNUMBER(D45),C45&lt;=TODAY(),D45&gt;=TODAY()),D45+ROW()/100000,"")</f>
        <v/>
      </c>
      <c r="L45" s="0" t="str">
        <f aca="true">IF(AND(ISNUMBER(C45),C45&gt;TODAY(),C45&lt;=TODAY()+30),C45+ROW()/100000,"")</f>
        <v/>
      </c>
      <c r="M45" s="0" t="str">
        <f aca="false">IF(AND(ISNUMBER(C45),ISNUMBER(D45),C45&lt;=CALENDÁRIO!$L$4,D45&gt;=CALENDÁRIO!$L$4),ROW(),"")</f>
        <v/>
      </c>
    </row>
    <row r="46" customFormat="false" ht="15" hidden="false" customHeight="true" outlineLevel="0" collapsed="false">
      <c r="A46" s="54"/>
      <c r="B46" s="54"/>
      <c r="C46" s="53"/>
      <c r="D46" s="53"/>
      <c r="E46" s="64"/>
      <c r="F46" s="65" t="str">
        <f aca="false">IF(AND(ISNUMBER(C46),ISNUMBER(D46),D46&gt;=C46),D46-C46+1,"")</f>
        <v/>
      </c>
      <c r="G46" s="66" t="str">
        <f aca="false">IF(AND(ISNUMBER(C46),ISNUMBER(D46),D46&gt;=C46),WORKDAY(D46,1),"")</f>
        <v/>
      </c>
      <c r="H46" s="55" t="str">
        <f aca="true">IF(A46="","",IF(NOT(AND(ISNUMBER(C46),ISNUMBER(D46))),"Sem data definida",IF(D46&lt;C46,"⚠ Datas invertidas",IF(TODAY()&lt;C46,IF(C46-TODAY()=1,"Começa amanhã","Começa em "&amp;(C46-TODAY())&amp;" dias"),IF(TODAY()&gt;D46,"Concluídas",IF(TODAY()=D46,"EM FÉRIAS (último dia)","EM FÉRIAS (faltam "&amp;(D46-TODAY())&amp;" dias)"))))))</f>
        <v/>
      </c>
      <c r="I46" s="55" t="str">
        <f aca="false">IF(OR(A46="",NOT(AND(ISNUMBER(C46),ISNUMBER(D46)))),"",IF(D46-C46+1&gt;30,"⚠ Período acima de 30 dias",IF(COUNTIFS($B$2:$B$301,B46,$C$2:$C$301,"&lt;="&amp;D46,$D$2:$D$301,"&gt;="&amp;C46)&gt;1,"⚠ Coincide com férias de outro do setor","")))</f>
        <v/>
      </c>
      <c r="K46" s="0" t="str">
        <f aca="true">IF(AND(ISNUMBER(C46),ISNUMBER(D46),C46&lt;=TODAY(),D46&gt;=TODAY()),D46+ROW()/100000,"")</f>
        <v/>
      </c>
      <c r="L46" s="0" t="str">
        <f aca="true">IF(AND(ISNUMBER(C46),C46&gt;TODAY(),C46&lt;=TODAY()+30),C46+ROW()/100000,"")</f>
        <v/>
      </c>
      <c r="M46" s="0" t="str">
        <f aca="false">IF(AND(ISNUMBER(C46),ISNUMBER(D46),C46&lt;=CALENDÁRIO!$L$4,D46&gt;=CALENDÁRIO!$L$4),ROW(),"")</f>
        <v/>
      </c>
    </row>
    <row r="47" customFormat="false" ht="15" hidden="false" customHeight="true" outlineLevel="0" collapsed="false">
      <c r="A47" s="54"/>
      <c r="B47" s="54"/>
      <c r="C47" s="53"/>
      <c r="D47" s="53"/>
      <c r="E47" s="64"/>
      <c r="F47" s="65" t="str">
        <f aca="false">IF(AND(ISNUMBER(C47),ISNUMBER(D47),D47&gt;=C47),D47-C47+1,"")</f>
        <v/>
      </c>
      <c r="G47" s="66" t="str">
        <f aca="false">IF(AND(ISNUMBER(C47),ISNUMBER(D47),D47&gt;=C47),WORKDAY(D47,1),"")</f>
        <v/>
      </c>
      <c r="H47" s="55" t="str">
        <f aca="true">IF(A47="","",IF(NOT(AND(ISNUMBER(C47),ISNUMBER(D47))),"Sem data definida",IF(D47&lt;C47,"⚠ Datas invertidas",IF(TODAY()&lt;C47,IF(C47-TODAY()=1,"Começa amanhã","Começa em "&amp;(C47-TODAY())&amp;" dias"),IF(TODAY()&gt;D47,"Concluídas",IF(TODAY()=D47,"EM FÉRIAS (último dia)","EM FÉRIAS (faltam "&amp;(D47-TODAY())&amp;" dias)"))))))</f>
        <v/>
      </c>
      <c r="I47" s="55" t="str">
        <f aca="false">IF(OR(A47="",NOT(AND(ISNUMBER(C47),ISNUMBER(D47)))),"",IF(D47-C47+1&gt;30,"⚠ Período acima de 30 dias",IF(COUNTIFS($B$2:$B$301,B47,$C$2:$C$301,"&lt;="&amp;D47,$D$2:$D$301,"&gt;="&amp;C47)&gt;1,"⚠ Coincide com férias de outro do setor","")))</f>
        <v/>
      </c>
      <c r="K47" s="0" t="str">
        <f aca="true">IF(AND(ISNUMBER(C47),ISNUMBER(D47),C47&lt;=TODAY(),D47&gt;=TODAY()),D47+ROW()/100000,"")</f>
        <v/>
      </c>
      <c r="L47" s="0" t="str">
        <f aca="true">IF(AND(ISNUMBER(C47),C47&gt;TODAY(),C47&lt;=TODAY()+30),C47+ROW()/100000,"")</f>
        <v/>
      </c>
      <c r="M47" s="0" t="str">
        <f aca="false">IF(AND(ISNUMBER(C47),ISNUMBER(D47),C47&lt;=CALENDÁRIO!$L$4,D47&gt;=CALENDÁRIO!$L$4),ROW(),"")</f>
        <v/>
      </c>
    </row>
    <row r="48" customFormat="false" ht="15" hidden="false" customHeight="true" outlineLevel="0" collapsed="false">
      <c r="A48" s="54"/>
      <c r="B48" s="54"/>
      <c r="C48" s="53"/>
      <c r="D48" s="53"/>
      <c r="E48" s="64"/>
      <c r="F48" s="65" t="str">
        <f aca="false">IF(AND(ISNUMBER(C48),ISNUMBER(D48),D48&gt;=C48),D48-C48+1,"")</f>
        <v/>
      </c>
      <c r="G48" s="66" t="str">
        <f aca="false">IF(AND(ISNUMBER(C48),ISNUMBER(D48),D48&gt;=C48),WORKDAY(D48,1),"")</f>
        <v/>
      </c>
      <c r="H48" s="55" t="str">
        <f aca="true">IF(A48="","",IF(NOT(AND(ISNUMBER(C48),ISNUMBER(D48))),"Sem data definida",IF(D48&lt;C48,"⚠ Datas invertidas",IF(TODAY()&lt;C48,IF(C48-TODAY()=1,"Começa amanhã","Começa em "&amp;(C48-TODAY())&amp;" dias"),IF(TODAY()&gt;D48,"Concluídas",IF(TODAY()=D48,"EM FÉRIAS (último dia)","EM FÉRIAS (faltam "&amp;(D48-TODAY())&amp;" dias)"))))))</f>
        <v/>
      </c>
      <c r="I48" s="55" t="str">
        <f aca="false">IF(OR(A48="",NOT(AND(ISNUMBER(C48),ISNUMBER(D48)))),"",IF(D48-C48+1&gt;30,"⚠ Período acima de 30 dias",IF(COUNTIFS($B$2:$B$301,B48,$C$2:$C$301,"&lt;="&amp;D48,$D$2:$D$301,"&gt;="&amp;C48)&gt;1,"⚠ Coincide com férias de outro do setor","")))</f>
        <v/>
      </c>
      <c r="K48" s="0" t="str">
        <f aca="true">IF(AND(ISNUMBER(C48),ISNUMBER(D48),C48&lt;=TODAY(),D48&gt;=TODAY()),D48+ROW()/100000,"")</f>
        <v/>
      </c>
      <c r="L48" s="0" t="str">
        <f aca="true">IF(AND(ISNUMBER(C48),C48&gt;TODAY(),C48&lt;=TODAY()+30),C48+ROW()/100000,"")</f>
        <v/>
      </c>
      <c r="M48" s="0" t="str">
        <f aca="false">IF(AND(ISNUMBER(C48),ISNUMBER(D48),C48&lt;=CALENDÁRIO!$L$4,D48&gt;=CALENDÁRIO!$L$4),ROW(),"")</f>
        <v/>
      </c>
    </row>
    <row r="49" customFormat="false" ht="15" hidden="false" customHeight="true" outlineLevel="0" collapsed="false">
      <c r="A49" s="54"/>
      <c r="B49" s="54"/>
      <c r="C49" s="53"/>
      <c r="D49" s="53"/>
      <c r="E49" s="64"/>
      <c r="F49" s="65" t="str">
        <f aca="false">IF(AND(ISNUMBER(C49),ISNUMBER(D49),D49&gt;=C49),D49-C49+1,"")</f>
        <v/>
      </c>
      <c r="G49" s="66" t="str">
        <f aca="false">IF(AND(ISNUMBER(C49),ISNUMBER(D49),D49&gt;=C49),WORKDAY(D49,1),"")</f>
        <v/>
      </c>
      <c r="H49" s="55" t="str">
        <f aca="true">IF(A49="","",IF(NOT(AND(ISNUMBER(C49),ISNUMBER(D49))),"Sem data definida",IF(D49&lt;C49,"⚠ Datas invertidas",IF(TODAY()&lt;C49,IF(C49-TODAY()=1,"Começa amanhã","Começa em "&amp;(C49-TODAY())&amp;" dias"),IF(TODAY()&gt;D49,"Concluídas",IF(TODAY()=D49,"EM FÉRIAS (último dia)","EM FÉRIAS (faltam "&amp;(D49-TODAY())&amp;" dias)"))))))</f>
        <v/>
      </c>
      <c r="I49" s="55" t="str">
        <f aca="false">IF(OR(A49="",NOT(AND(ISNUMBER(C49),ISNUMBER(D49)))),"",IF(D49-C49+1&gt;30,"⚠ Período acima de 30 dias",IF(COUNTIFS($B$2:$B$301,B49,$C$2:$C$301,"&lt;="&amp;D49,$D$2:$D$301,"&gt;="&amp;C49)&gt;1,"⚠ Coincide com férias de outro do setor","")))</f>
        <v/>
      </c>
      <c r="K49" s="0" t="str">
        <f aca="true">IF(AND(ISNUMBER(C49),ISNUMBER(D49),C49&lt;=TODAY(),D49&gt;=TODAY()),D49+ROW()/100000,"")</f>
        <v/>
      </c>
      <c r="L49" s="0" t="str">
        <f aca="true">IF(AND(ISNUMBER(C49),C49&gt;TODAY(),C49&lt;=TODAY()+30),C49+ROW()/100000,"")</f>
        <v/>
      </c>
      <c r="M49" s="0" t="str">
        <f aca="false">IF(AND(ISNUMBER(C49),ISNUMBER(D49),C49&lt;=CALENDÁRIO!$L$4,D49&gt;=CALENDÁRIO!$L$4),ROW(),"")</f>
        <v/>
      </c>
    </row>
    <row r="50" customFormat="false" ht="15" hidden="false" customHeight="true" outlineLevel="0" collapsed="false">
      <c r="A50" s="54"/>
      <c r="B50" s="54"/>
      <c r="C50" s="53"/>
      <c r="D50" s="53"/>
      <c r="E50" s="64"/>
      <c r="F50" s="65" t="str">
        <f aca="false">IF(AND(ISNUMBER(C50),ISNUMBER(D50),D50&gt;=C50),D50-C50+1,"")</f>
        <v/>
      </c>
      <c r="G50" s="66" t="str">
        <f aca="false">IF(AND(ISNUMBER(C50),ISNUMBER(D50),D50&gt;=C50),WORKDAY(D50,1),"")</f>
        <v/>
      </c>
      <c r="H50" s="55" t="str">
        <f aca="true">IF(A50="","",IF(NOT(AND(ISNUMBER(C50),ISNUMBER(D50))),"Sem data definida",IF(D50&lt;C50,"⚠ Datas invertidas",IF(TODAY()&lt;C50,IF(C50-TODAY()=1,"Começa amanhã","Começa em "&amp;(C50-TODAY())&amp;" dias"),IF(TODAY()&gt;D50,"Concluídas",IF(TODAY()=D50,"EM FÉRIAS (último dia)","EM FÉRIAS (faltam "&amp;(D50-TODAY())&amp;" dias)"))))))</f>
        <v/>
      </c>
      <c r="I50" s="55" t="str">
        <f aca="false">IF(OR(A50="",NOT(AND(ISNUMBER(C50),ISNUMBER(D50)))),"",IF(D50-C50+1&gt;30,"⚠ Período acima de 30 dias",IF(COUNTIFS($B$2:$B$301,B50,$C$2:$C$301,"&lt;="&amp;D50,$D$2:$D$301,"&gt;="&amp;C50)&gt;1,"⚠ Coincide com férias de outro do setor","")))</f>
        <v/>
      </c>
      <c r="K50" s="0" t="str">
        <f aca="true">IF(AND(ISNUMBER(C50),ISNUMBER(D50),C50&lt;=TODAY(),D50&gt;=TODAY()),D50+ROW()/100000,"")</f>
        <v/>
      </c>
      <c r="L50" s="0" t="str">
        <f aca="true">IF(AND(ISNUMBER(C50),C50&gt;TODAY(),C50&lt;=TODAY()+30),C50+ROW()/100000,"")</f>
        <v/>
      </c>
      <c r="M50" s="0" t="str">
        <f aca="false">IF(AND(ISNUMBER(C50),ISNUMBER(D50),C50&lt;=CALENDÁRIO!$L$4,D50&gt;=CALENDÁRIO!$L$4),ROW(),"")</f>
        <v/>
      </c>
    </row>
    <row r="51" customFormat="false" ht="15" hidden="false" customHeight="true" outlineLevel="0" collapsed="false">
      <c r="A51" s="54"/>
      <c r="B51" s="54"/>
      <c r="C51" s="53"/>
      <c r="D51" s="53"/>
      <c r="E51" s="64"/>
      <c r="F51" s="65" t="str">
        <f aca="false">IF(AND(ISNUMBER(C51),ISNUMBER(D51),D51&gt;=C51),D51-C51+1,"")</f>
        <v/>
      </c>
      <c r="G51" s="66" t="str">
        <f aca="false">IF(AND(ISNUMBER(C51),ISNUMBER(D51),D51&gt;=C51),WORKDAY(D51,1),"")</f>
        <v/>
      </c>
      <c r="H51" s="55" t="str">
        <f aca="true">IF(A51="","",IF(NOT(AND(ISNUMBER(C51),ISNUMBER(D51))),"Sem data definida",IF(D51&lt;C51,"⚠ Datas invertidas",IF(TODAY()&lt;C51,IF(C51-TODAY()=1,"Começa amanhã","Começa em "&amp;(C51-TODAY())&amp;" dias"),IF(TODAY()&gt;D51,"Concluídas",IF(TODAY()=D51,"EM FÉRIAS (último dia)","EM FÉRIAS (faltam "&amp;(D51-TODAY())&amp;" dias)"))))))</f>
        <v/>
      </c>
      <c r="I51" s="55" t="str">
        <f aca="false">IF(OR(A51="",NOT(AND(ISNUMBER(C51),ISNUMBER(D51)))),"",IF(D51-C51+1&gt;30,"⚠ Período acima de 30 dias",IF(COUNTIFS($B$2:$B$301,B51,$C$2:$C$301,"&lt;="&amp;D51,$D$2:$D$301,"&gt;="&amp;C51)&gt;1,"⚠ Coincide com férias de outro do setor","")))</f>
        <v/>
      </c>
      <c r="K51" s="0" t="str">
        <f aca="true">IF(AND(ISNUMBER(C51),ISNUMBER(D51),C51&lt;=TODAY(),D51&gt;=TODAY()),D51+ROW()/100000,"")</f>
        <v/>
      </c>
      <c r="L51" s="0" t="str">
        <f aca="true">IF(AND(ISNUMBER(C51),C51&gt;TODAY(),C51&lt;=TODAY()+30),C51+ROW()/100000,"")</f>
        <v/>
      </c>
      <c r="M51" s="0" t="str">
        <f aca="false">IF(AND(ISNUMBER(C51),ISNUMBER(D51),C51&lt;=CALENDÁRIO!$L$4,D51&gt;=CALENDÁRIO!$L$4),ROW(),"")</f>
        <v/>
      </c>
    </row>
    <row r="52" customFormat="false" ht="15" hidden="false" customHeight="true" outlineLevel="0" collapsed="false">
      <c r="A52" s="54"/>
      <c r="B52" s="54"/>
      <c r="C52" s="53"/>
      <c r="D52" s="53"/>
      <c r="E52" s="64"/>
      <c r="F52" s="65" t="str">
        <f aca="false">IF(AND(ISNUMBER(C52),ISNUMBER(D52),D52&gt;=C52),D52-C52+1,"")</f>
        <v/>
      </c>
      <c r="G52" s="66" t="str">
        <f aca="false">IF(AND(ISNUMBER(C52),ISNUMBER(D52),D52&gt;=C52),WORKDAY(D52,1),"")</f>
        <v/>
      </c>
      <c r="H52" s="55" t="str">
        <f aca="true">IF(A52="","",IF(NOT(AND(ISNUMBER(C52),ISNUMBER(D52))),"Sem data definida",IF(D52&lt;C52,"⚠ Datas invertidas",IF(TODAY()&lt;C52,IF(C52-TODAY()=1,"Começa amanhã","Começa em "&amp;(C52-TODAY())&amp;" dias"),IF(TODAY()&gt;D52,"Concluídas",IF(TODAY()=D52,"EM FÉRIAS (último dia)","EM FÉRIAS (faltam "&amp;(D52-TODAY())&amp;" dias)"))))))</f>
        <v/>
      </c>
      <c r="I52" s="55" t="str">
        <f aca="false">IF(OR(A52="",NOT(AND(ISNUMBER(C52),ISNUMBER(D52)))),"",IF(D52-C52+1&gt;30,"⚠ Período acima de 30 dias",IF(COUNTIFS($B$2:$B$301,B52,$C$2:$C$301,"&lt;="&amp;D52,$D$2:$D$301,"&gt;="&amp;C52)&gt;1,"⚠ Coincide com férias de outro do setor","")))</f>
        <v/>
      </c>
      <c r="K52" s="0" t="str">
        <f aca="true">IF(AND(ISNUMBER(C52),ISNUMBER(D52),C52&lt;=TODAY(),D52&gt;=TODAY()),D52+ROW()/100000,"")</f>
        <v/>
      </c>
      <c r="L52" s="0" t="str">
        <f aca="true">IF(AND(ISNUMBER(C52),C52&gt;TODAY(),C52&lt;=TODAY()+30),C52+ROW()/100000,"")</f>
        <v/>
      </c>
      <c r="M52" s="0" t="str">
        <f aca="false">IF(AND(ISNUMBER(C52),ISNUMBER(D52),C52&lt;=CALENDÁRIO!$L$4,D52&gt;=CALENDÁRIO!$L$4),ROW(),"")</f>
        <v/>
      </c>
    </row>
    <row r="53" customFormat="false" ht="15" hidden="false" customHeight="true" outlineLevel="0" collapsed="false">
      <c r="A53" s="54"/>
      <c r="B53" s="54"/>
      <c r="C53" s="53"/>
      <c r="D53" s="53"/>
      <c r="E53" s="64"/>
      <c r="F53" s="65" t="str">
        <f aca="false">IF(AND(ISNUMBER(C53),ISNUMBER(D53),D53&gt;=C53),D53-C53+1,"")</f>
        <v/>
      </c>
      <c r="G53" s="66" t="str">
        <f aca="false">IF(AND(ISNUMBER(C53),ISNUMBER(D53),D53&gt;=C53),WORKDAY(D53,1),"")</f>
        <v/>
      </c>
      <c r="H53" s="55" t="str">
        <f aca="true">IF(A53="","",IF(NOT(AND(ISNUMBER(C53),ISNUMBER(D53))),"Sem data definida",IF(D53&lt;C53,"⚠ Datas invertidas",IF(TODAY()&lt;C53,IF(C53-TODAY()=1,"Começa amanhã","Começa em "&amp;(C53-TODAY())&amp;" dias"),IF(TODAY()&gt;D53,"Concluídas",IF(TODAY()=D53,"EM FÉRIAS (último dia)","EM FÉRIAS (faltam "&amp;(D53-TODAY())&amp;" dias)"))))))</f>
        <v/>
      </c>
      <c r="I53" s="55" t="str">
        <f aca="false">IF(OR(A53="",NOT(AND(ISNUMBER(C53),ISNUMBER(D53)))),"",IF(D53-C53+1&gt;30,"⚠ Período acima de 30 dias",IF(COUNTIFS($B$2:$B$301,B53,$C$2:$C$301,"&lt;="&amp;D53,$D$2:$D$301,"&gt;="&amp;C53)&gt;1,"⚠ Coincide com férias de outro do setor","")))</f>
        <v/>
      </c>
      <c r="K53" s="0" t="str">
        <f aca="true">IF(AND(ISNUMBER(C53),ISNUMBER(D53),C53&lt;=TODAY(),D53&gt;=TODAY()),D53+ROW()/100000,"")</f>
        <v/>
      </c>
      <c r="L53" s="0" t="str">
        <f aca="true">IF(AND(ISNUMBER(C53),C53&gt;TODAY(),C53&lt;=TODAY()+30),C53+ROW()/100000,"")</f>
        <v/>
      </c>
      <c r="M53" s="0" t="str">
        <f aca="false">IF(AND(ISNUMBER(C53),ISNUMBER(D53),C53&lt;=CALENDÁRIO!$L$4,D53&gt;=CALENDÁRIO!$L$4),ROW(),"")</f>
        <v/>
      </c>
    </row>
    <row r="54" customFormat="false" ht="15" hidden="false" customHeight="true" outlineLevel="0" collapsed="false">
      <c r="A54" s="54"/>
      <c r="B54" s="54"/>
      <c r="C54" s="53"/>
      <c r="D54" s="53"/>
      <c r="E54" s="64"/>
      <c r="F54" s="65" t="str">
        <f aca="false">IF(AND(ISNUMBER(C54),ISNUMBER(D54),D54&gt;=C54),D54-C54+1,"")</f>
        <v/>
      </c>
      <c r="G54" s="66" t="str">
        <f aca="false">IF(AND(ISNUMBER(C54),ISNUMBER(D54),D54&gt;=C54),WORKDAY(D54,1),"")</f>
        <v/>
      </c>
      <c r="H54" s="55" t="str">
        <f aca="true">IF(A54="","",IF(NOT(AND(ISNUMBER(C54),ISNUMBER(D54))),"Sem data definida",IF(D54&lt;C54,"⚠ Datas invertidas",IF(TODAY()&lt;C54,IF(C54-TODAY()=1,"Começa amanhã","Começa em "&amp;(C54-TODAY())&amp;" dias"),IF(TODAY()&gt;D54,"Concluídas",IF(TODAY()=D54,"EM FÉRIAS (último dia)","EM FÉRIAS (faltam "&amp;(D54-TODAY())&amp;" dias)"))))))</f>
        <v/>
      </c>
      <c r="I54" s="55" t="str">
        <f aca="false">IF(OR(A54="",NOT(AND(ISNUMBER(C54),ISNUMBER(D54)))),"",IF(D54-C54+1&gt;30,"⚠ Período acima de 30 dias",IF(COUNTIFS($B$2:$B$301,B54,$C$2:$C$301,"&lt;="&amp;D54,$D$2:$D$301,"&gt;="&amp;C54)&gt;1,"⚠ Coincide com férias de outro do setor","")))</f>
        <v/>
      </c>
      <c r="K54" s="0" t="str">
        <f aca="true">IF(AND(ISNUMBER(C54),ISNUMBER(D54),C54&lt;=TODAY(),D54&gt;=TODAY()),D54+ROW()/100000,"")</f>
        <v/>
      </c>
      <c r="L54" s="0" t="str">
        <f aca="true">IF(AND(ISNUMBER(C54),C54&gt;TODAY(),C54&lt;=TODAY()+30),C54+ROW()/100000,"")</f>
        <v/>
      </c>
      <c r="M54" s="0" t="str">
        <f aca="false">IF(AND(ISNUMBER(C54),ISNUMBER(D54),C54&lt;=CALENDÁRIO!$L$4,D54&gt;=CALENDÁRIO!$L$4),ROW(),"")</f>
        <v/>
      </c>
    </row>
    <row r="55" customFormat="false" ht="15" hidden="false" customHeight="true" outlineLevel="0" collapsed="false">
      <c r="A55" s="54"/>
      <c r="B55" s="54"/>
      <c r="C55" s="53"/>
      <c r="D55" s="53"/>
      <c r="E55" s="64"/>
      <c r="F55" s="65" t="str">
        <f aca="false">IF(AND(ISNUMBER(C55),ISNUMBER(D55),D55&gt;=C55),D55-C55+1,"")</f>
        <v/>
      </c>
      <c r="G55" s="66" t="str">
        <f aca="false">IF(AND(ISNUMBER(C55),ISNUMBER(D55),D55&gt;=C55),WORKDAY(D55,1),"")</f>
        <v/>
      </c>
      <c r="H55" s="55" t="str">
        <f aca="true">IF(A55="","",IF(NOT(AND(ISNUMBER(C55),ISNUMBER(D55))),"Sem data definida",IF(D55&lt;C55,"⚠ Datas invertidas",IF(TODAY()&lt;C55,IF(C55-TODAY()=1,"Começa amanhã","Começa em "&amp;(C55-TODAY())&amp;" dias"),IF(TODAY()&gt;D55,"Concluídas",IF(TODAY()=D55,"EM FÉRIAS (último dia)","EM FÉRIAS (faltam "&amp;(D55-TODAY())&amp;" dias)"))))))</f>
        <v/>
      </c>
      <c r="I55" s="55" t="str">
        <f aca="false">IF(OR(A55="",NOT(AND(ISNUMBER(C55),ISNUMBER(D55)))),"",IF(D55-C55+1&gt;30,"⚠ Período acima de 30 dias",IF(COUNTIFS($B$2:$B$301,B55,$C$2:$C$301,"&lt;="&amp;D55,$D$2:$D$301,"&gt;="&amp;C55)&gt;1,"⚠ Coincide com férias de outro do setor","")))</f>
        <v/>
      </c>
      <c r="K55" s="0" t="str">
        <f aca="true">IF(AND(ISNUMBER(C55),ISNUMBER(D55),C55&lt;=TODAY(),D55&gt;=TODAY()),D55+ROW()/100000,"")</f>
        <v/>
      </c>
      <c r="L55" s="0" t="str">
        <f aca="true">IF(AND(ISNUMBER(C55),C55&gt;TODAY(),C55&lt;=TODAY()+30),C55+ROW()/100000,"")</f>
        <v/>
      </c>
      <c r="M55" s="0" t="str">
        <f aca="false">IF(AND(ISNUMBER(C55),ISNUMBER(D55),C55&lt;=CALENDÁRIO!$L$4,D55&gt;=CALENDÁRIO!$L$4),ROW(),"")</f>
        <v/>
      </c>
    </row>
    <row r="56" customFormat="false" ht="15" hidden="false" customHeight="true" outlineLevel="0" collapsed="false">
      <c r="A56" s="54"/>
      <c r="B56" s="54"/>
      <c r="C56" s="53"/>
      <c r="D56" s="53"/>
      <c r="E56" s="64"/>
      <c r="F56" s="65" t="str">
        <f aca="false">IF(AND(ISNUMBER(C56),ISNUMBER(D56),D56&gt;=C56),D56-C56+1,"")</f>
        <v/>
      </c>
      <c r="G56" s="66" t="str">
        <f aca="false">IF(AND(ISNUMBER(C56),ISNUMBER(D56),D56&gt;=C56),WORKDAY(D56,1),"")</f>
        <v/>
      </c>
      <c r="H56" s="55" t="str">
        <f aca="true">IF(A56="","",IF(NOT(AND(ISNUMBER(C56),ISNUMBER(D56))),"Sem data definida",IF(D56&lt;C56,"⚠ Datas invertidas",IF(TODAY()&lt;C56,IF(C56-TODAY()=1,"Começa amanhã","Começa em "&amp;(C56-TODAY())&amp;" dias"),IF(TODAY()&gt;D56,"Concluídas",IF(TODAY()=D56,"EM FÉRIAS (último dia)","EM FÉRIAS (faltam "&amp;(D56-TODAY())&amp;" dias)"))))))</f>
        <v/>
      </c>
      <c r="I56" s="55" t="str">
        <f aca="false">IF(OR(A56="",NOT(AND(ISNUMBER(C56),ISNUMBER(D56)))),"",IF(D56-C56+1&gt;30,"⚠ Período acima de 30 dias",IF(COUNTIFS($B$2:$B$301,B56,$C$2:$C$301,"&lt;="&amp;D56,$D$2:$D$301,"&gt;="&amp;C56)&gt;1,"⚠ Coincide com férias de outro do setor","")))</f>
        <v/>
      </c>
      <c r="K56" s="0" t="str">
        <f aca="true">IF(AND(ISNUMBER(C56),ISNUMBER(D56),C56&lt;=TODAY(),D56&gt;=TODAY()),D56+ROW()/100000,"")</f>
        <v/>
      </c>
      <c r="L56" s="0" t="str">
        <f aca="true">IF(AND(ISNUMBER(C56),C56&gt;TODAY(),C56&lt;=TODAY()+30),C56+ROW()/100000,"")</f>
        <v/>
      </c>
      <c r="M56" s="0" t="str">
        <f aca="false">IF(AND(ISNUMBER(C56),ISNUMBER(D56),C56&lt;=CALENDÁRIO!$L$4,D56&gt;=CALENDÁRIO!$L$4),ROW(),"")</f>
        <v/>
      </c>
    </row>
    <row r="57" customFormat="false" ht="15" hidden="false" customHeight="true" outlineLevel="0" collapsed="false">
      <c r="A57" s="54"/>
      <c r="B57" s="54"/>
      <c r="C57" s="53"/>
      <c r="D57" s="53"/>
      <c r="E57" s="64"/>
      <c r="F57" s="65" t="str">
        <f aca="false">IF(AND(ISNUMBER(C57),ISNUMBER(D57),D57&gt;=C57),D57-C57+1,"")</f>
        <v/>
      </c>
      <c r="G57" s="66" t="str">
        <f aca="false">IF(AND(ISNUMBER(C57),ISNUMBER(D57),D57&gt;=C57),WORKDAY(D57,1),"")</f>
        <v/>
      </c>
      <c r="H57" s="55" t="str">
        <f aca="true">IF(A57="","",IF(NOT(AND(ISNUMBER(C57),ISNUMBER(D57))),"Sem data definida",IF(D57&lt;C57,"⚠ Datas invertidas",IF(TODAY()&lt;C57,IF(C57-TODAY()=1,"Começa amanhã","Começa em "&amp;(C57-TODAY())&amp;" dias"),IF(TODAY()&gt;D57,"Concluídas",IF(TODAY()=D57,"EM FÉRIAS (último dia)","EM FÉRIAS (faltam "&amp;(D57-TODAY())&amp;" dias)"))))))</f>
        <v/>
      </c>
      <c r="I57" s="55" t="str">
        <f aca="false">IF(OR(A57="",NOT(AND(ISNUMBER(C57),ISNUMBER(D57)))),"",IF(D57-C57+1&gt;30,"⚠ Período acima de 30 dias",IF(COUNTIFS($B$2:$B$301,B57,$C$2:$C$301,"&lt;="&amp;D57,$D$2:$D$301,"&gt;="&amp;C57)&gt;1,"⚠ Coincide com férias de outro do setor","")))</f>
        <v/>
      </c>
      <c r="K57" s="0" t="str">
        <f aca="true">IF(AND(ISNUMBER(C57),ISNUMBER(D57),C57&lt;=TODAY(),D57&gt;=TODAY()),D57+ROW()/100000,"")</f>
        <v/>
      </c>
      <c r="L57" s="0" t="str">
        <f aca="true">IF(AND(ISNUMBER(C57),C57&gt;TODAY(),C57&lt;=TODAY()+30),C57+ROW()/100000,"")</f>
        <v/>
      </c>
      <c r="M57" s="0" t="str">
        <f aca="false">IF(AND(ISNUMBER(C57),ISNUMBER(D57),C57&lt;=CALENDÁRIO!$L$4,D57&gt;=CALENDÁRIO!$L$4),ROW(),"")</f>
        <v/>
      </c>
    </row>
    <row r="58" customFormat="false" ht="15" hidden="false" customHeight="true" outlineLevel="0" collapsed="false">
      <c r="A58" s="54"/>
      <c r="B58" s="54"/>
      <c r="C58" s="53"/>
      <c r="D58" s="53"/>
      <c r="E58" s="64"/>
      <c r="F58" s="65" t="str">
        <f aca="false">IF(AND(ISNUMBER(C58),ISNUMBER(D58),D58&gt;=C58),D58-C58+1,"")</f>
        <v/>
      </c>
      <c r="G58" s="66" t="str">
        <f aca="false">IF(AND(ISNUMBER(C58),ISNUMBER(D58),D58&gt;=C58),WORKDAY(D58,1),"")</f>
        <v/>
      </c>
      <c r="H58" s="55" t="str">
        <f aca="true">IF(A58="","",IF(NOT(AND(ISNUMBER(C58),ISNUMBER(D58))),"Sem data definida",IF(D58&lt;C58,"⚠ Datas invertidas",IF(TODAY()&lt;C58,IF(C58-TODAY()=1,"Começa amanhã","Começa em "&amp;(C58-TODAY())&amp;" dias"),IF(TODAY()&gt;D58,"Concluídas",IF(TODAY()=D58,"EM FÉRIAS (último dia)","EM FÉRIAS (faltam "&amp;(D58-TODAY())&amp;" dias)"))))))</f>
        <v/>
      </c>
      <c r="I58" s="55" t="str">
        <f aca="false">IF(OR(A58="",NOT(AND(ISNUMBER(C58),ISNUMBER(D58)))),"",IF(D58-C58+1&gt;30,"⚠ Período acima de 30 dias",IF(COUNTIFS($B$2:$B$301,B58,$C$2:$C$301,"&lt;="&amp;D58,$D$2:$D$301,"&gt;="&amp;C58)&gt;1,"⚠ Coincide com férias de outro do setor","")))</f>
        <v/>
      </c>
      <c r="K58" s="0" t="str">
        <f aca="true">IF(AND(ISNUMBER(C58),ISNUMBER(D58),C58&lt;=TODAY(),D58&gt;=TODAY()),D58+ROW()/100000,"")</f>
        <v/>
      </c>
      <c r="L58" s="0" t="str">
        <f aca="true">IF(AND(ISNUMBER(C58),C58&gt;TODAY(),C58&lt;=TODAY()+30),C58+ROW()/100000,"")</f>
        <v/>
      </c>
      <c r="M58" s="0" t="str">
        <f aca="false">IF(AND(ISNUMBER(C58),ISNUMBER(D58),C58&lt;=CALENDÁRIO!$L$4,D58&gt;=CALENDÁRIO!$L$4),ROW(),"")</f>
        <v/>
      </c>
    </row>
    <row r="59" customFormat="false" ht="15" hidden="false" customHeight="true" outlineLevel="0" collapsed="false">
      <c r="A59" s="54"/>
      <c r="B59" s="54"/>
      <c r="C59" s="53"/>
      <c r="D59" s="53"/>
      <c r="E59" s="64"/>
      <c r="F59" s="65" t="str">
        <f aca="false">IF(AND(ISNUMBER(C59),ISNUMBER(D59),D59&gt;=C59),D59-C59+1,"")</f>
        <v/>
      </c>
      <c r="G59" s="66" t="str">
        <f aca="false">IF(AND(ISNUMBER(C59),ISNUMBER(D59),D59&gt;=C59),WORKDAY(D59,1),"")</f>
        <v/>
      </c>
      <c r="H59" s="55" t="str">
        <f aca="true">IF(A59="","",IF(NOT(AND(ISNUMBER(C59),ISNUMBER(D59))),"Sem data definida",IF(D59&lt;C59,"⚠ Datas invertidas",IF(TODAY()&lt;C59,IF(C59-TODAY()=1,"Começa amanhã","Começa em "&amp;(C59-TODAY())&amp;" dias"),IF(TODAY()&gt;D59,"Concluídas",IF(TODAY()=D59,"EM FÉRIAS (último dia)","EM FÉRIAS (faltam "&amp;(D59-TODAY())&amp;" dias)"))))))</f>
        <v/>
      </c>
      <c r="I59" s="55" t="str">
        <f aca="false">IF(OR(A59="",NOT(AND(ISNUMBER(C59),ISNUMBER(D59)))),"",IF(D59-C59+1&gt;30,"⚠ Período acima de 30 dias",IF(COUNTIFS($B$2:$B$301,B59,$C$2:$C$301,"&lt;="&amp;D59,$D$2:$D$301,"&gt;="&amp;C59)&gt;1,"⚠ Coincide com férias de outro do setor","")))</f>
        <v/>
      </c>
      <c r="K59" s="0" t="str">
        <f aca="true">IF(AND(ISNUMBER(C59),ISNUMBER(D59),C59&lt;=TODAY(),D59&gt;=TODAY()),D59+ROW()/100000,"")</f>
        <v/>
      </c>
      <c r="L59" s="0" t="str">
        <f aca="true">IF(AND(ISNUMBER(C59),C59&gt;TODAY(),C59&lt;=TODAY()+30),C59+ROW()/100000,"")</f>
        <v/>
      </c>
      <c r="M59" s="0" t="str">
        <f aca="false">IF(AND(ISNUMBER(C59),ISNUMBER(D59),C59&lt;=CALENDÁRIO!$L$4,D59&gt;=CALENDÁRIO!$L$4),ROW(),"")</f>
        <v/>
      </c>
    </row>
    <row r="60" customFormat="false" ht="15" hidden="false" customHeight="true" outlineLevel="0" collapsed="false">
      <c r="A60" s="54"/>
      <c r="B60" s="54"/>
      <c r="C60" s="53"/>
      <c r="D60" s="53"/>
      <c r="E60" s="64"/>
      <c r="F60" s="65" t="str">
        <f aca="false">IF(AND(ISNUMBER(C60),ISNUMBER(D60),D60&gt;=C60),D60-C60+1,"")</f>
        <v/>
      </c>
      <c r="G60" s="66" t="str">
        <f aca="false">IF(AND(ISNUMBER(C60),ISNUMBER(D60),D60&gt;=C60),WORKDAY(D60,1),"")</f>
        <v/>
      </c>
      <c r="H60" s="55" t="str">
        <f aca="true">IF(A60="","",IF(NOT(AND(ISNUMBER(C60),ISNUMBER(D60))),"Sem data definida",IF(D60&lt;C60,"⚠ Datas invertidas",IF(TODAY()&lt;C60,IF(C60-TODAY()=1,"Começa amanhã","Começa em "&amp;(C60-TODAY())&amp;" dias"),IF(TODAY()&gt;D60,"Concluídas",IF(TODAY()=D60,"EM FÉRIAS (último dia)","EM FÉRIAS (faltam "&amp;(D60-TODAY())&amp;" dias)"))))))</f>
        <v/>
      </c>
      <c r="I60" s="55" t="str">
        <f aca="false">IF(OR(A60="",NOT(AND(ISNUMBER(C60),ISNUMBER(D60)))),"",IF(D60-C60+1&gt;30,"⚠ Período acima de 30 dias",IF(COUNTIFS($B$2:$B$301,B60,$C$2:$C$301,"&lt;="&amp;D60,$D$2:$D$301,"&gt;="&amp;C60)&gt;1,"⚠ Coincide com férias de outro do setor","")))</f>
        <v/>
      </c>
      <c r="K60" s="0" t="str">
        <f aca="true">IF(AND(ISNUMBER(C60),ISNUMBER(D60),C60&lt;=TODAY(),D60&gt;=TODAY()),D60+ROW()/100000,"")</f>
        <v/>
      </c>
      <c r="L60" s="0" t="str">
        <f aca="true">IF(AND(ISNUMBER(C60),C60&gt;TODAY(),C60&lt;=TODAY()+30),C60+ROW()/100000,"")</f>
        <v/>
      </c>
      <c r="M60" s="0" t="str">
        <f aca="false">IF(AND(ISNUMBER(C60),ISNUMBER(D60),C60&lt;=CALENDÁRIO!$L$4,D60&gt;=CALENDÁRIO!$L$4),ROW(),"")</f>
        <v/>
      </c>
    </row>
    <row r="61" customFormat="false" ht="15" hidden="false" customHeight="true" outlineLevel="0" collapsed="false">
      <c r="A61" s="54"/>
      <c r="B61" s="54"/>
      <c r="C61" s="53"/>
      <c r="D61" s="53"/>
      <c r="E61" s="64"/>
      <c r="F61" s="65" t="str">
        <f aca="false">IF(AND(ISNUMBER(C61),ISNUMBER(D61),D61&gt;=C61),D61-C61+1,"")</f>
        <v/>
      </c>
      <c r="G61" s="66" t="str">
        <f aca="false">IF(AND(ISNUMBER(C61),ISNUMBER(D61),D61&gt;=C61),WORKDAY(D61,1),"")</f>
        <v/>
      </c>
      <c r="H61" s="55" t="str">
        <f aca="true">IF(A61="","",IF(NOT(AND(ISNUMBER(C61),ISNUMBER(D61))),"Sem data definida",IF(D61&lt;C61,"⚠ Datas invertidas",IF(TODAY()&lt;C61,IF(C61-TODAY()=1,"Começa amanhã","Começa em "&amp;(C61-TODAY())&amp;" dias"),IF(TODAY()&gt;D61,"Concluídas",IF(TODAY()=D61,"EM FÉRIAS (último dia)","EM FÉRIAS (faltam "&amp;(D61-TODAY())&amp;" dias)"))))))</f>
        <v/>
      </c>
      <c r="I61" s="55" t="str">
        <f aca="false">IF(OR(A61="",NOT(AND(ISNUMBER(C61),ISNUMBER(D61)))),"",IF(D61-C61+1&gt;30,"⚠ Período acima de 30 dias",IF(COUNTIFS($B$2:$B$301,B61,$C$2:$C$301,"&lt;="&amp;D61,$D$2:$D$301,"&gt;="&amp;C61)&gt;1,"⚠ Coincide com férias de outro do setor","")))</f>
        <v/>
      </c>
      <c r="K61" s="0" t="str">
        <f aca="true">IF(AND(ISNUMBER(C61),ISNUMBER(D61),C61&lt;=TODAY(),D61&gt;=TODAY()),D61+ROW()/100000,"")</f>
        <v/>
      </c>
      <c r="L61" s="0" t="str">
        <f aca="true">IF(AND(ISNUMBER(C61),C61&gt;TODAY(),C61&lt;=TODAY()+30),C61+ROW()/100000,"")</f>
        <v/>
      </c>
      <c r="M61" s="0" t="str">
        <f aca="false">IF(AND(ISNUMBER(C61),ISNUMBER(D61),C61&lt;=CALENDÁRIO!$L$4,D61&gt;=CALENDÁRIO!$L$4),ROW(),"")</f>
        <v/>
      </c>
    </row>
    <row r="62" customFormat="false" ht="15" hidden="false" customHeight="true" outlineLevel="0" collapsed="false">
      <c r="A62" s="54"/>
      <c r="B62" s="54"/>
      <c r="C62" s="53"/>
      <c r="D62" s="53"/>
      <c r="E62" s="64"/>
      <c r="F62" s="65" t="str">
        <f aca="false">IF(AND(ISNUMBER(C62),ISNUMBER(D62),D62&gt;=C62),D62-C62+1,"")</f>
        <v/>
      </c>
      <c r="G62" s="66" t="str">
        <f aca="false">IF(AND(ISNUMBER(C62),ISNUMBER(D62),D62&gt;=C62),WORKDAY(D62,1),"")</f>
        <v/>
      </c>
      <c r="H62" s="55" t="str">
        <f aca="true">IF(A62="","",IF(NOT(AND(ISNUMBER(C62),ISNUMBER(D62))),"Sem data definida",IF(D62&lt;C62,"⚠ Datas invertidas",IF(TODAY()&lt;C62,IF(C62-TODAY()=1,"Começa amanhã","Começa em "&amp;(C62-TODAY())&amp;" dias"),IF(TODAY()&gt;D62,"Concluídas",IF(TODAY()=D62,"EM FÉRIAS (último dia)","EM FÉRIAS (faltam "&amp;(D62-TODAY())&amp;" dias)"))))))</f>
        <v/>
      </c>
      <c r="I62" s="55" t="str">
        <f aca="false">IF(OR(A62="",NOT(AND(ISNUMBER(C62),ISNUMBER(D62)))),"",IF(D62-C62+1&gt;30,"⚠ Período acima de 30 dias",IF(COUNTIFS($B$2:$B$301,B62,$C$2:$C$301,"&lt;="&amp;D62,$D$2:$D$301,"&gt;="&amp;C62)&gt;1,"⚠ Coincide com férias de outro do setor","")))</f>
        <v/>
      </c>
      <c r="K62" s="0" t="str">
        <f aca="true">IF(AND(ISNUMBER(C62),ISNUMBER(D62),C62&lt;=TODAY(),D62&gt;=TODAY()),D62+ROW()/100000,"")</f>
        <v/>
      </c>
      <c r="L62" s="0" t="str">
        <f aca="true">IF(AND(ISNUMBER(C62),C62&gt;TODAY(),C62&lt;=TODAY()+30),C62+ROW()/100000,"")</f>
        <v/>
      </c>
      <c r="M62" s="0" t="str">
        <f aca="false">IF(AND(ISNUMBER(C62),ISNUMBER(D62),C62&lt;=CALENDÁRIO!$L$4,D62&gt;=CALENDÁRIO!$L$4),ROW(),"")</f>
        <v/>
      </c>
    </row>
    <row r="63" customFormat="false" ht="15" hidden="false" customHeight="true" outlineLevel="0" collapsed="false">
      <c r="A63" s="54"/>
      <c r="B63" s="54"/>
      <c r="C63" s="53"/>
      <c r="D63" s="53"/>
      <c r="E63" s="64"/>
      <c r="F63" s="65" t="str">
        <f aca="false">IF(AND(ISNUMBER(C63),ISNUMBER(D63),D63&gt;=C63),D63-C63+1,"")</f>
        <v/>
      </c>
      <c r="G63" s="66" t="str">
        <f aca="false">IF(AND(ISNUMBER(C63),ISNUMBER(D63),D63&gt;=C63),WORKDAY(D63,1),"")</f>
        <v/>
      </c>
      <c r="H63" s="55" t="str">
        <f aca="true">IF(A63="","",IF(NOT(AND(ISNUMBER(C63),ISNUMBER(D63))),"Sem data definida",IF(D63&lt;C63,"⚠ Datas invertidas",IF(TODAY()&lt;C63,IF(C63-TODAY()=1,"Começa amanhã","Começa em "&amp;(C63-TODAY())&amp;" dias"),IF(TODAY()&gt;D63,"Concluídas",IF(TODAY()=D63,"EM FÉRIAS (último dia)","EM FÉRIAS (faltam "&amp;(D63-TODAY())&amp;" dias)"))))))</f>
        <v/>
      </c>
      <c r="I63" s="55" t="str">
        <f aca="false">IF(OR(A63="",NOT(AND(ISNUMBER(C63),ISNUMBER(D63)))),"",IF(D63-C63+1&gt;30,"⚠ Período acima de 30 dias",IF(COUNTIFS($B$2:$B$301,B63,$C$2:$C$301,"&lt;="&amp;D63,$D$2:$D$301,"&gt;="&amp;C63)&gt;1,"⚠ Coincide com férias de outro do setor","")))</f>
        <v/>
      </c>
      <c r="K63" s="0" t="str">
        <f aca="true">IF(AND(ISNUMBER(C63),ISNUMBER(D63),C63&lt;=TODAY(),D63&gt;=TODAY()),D63+ROW()/100000,"")</f>
        <v/>
      </c>
      <c r="L63" s="0" t="str">
        <f aca="true">IF(AND(ISNUMBER(C63),C63&gt;TODAY(),C63&lt;=TODAY()+30),C63+ROW()/100000,"")</f>
        <v/>
      </c>
      <c r="M63" s="0" t="str">
        <f aca="false">IF(AND(ISNUMBER(C63),ISNUMBER(D63),C63&lt;=CALENDÁRIO!$L$4,D63&gt;=CALENDÁRIO!$L$4),ROW(),"")</f>
        <v/>
      </c>
    </row>
    <row r="64" customFormat="false" ht="15" hidden="false" customHeight="true" outlineLevel="0" collapsed="false">
      <c r="A64" s="54"/>
      <c r="B64" s="54"/>
      <c r="C64" s="53"/>
      <c r="D64" s="53"/>
      <c r="E64" s="64"/>
      <c r="F64" s="65" t="str">
        <f aca="false">IF(AND(ISNUMBER(C64),ISNUMBER(D64),D64&gt;=C64),D64-C64+1,"")</f>
        <v/>
      </c>
      <c r="G64" s="66" t="str">
        <f aca="false">IF(AND(ISNUMBER(C64),ISNUMBER(D64),D64&gt;=C64),WORKDAY(D64,1),"")</f>
        <v/>
      </c>
      <c r="H64" s="55" t="str">
        <f aca="true">IF(A64="","",IF(NOT(AND(ISNUMBER(C64),ISNUMBER(D64))),"Sem data definida",IF(D64&lt;C64,"⚠ Datas invertidas",IF(TODAY()&lt;C64,IF(C64-TODAY()=1,"Começa amanhã","Começa em "&amp;(C64-TODAY())&amp;" dias"),IF(TODAY()&gt;D64,"Concluídas",IF(TODAY()=D64,"EM FÉRIAS (último dia)","EM FÉRIAS (faltam "&amp;(D64-TODAY())&amp;" dias)"))))))</f>
        <v/>
      </c>
      <c r="I64" s="55" t="str">
        <f aca="false">IF(OR(A64="",NOT(AND(ISNUMBER(C64),ISNUMBER(D64)))),"",IF(D64-C64+1&gt;30,"⚠ Período acima de 30 dias",IF(COUNTIFS($B$2:$B$301,B64,$C$2:$C$301,"&lt;="&amp;D64,$D$2:$D$301,"&gt;="&amp;C64)&gt;1,"⚠ Coincide com férias de outro do setor","")))</f>
        <v/>
      </c>
      <c r="K64" s="0" t="str">
        <f aca="true">IF(AND(ISNUMBER(C64),ISNUMBER(D64),C64&lt;=TODAY(),D64&gt;=TODAY()),D64+ROW()/100000,"")</f>
        <v/>
      </c>
      <c r="L64" s="0" t="str">
        <f aca="true">IF(AND(ISNUMBER(C64),C64&gt;TODAY(),C64&lt;=TODAY()+30),C64+ROW()/100000,"")</f>
        <v/>
      </c>
      <c r="M64" s="0" t="str">
        <f aca="false">IF(AND(ISNUMBER(C64),ISNUMBER(D64),C64&lt;=CALENDÁRIO!$L$4,D64&gt;=CALENDÁRIO!$L$4),ROW(),"")</f>
        <v/>
      </c>
    </row>
    <row r="65" customFormat="false" ht="15" hidden="false" customHeight="true" outlineLevel="0" collapsed="false">
      <c r="A65" s="54"/>
      <c r="B65" s="54"/>
      <c r="C65" s="53"/>
      <c r="D65" s="53"/>
      <c r="E65" s="64"/>
      <c r="F65" s="65" t="str">
        <f aca="false">IF(AND(ISNUMBER(C65),ISNUMBER(D65),D65&gt;=C65),D65-C65+1,"")</f>
        <v/>
      </c>
      <c r="G65" s="66" t="str">
        <f aca="false">IF(AND(ISNUMBER(C65),ISNUMBER(D65),D65&gt;=C65),WORKDAY(D65,1),"")</f>
        <v/>
      </c>
      <c r="H65" s="55" t="str">
        <f aca="true">IF(A65="","",IF(NOT(AND(ISNUMBER(C65),ISNUMBER(D65))),"Sem data definida",IF(D65&lt;C65,"⚠ Datas invertidas",IF(TODAY()&lt;C65,IF(C65-TODAY()=1,"Começa amanhã","Começa em "&amp;(C65-TODAY())&amp;" dias"),IF(TODAY()&gt;D65,"Concluídas",IF(TODAY()=D65,"EM FÉRIAS (último dia)","EM FÉRIAS (faltam "&amp;(D65-TODAY())&amp;" dias)"))))))</f>
        <v/>
      </c>
      <c r="I65" s="55" t="str">
        <f aca="false">IF(OR(A65="",NOT(AND(ISNUMBER(C65),ISNUMBER(D65)))),"",IF(D65-C65+1&gt;30,"⚠ Período acima de 30 dias",IF(COUNTIFS($B$2:$B$301,B65,$C$2:$C$301,"&lt;="&amp;D65,$D$2:$D$301,"&gt;="&amp;C65)&gt;1,"⚠ Coincide com férias de outro do setor","")))</f>
        <v/>
      </c>
      <c r="K65" s="0" t="str">
        <f aca="true">IF(AND(ISNUMBER(C65),ISNUMBER(D65),C65&lt;=TODAY(),D65&gt;=TODAY()),D65+ROW()/100000,"")</f>
        <v/>
      </c>
      <c r="L65" s="0" t="str">
        <f aca="true">IF(AND(ISNUMBER(C65),C65&gt;TODAY(),C65&lt;=TODAY()+30),C65+ROW()/100000,"")</f>
        <v/>
      </c>
      <c r="M65" s="0" t="str">
        <f aca="false">IF(AND(ISNUMBER(C65),ISNUMBER(D65),C65&lt;=CALENDÁRIO!$L$4,D65&gt;=CALENDÁRIO!$L$4),ROW(),"")</f>
        <v/>
      </c>
    </row>
    <row r="66" customFormat="false" ht="15" hidden="false" customHeight="true" outlineLevel="0" collapsed="false">
      <c r="A66" s="54"/>
      <c r="B66" s="54"/>
      <c r="C66" s="53"/>
      <c r="D66" s="53"/>
      <c r="E66" s="64"/>
      <c r="F66" s="65" t="str">
        <f aca="false">IF(AND(ISNUMBER(C66),ISNUMBER(D66),D66&gt;=C66),D66-C66+1,"")</f>
        <v/>
      </c>
      <c r="G66" s="66" t="str">
        <f aca="false">IF(AND(ISNUMBER(C66),ISNUMBER(D66),D66&gt;=C66),WORKDAY(D66,1),"")</f>
        <v/>
      </c>
      <c r="H66" s="55" t="str">
        <f aca="true">IF(A66="","",IF(NOT(AND(ISNUMBER(C66),ISNUMBER(D66))),"Sem data definida",IF(D66&lt;C66,"⚠ Datas invertidas",IF(TODAY()&lt;C66,IF(C66-TODAY()=1,"Começa amanhã","Começa em "&amp;(C66-TODAY())&amp;" dias"),IF(TODAY()&gt;D66,"Concluídas",IF(TODAY()=D66,"EM FÉRIAS (último dia)","EM FÉRIAS (faltam "&amp;(D66-TODAY())&amp;" dias)"))))))</f>
        <v/>
      </c>
      <c r="I66" s="55" t="str">
        <f aca="false">IF(OR(A66="",NOT(AND(ISNUMBER(C66),ISNUMBER(D66)))),"",IF(D66-C66+1&gt;30,"⚠ Período acima de 30 dias",IF(COUNTIFS($B$2:$B$301,B66,$C$2:$C$301,"&lt;="&amp;D66,$D$2:$D$301,"&gt;="&amp;C66)&gt;1,"⚠ Coincide com férias de outro do setor","")))</f>
        <v/>
      </c>
      <c r="K66" s="0" t="str">
        <f aca="true">IF(AND(ISNUMBER(C66),ISNUMBER(D66),C66&lt;=TODAY(),D66&gt;=TODAY()),D66+ROW()/100000,"")</f>
        <v/>
      </c>
      <c r="L66" s="0" t="str">
        <f aca="true">IF(AND(ISNUMBER(C66),C66&gt;TODAY(),C66&lt;=TODAY()+30),C66+ROW()/100000,"")</f>
        <v/>
      </c>
      <c r="M66" s="0" t="str">
        <f aca="false">IF(AND(ISNUMBER(C66),ISNUMBER(D66),C66&lt;=CALENDÁRIO!$L$4,D66&gt;=CALENDÁRIO!$L$4),ROW(),"")</f>
        <v/>
      </c>
    </row>
    <row r="67" customFormat="false" ht="15" hidden="false" customHeight="true" outlineLevel="0" collapsed="false">
      <c r="A67" s="54"/>
      <c r="B67" s="54"/>
      <c r="C67" s="53"/>
      <c r="D67" s="53"/>
      <c r="E67" s="64"/>
      <c r="F67" s="65" t="str">
        <f aca="false">IF(AND(ISNUMBER(C67),ISNUMBER(D67),D67&gt;=C67),D67-C67+1,"")</f>
        <v/>
      </c>
      <c r="G67" s="66" t="str">
        <f aca="false">IF(AND(ISNUMBER(C67),ISNUMBER(D67),D67&gt;=C67),WORKDAY(D67,1),"")</f>
        <v/>
      </c>
      <c r="H67" s="55" t="str">
        <f aca="true">IF(A67="","",IF(NOT(AND(ISNUMBER(C67),ISNUMBER(D67))),"Sem data definida",IF(D67&lt;C67,"⚠ Datas invertidas",IF(TODAY()&lt;C67,IF(C67-TODAY()=1,"Começa amanhã","Começa em "&amp;(C67-TODAY())&amp;" dias"),IF(TODAY()&gt;D67,"Concluídas",IF(TODAY()=D67,"EM FÉRIAS (último dia)","EM FÉRIAS (faltam "&amp;(D67-TODAY())&amp;" dias)"))))))</f>
        <v/>
      </c>
      <c r="I67" s="55" t="str">
        <f aca="false">IF(OR(A67="",NOT(AND(ISNUMBER(C67),ISNUMBER(D67)))),"",IF(D67-C67+1&gt;30,"⚠ Período acima de 30 dias",IF(COUNTIFS($B$2:$B$301,B67,$C$2:$C$301,"&lt;="&amp;D67,$D$2:$D$301,"&gt;="&amp;C67)&gt;1,"⚠ Coincide com férias de outro do setor","")))</f>
        <v/>
      </c>
      <c r="K67" s="0" t="str">
        <f aca="true">IF(AND(ISNUMBER(C67),ISNUMBER(D67),C67&lt;=TODAY(),D67&gt;=TODAY()),D67+ROW()/100000,"")</f>
        <v/>
      </c>
      <c r="L67" s="0" t="str">
        <f aca="true">IF(AND(ISNUMBER(C67),C67&gt;TODAY(),C67&lt;=TODAY()+30),C67+ROW()/100000,"")</f>
        <v/>
      </c>
      <c r="M67" s="0" t="str">
        <f aca="false">IF(AND(ISNUMBER(C67),ISNUMBER(D67),C67&lt;=CALENDÁRIO!$L$4,D67&gt;=CALENDÁRIO!$L$4),ROW(),"")</f>
        <v/>
      </c>
    </row>
    <row r="68" customFormat="false" ht="15" hidden="false" customHeight="true" outlineLevel="0" collapsed="false">
      <c r="A68" s="54"/>
      <c r="B68" s="54"/>
      <c r="C68" s="53"/>
      <c r="D68" s="53"/>
      <c r="E68" s="64"/>
      <c r="F68" s="65" t="str">
        <f aca="false">IF(AND(ISNUMBER(C68),ISNUMBER(D68),D68&gt;=C68),D68-C68+1,"")</f>
        <v/>
      </c>
      <c r="G68" s="66" t="str">
        <f aca="false">IF(AND(ISNUMBER(C68),ISNUMBER(D68),D68&gt;=C68),WORKDAY(D68,1),"")</f>
        <v/>
      </c>
      <c r="H68" s="55" t="str">
        <f aca="true">IF(A68="","",IF(NOT(AND(ISNUMBER(C68),ISNUMBER(D68))),"Sem data definida",IF(D68&lt;C68,"⚠ Datas invertidas",IF(TODAY()&lt;C68,IF(C68-TODAY()=1,"Começa amanhã","Começa em "&amp;(C68-TODAY())&amp;" dias"),IF(TODAY()&gt;D68,"Concluídas",IF(TODAY()=D68,"EM FÉRIAS (último dia)","EM FÉRIAS (faltam "&amp;(D68-TODAY())&amp;" dias)"))))))</f>
        <v/>
      </c>
      <c r="I68" s="55" t="str">
        <f aca="false">IF(OR(A68="",NOT(AND(ISNUMBER(C68),ISNUMBER(D68)))),"",IF(D68-C68+1&gt;30,"⚠ Período acima de 30 dias",IF(COUNTIFS($B$2:$B$301,B68,$C$2:$C$301,"&lt;="&amp;D68,$D$2:$D$301,"&gt;="&amp;C68)&gt;1,"⚠ Coincide com férias de outro do setor","")))</f>
        <v/>
      </c>
      <c r="K68" s="0" t="str">
        <f aca="true">IF(AND(ISNUMBER(C68),ISNUMBER(D68),C68&lt;=TODAY(),D68&gt;=TODAY()),D68+ROW()/100000,"")</f>
        <v/>
      </c>
      <c r="L68" s="0" t="str">
        <f aca="true">IF(AND(ISNUMBER(C68),C68&gt;TODAY(),C68&lt;=TODAY()+30),C68+ROW()/100000,"")</f>
        <v/>
      </c>
      <c r="M68" s="0" t="str">
        <f aca="false">IF(AND(ISNUMBER(C68),ISNUMBER(D68),C68&lt;=CALENDÁRIO!$L$4,D68&gt;=CALENDÁRIO!$L$4),ROW(),"")</f>
        <v/>
      </c>
    </row>
    <row r="69" customFormat="false" ht="15" hidden="false" customHeight="true" outlineLevel="0" collapsed="false">
      <c r="A69" s="54"/>
      <c r="B69" s="54"/>
      <c r="C69" s="53"/>
      <c r="D69" s="53"/>
      <c r="E69" s="64"/>
      <c r="F69" s="65" t="str">
        <f aca="false">IF(AND(ISNUMBER(C69),ISNUMBER(D69),D69&gt;=C69),D69-C69+1,"")</f>
        <v/>
      </c>
      <c r="G69" s="66" t="str">
        <f aca="false">IF(AND(ISNUMBER(C69),ISNUMBER(D69),D69&gt;=C69),WORKDAY(D69,1),"")</f>
        <v/>
      </c>
      <c r="H69" s="55" t="str">
        <f aca="true">IF(A69="","",IF(NOT(AND(ISNUMBER(C69),ISNUMBER(D69))),"Sem data definida",IF(D69&lt;C69,"⚠ Datas invertidas",IF(TODAY()&lt;C69,IF(C69-TODAY()=1,"Começa amanhã","Começa em "&amp;(C69-TODAY())&amp;" dias"),IF(TODAY()&gt;D69,"Concluídas",IF(TODAY()=D69,"EM FÉRIAS (último dia)","EM FÉRIAS (faltam "&amp;(D69-TODAY())&amp;" dias)"))))))</f>
        <v/>
      </c>
      <c r="I69" s="55" t="str">
        <f aca="false">IF(OR(A69="",NOT(AND(ISNUMBER(C69),ISNUMBER(D69)))),"",IF(D69-C69+1&gt;30,"⚠ Período acima de 30 dias",IF(COUNTIFS($B$2:$B$301,B69,$C$2:$C$301,"&lt;="&amp;D69,$D$2:$D$301,"&gt;="&amp;C69)&gt;1,"⚠ Coincide com férias de outro do setor","")))</f>
        <v/>
      </c>
      <c r="K69" s="0" t="str">
        <f aca="true">IF(AND(ISNUMBER(C69),ISNUMBER(D69),C69&lt;=TODAY(),D69&gt;=TODAY()),D69+ROW()/100000,"")</f>
        <v/>
      </c>
      <c r="L69" s="0" t="str">
        <f aca="true">IF(AND(ISNUMBER(C69),C69&gt;TODAY(),C69&lt;=TODAY()+30),C69+ROW()/100000,"")</f>
        <v/>
      </c>
      <c r="M69" s="0" t="str">
        <f aca="false">IF(AND(ISNUMBER(C69),ISNUMBER(D69),C69&lt;=CALENDÁRIO!$L$4,D69&gt;=CALENDÁRIO!$L$4),ROW(),"")</f>
        <v/>
      </c>
    </row>
    <row r="70" customFormat="false" ht="15" hidden="false" customHeight="true" outlineLevel="0" collapsed="false">
      <c r="A70" s="54"/>
      <c r="B70" s="54"/>
      <c r="C70" s="53"/>
      <c r="D70" s="53"/>
      <c r="E70" s="64"/>
      <c r="F70" s="65" t="str">
        <f aca="false">IF(AND(ISNUMBER(C70),ISNUMBER(D70),D70&gt;=C70),D70-C70+1,"")</f>
        <v/>
      </c>
      <c r="G70" s="66" t="str">
        <f aca="false">IF(AND(ISNUMBER(C70),ISNUMBER(D70),D70&gt;=C70),WORKDAY(D70,1),"")</f>
        <v/>
      </c>
      <c r="H70" s="55" t="str">
        <f aca="true">IF(A70="","",IF(NOT(AND(ISNUMBER(C70),ISNUMBER(D70))),"Sem data definida",IF(D70&lt;C70,"⚠ Datas invertidas",IF(TODAY()&lt;C70,IF(C70-TODAY()=1,"Começa amanhã","Começa em "&amp;(C70-TODAY())&amp;" dias"),IF(TODAY()&gt;D70,"Concluídas",IF(TODAY()=D70,"EM FÉRIAS (último dia)","EM FÉRIAS (faltam "&amp;(D70-TODAY())&amp;" dias)"))))))</f>
        <v/>
      </c>
      <c r="I70" s="55" t="str">
        <f aca="false">IF(OR(A70="",NOT(AND(ISNUMBER(C70),ISNUMBER(D70)))),"",IF(D70-C70+1&gt;30,"⚠ Período acima de 30 dias",IF(COUNTIFS($B$2:$B$301,B70,$C$2:$C$301,"&lt;="&amp;D70,$D$2:$D$301,"&gt;="&amp;C70)&gt;1,"⚠ Coincide com férias de outro do setor","")))</f>
        <v/>
      </c>
      <c r="K70" s="0" t="str">
        <f aca="true">IF(AND(ISNUMBER(C70),ISNUMBER(D70),C70&lt;=TODAY(),D70&gt;=TODAY()),D70+ROW()/100000,"")</f>
        <v/>
      </c>
      <c r="L70" s="0" t="str">
        <f aca="true">IF(AND(ISNUMBER(C70),C70&gt;TODAY(),C70&lt;=TODAY()+30),C70+ROW()/100000,"")</f>
        <v/>
      </c>
      <c r="M70" s="0" t="str">
        <f aca="false">IF(AND(ISNUMBER(C70),ISNUMBER(D70),C70&lt;=CALENDÁRIO!$L$4,D70&gt;=CALENDÁRIO!$L$4),ROW(),"")</f>
        <v/>
      </c>
    </row>
    <row r="71" customFormat="false" ht="15" hidden="false" customHeight="true" outlineLevel="0" collapsed="false">
      <c r="A71" s="54"/>
      <c r="B71" s="54"/>
      <c r="C71" s="53"/>
      <c r="D71" s="53"/>
      <c r="E71" s="64"/>
      <c r="F71" s="65" t="str">
        <f aca="false">IF(AND(ISNUMBER(C71),ISNUMBER(D71),D71&gt;=C71),D71-C71+1,"")</f>
        <v/>
      </c>
      <c r="G71" s="66" t="str">
        <f aca="false">IF(AND(ISNUMBER(C71),ISNUMBER(D71),D71&gt;=C71),WORKDAY(D71,1),"")</f>
        <v/>
      </c>
      <c r="H71" s="55" t="str">
        <f aca="true">IF(A71="","",IF(NOT(AND(ISNUMBER(C71),ISNUMBER(D71))),"Sem data definida",IF(D71&lt;C71,"⚠ Datas invertidas",IF(TODAY()&lt;C71,IF(C71-TODAY()=1,"Começa amanhã","Começa em "&amp;(C71-TODAY())&amp;" dias"),IF(TODAY()&gt;D71,"Concluídas",IF(TODAY()=D71,"EM FÉRIAS (último dia)","EM FÉRIAS (faltam "&amp;(D71-TODAY())&amp;" dias)"))))))</f>
        <v/>
      </c>
      <c r="I71" s="55" t="str">
        <f aca="false">IF(OR(A71="",NOT(AND(ISNUMBER(C71),ISNUMBER(D71)))),"",IF(D71-C71+1&gt;30,"⚠ Período acima de 30 dias",IF(COUNTIFS($B$2:$B$301,B71,$C$2:$C$301,"&lt;="&amp;D71,$D$2:$D$301,"&gt;="&amp;C71)&gt;1,"⚠ Coincide com férias de outro do setor","")))</f>
        <v/>
      </c>
      <c r="K71" s="0" t="str">
        <f aca="true">IF(AND(ISNUMBER(C71),ISNUMBER(D71),C71&lt;=TODAY(),D71&gt;=TODAY()),D71+ROW()/100000,"")</f>
        <v/>
      </c>
      <c r="L71" s="0" t="str">
        <f aca="true">IF(AND(ISNUMBER(C71),C71&gt;TODAY(),C71&lt;=TODAY()+30),C71+ROW()/100000,"")</f>
        <v/>
      </c>
      <c r="M71" s="0" t="str">
        <f aca="false">IF(AND(ISNUMBER(C71),ISNUMBER(D71),C71&lt;=CALENDÁRIO!$L$4,D71&gt;=CALENDÁRIO!$L$4),ROW(),"")</f>
        <v/>
      </c>
    </row>
    <row r="72" customFormat="false" ht="15" hidden="false" customHeight="true" outlineLevel="0" collapsed="false">
      <c r="A72" s="54"/>
      <c r="B72" s="54"/>
      <c r="C72" s="53"/>
      <c r="D72" s="53"/>
      <c r="E72" s="64"/>
      <c r="F72" s="65" t="str">
        <f aca="false">IF(AND(ISNUMBER(C72),ISNUMBER(D72),D72&gt;=C72),D72-C72+1,"")</f>
        <v/>
      </c>
      <c r="G72" s="66" t="str">
        <f aca="false">IF(AND(ISNUMBER(C72),ISNUMBER(D72),D72&gt;=C72),WORKDAY(D72,1),"")</f>
        <v/>
      </c>
      <c r="H72" s="55" t="str">
        <f aca="true">IF(A72="","",IF(NOT(AND(ISNUMBER(C72),ISNUMBER(D72))),"Sem data definida",IF(D72&lt;C72,"⚠ Datas invertidas",IF(TODAY()&lt;C72,IF(C72-TODAY()=1,"Começa amanhã","Começa em "&amp;(C72-TODAY())&amp;" dias"),IF(TODAY()&gt;D72,"Concluídas",IF(TODAY()=D72,"EM FÉRIAS (último dia)","EM FÉRIAS (faltam "&amp;(D72-TODAY())&amp;" dias)"))))))</f>
        <v/>
      </c>
      <c r="I72" s="55" t="str">
        <f aca="false">IF(OR(A72="",NOT(AND(ISNUMBER(C72),ISNUMBER(D72)))),"",IF(D72-C72+1&gt;30,"⚠ Período acima de 30 dias",IF(COUNTIFS($B$2:$B$301,B72,$C$2:$C$301,"&lt;="&amp;D72,$D$2:$D$301,"&gt;="&amp;C72)&gt;1,"⚠ Coincide com férias de outro do setor","")))</f>
        <v/>
      </c>
      <c r="K72" s="0" t="str">
        <f aca="true">IF(AND(ISNUMBER(C72),ISNUMBER(D72),C72&lt;=TODAY(),D72&gt;=TODAY()),D72+ROW()/100000,"")</f>
        <v/>
      </c>
      <c r="L72" s="0" t="str">
        <f aca="true">IF(AND(ISNUMBER(C72),C72&gt;TODAY(),C72&lt;=TODAY()+30),C72+ROW()/100000,"")</f>
        <v/>
      </c>
      <c r="M72" s="0" t="str">
        <f aca="false">IF(AND(ISNUMBER(C72),ISNUMBER(D72),C72&lt;=CALENDÁRIO!$L$4,D72&gt;=CALENDÁRIO!$L$4),ROW(),"")</f>
        <v/>
      </c>
    </row>
    <row r="73" customFormat="false" ht="15" hidden="false" customHeight="true" outlineLevel="0" collapsed="false">
      <c r="A73" s="54"/>
      <c r="B73" s="54"/>
      <c r="C73" s="53"/>
      <c r="D73" s="53"/>
      <c r="E73" s="64"/>
      <c r="F73" s="65" t="str">
        <f aca="false">IF(AND(ISNUMBER(C73),ISNUMBER(D73),D73&gt;=C73),D73-C73+1,"")</f>
        <v/>
      </c>
      <c r="G73" s="66" t="str">
        <f aca="false">IF(AND(ISNUMBER(C73),ISNUMBER(D73),D73&gt;=C73),WORKDAY(D73,1),"")</f>
        <v/>
      </c>
      <c r="H73" s="55" t="str">
        <f aca="true">IF(A73="","",IF(NOT(AND(ISNUMBER(C73),ISNUMBER(D73))),"Sem data definida",IF(D73&lt;C73,"⚠ Datas invertidas",IF(TODAY()&lt;C73,IF(C73-TODAY()=1,"Começa amanhã","Começa em "&amp;(C73-TODAY())&amp;" dias"),IF(TODAY()&gt;D73,"Concluídas",IF(TODAY()=D73,"EM FÉRIAS (último dia)","EM FÉRIAS (faltam "&amp;(D73-TODAY())&amp;" dias)"))))))</f>
        <v/>
      </c>
      <c r="I73" s="55" t="str">
        <f aca="false">IF(OR(A73="",NOT(AND(ISNUMBER(C73),ISNUMBER(D73)))),"",IF(D73-C73+1&gt;30,"⚠ Período acima de 30 dias",IF(COUNTIFS($B$2:$B$301,B73,$C$2:$C$301,"&lt;="&amp;D73,$D$2:$D$301,"&gt;="&amp;C73)&gt;1,"⚠ Coincide com férias de outro do setor","")))</f>
        <v/>
      </c>
      <c r="K73" s="0" t="str">
        <f aca="true">IF(AND(ISNUMBER(C73),ISNUMBER(D73),C73&lt;=TODAY(),D73&gt;=TODAY()),D73+ROW()/100000,"")</f>
        <v/>
      </c>
      <c r="L73" s="0" t="str">
        <f aca="true">IF(AND(ISNUMBER(C73),C73&gt;TODAY(),C73&lt;=TODAY()+30),C73+ROW()/100000,"")</f>
        <v/>
      </c>
      <c r="M73" s="0" t="str">
        <f aca="false">IF(AND(ISNUMBER(C73),ISNUMBER(D73),C73&lt;=CALENDÁRIO!$L$4,D73&gt;=CALENDÁRIO!$L$4),ROW(),"")</f>
        <v/>
      </c>
    </row>
    <row r="74" customFormat="false" ht="15" hidden="false" customHeight="true" outlineLevel="0" collapsed="false">
      <c r="A74" s="54"/>
      <c r="B74" s="54"/>
      <c r="C74" s="53"/>
      <c r="D74" s="53"/>
      <c r="E74" s="64"/>
      <c r="F74" s="65" t="str">
        <f aca="false">IF(AND(ISNUMBER(C74),ISNUMBER(D74),D74&gt;=C74),D74-C74+1,"")</f>
        <v/>
      </c>
      <c r="G74" s="66" t="str">
        <f aca="false">IF(AND(ISNUMBER(C74),ISNUMBER(D74),D74&gt;=C74),WORKDAY(D74,1),"")</f>
        <v/>
      </c>
      <c r="H74" s="55" t="str">
        <f aca="true">IF(A74="","",IF(NOT(AND(ISNUMBER(C74),ISNUMBER(D74))),"Sem data definida",IF(D74&lt;C74,"⚠ Datas invertidas",IF(TODAY()&lt;C74,IF(C74-TODAY()=1,"Começa amanhã","Começa em "&amp;(C74-TODAY())&amp;" dias"),IF(TODAY()&gt;D74,"Concluídas",IF(TODAY()=D74,"EM FÉRIAS (último dia)","EM FÉRIAS (faltam "&amp;(D74-TODAY())&amp;" dias)"))))))</f>
        <v/>
      </c>
      <c r="I74" s="55" t="str">
        <f aca="false">IF(OR(A74="",NOT(AND(ISNUMBER(C74),ISNUMBER(D74)))),"",IF(D74-C74+1&gt;30,"⚠ Período acima de 30 dias",IF(COUNTIFS($B$2:$B$301,B74,$C$2:$C$301,"&lt;="&amp;D74,$D$2:$D$301,"&gt;="&amp;C74)&gt;1,"⚠ Coincide com férias de outro do setor","")))</f>
        <v/>
      </c>
      <c r="K74" s="0" t="str">
        <f aca="true">IF(AND(ISNUMBER(C74),ISNUMBER(D74),C74&lt;=TODAY(),D74&gt;=TODAY()),D74+ROW()/100000,"")</f>
        <v/>
      </c>
      <c r="L74" s="0" t="str">
        <f aca="true">IF(AND(ISNUMBER(C74),C74&gt;TODAY(),C74&lt;=TODAY()+30),C74+ROW()/100000,"")</f>
        <v/>
      </c>
      <c r="M74" s="0" t="str">
        <f aca="false">IF(AND(ISNUMBER(C74),ISNUMBER(D74),C74&lt;=CALENDÁRIO!$L$4,D74&gt;=CALENDÁRIO!$L$4),ROW(),"")</f>
        <v/>
      </c>
    </row>
    <row r="75" customFormat="false" ht="15" hidden="false" customHeight="true" outlineLevel="0" collapsed="false">
      <c r="A75" s="54"/>
      <c r="B75" s="54"/>
      <c r="C75" s="53"/>
      <c r="D75" s="53"/>
      <c r="E75" s="64"/>
      <c r="F75" s="65" t="str">
        <f aca="false">IF(AND(ISNUMBER(C75),ISNUMBER(D75),D75&gt;=C75),D75-C75+1,"")</f>
        <v/>
      </c>
      <c r="G75" s="66" t="str">
        <f aca="false">IF(AND(ISNUMBER(C75),ISNUMBER(D75),D75&gt;=C75),WORKDAY(D75,1),"")</f>
        <v/>
      </c>
      <c r="H75" s="55" t="str">
        <f aca="true">IF(A75="","",IF(NOT(AND(ISNUMBER(C75),ISNUMBER(D75))),"Sem data definida",IF(D75&lt;C75,"⚠ Datas invertidas",IF(TODAY()&lt;C75,IF(C75-TODAY()=1,"Começa amanhã","Começa em "&amp;(C75-TODAY())&amp;" dias"),IF(TODAY()&gt;D75,"Concluídas",IF(TODAY()=D75,"EM FÉRIAS (último dia)","EM FÉRIAS (faltam "&amp;(D75-TODAY())&amp;" dias)"))))))</f>
        <v/>
      </c>
      <c r="I75" s="55" t="str">
        <f aca="false">IF(OR(A75="",NOT(AND(ISNUMBER(C75),ISNUMBER(D75)))),"",IF(D75-C75+1&gt;30,"⚠ Período acima de 30 dias",IF(COUNTIFS($B$2:$B$301,B75,$C$2:$C$301,"&lt;="&amp;D75,$D$2:$D$301,"&gt;="&amp;C75)&gt;1,"⚠ Coincide com férias de outro do setor","")))</f>
        <v/>
      </c>
      <c r="K75" s="0" t="str">
        <f aca="true">IF(AND(ISNUMBER(C75),ISNUMBER(D75),C75&lt;=TODAY(),D75&gt;=TODAY()),D75+ROW()/100000,"")</f>
        <v/>
      </c>
      <c r="L75" s="0" t="str">
        <f aca="true">IF(AND(ISNUMBER(C75),C75&gt;TODAY(),C75&lt;=TODAY()+30),C75+ROW()/100000,"")</f>
        <v/>
      </c>
      <c r="M75" s="0" t="str">
        <f aca="false">IF(AND(ISNUMBER(C75),ISNUMBER(D75),C75&lt;=CALENDÁRIO!$L$4,D75&gt;=CALENDÁRIO!$L$4),ROW(),"")</f>
        <v/>
      </c>
    </row>
    <row r="76" customFormat="false" ht="15" hidden="false" customHeight="true" outlineLevel="0" collapsed="false">
      <c r="A76" s="54"/>
      <c r="B76" s="54"/>
      <c r="C76" s="53"/>
      <c r="D76" s="53"/>
      <c r="E76" s="64"/>
      <c r="F76" s="65" t="str">
        <f aca="false">IF(AND(ISNUMBER(C76),ISNUMBER(D76),D76&gt;=C76),D76-C76+1,"")</f>
        <v/>
      </c>
      <c r="G76" s="66" t="str">
        <f aca="false">IF(AND(ISNUMBER(C76),ISNUMBER(D76),D76&gt;=C76),WORKDAY(D76,1),"")</f>
        <v/>
      </c>
      <c r="H76" s="55" t="str">
        <f aca="true">IF(A76="","",IF(NOT(AND(ISNUMBER(C76),ISNUMBER(D76))),"Sem data definida",IF(D76&lt;C76,"⚠ Datas invertidas",IF(TODAY()&lt;C76,IF(C76-TODAY()=1,"Começa amanhã","Começa em "&amp;(C76-TODAY())&amp;" dias"),IF(TODAY()&gt;D76,"Concluídas",IF(TODAY()=D76,"EM FÉRIAS (último dia)","EM FÉRIAS (faltam "&amp;(D76-TODAY())&amp;" dias)"))))))</f>
        <v/>
      </c>
      <c r="I76" s="55" t="str">
        <f aca="false">IF(OR(A76="",NOT(AND(ISNUMBER(C76),ISNUMBER(D76)))),"",IF(D76-C76+1&gt;30,"⚠ Período acima de 30 dias",IF(COUNTIFS($B$2:$B$301,B76,$C$2:$C$301,"&lt;="&amp;D76,$D$2:$D$301,"&gt;="&amp;C76)&gt;1,"⚠ Coincide com férias de outro do setor","")))</f>
        <v/>
      </c>
      <c r="K76" s="0" t="str">
        <f aca="true">IF(AND(ISNUMBER(C76),ISNUMBER(D76),C76&lt;=TODAY(),D76&gt;=TODAY()),D76+ROW()/100000,"")</f>
        <v/>
      </c>
      <c r="L76" s="0" t="str">
        <f aca="true">IF(AND(ISNUMBER(C76),C76&gt;TODAY(),C76&lt;=TODAY()+30),C76+ROW()/100000,"")</f>
        <v/>
      </c>
      <c r="M76" s="0" t="str">
        <f aca="false">IF(AND(ISNUMBER(C76),ISNUMBER(D76),C76&lt;=CALENDÁRIO!$L$4,D76&gt;=CALENDÁRIO!$L$4),ROW(),"")</f>
        <v/>
      </c>
    </row>
    <row r="77" customFormat="false" ht="15" hidden="false" customHeight="true" outlineLevel="0" collapsed="false">
      <c r="A77" s="54"/>
      <c r="B77" s="54"/>
      <c r="C77" s="53"/>
      <c r="D77" s="53"/>
      <c r="E77" s="64"/>
      <c r="F77" s="65" t="str">
        <f aca="false">IF(AND(ISNUMBER(C77),ISNUMBER(D77),D77&gt;=C77),D77-C77+1,"")</f>
        <v/>
      </c>
      <c r="G77" s="66" t="str">
        <f aca="false">IF(AND(ISNUMBER(C77),ISNUMBER(D77),D77&gt;=C77),WORKDAY(D77,1),"")</f>
        <v/>
      </c>
      <c r="H77" s="55" t="str">
        <f aca="true">IF(A77="","",IF(NOT(AND(ISNUMBER(C77),ISNUMBER(D77))),"Sem data definida",IF(D77&lt;C77,"⚠ Datas invertidas",IF(TODAY()&lt;C77,IF(C77-TODAY()=1,"Começa amanhã","Começa em "&amp;(C77-TODAY())&amp;" dias"),IF(TODAY()&gt;D77,"Concluídas",IF(TODAY()=D77,"EM FÉRIAS (último dia)","EM FÉRIAS (faltam "&amp;(D77-TODAY())&amp;" dias)"))))))</f>
        <v/>
      </c>
      <c r="I77" s="55" t="str">
        <f aca="false">IF(OR(A77="",NOT(AND(ISNUMBER(C77),ISNUMBER(D77)))),"",IF(D77-C77+1&gt;30,"⚠ Período acima de 30 dias",IF(COUNTIFS($B$2:$B$301,B77,$C$2:$C$301,"&lt;="&amp;D77,$D$2:$D$301,"&gt;="&amp;C77)&gt;1,"⚠ Coincide com férias de outro do setor","")))</f>
        <v/>
      </c>
      <c r="K77" s="0" t="str">
        <f aca="true">IF(AND(ISNUMBER(C77),ISNUMBER(D77),C77&lt;=TODAY(),D77&gt;=TODAY()),D77+ROW()/100000,"")</f>
        <v/>
      </c>
      <c r="L77" s="0" t="str">
        <f aca="true">IF(AND(ISNUMBER(C77),C77&gt;TODAY(),C77&lt;=TODAY()+30),C77+ROW()/100000,"")</f>
        <v/>
      </c>
      <c r="M77" s="0" t="str">
        <f aca="false">IF(AND(ISNUMBER(C77),ISNUMBER(D77),C77&lt;=CALENDÁRIO!$L$4,D77&gt;=CALENDÁRIO!$L$4),ROW(),"")</f>
        <v/>
      </c>
    </row>
    <row r="78" customFormat="false" ht="15" hidden="false" customHeight="true" outlineLevel="0" collapsed="false">
      <c r="A78" s="54"/>
      <c r="B78" s="54"/>
      <c r="C78" s="53"/>
      <c r="D78" s="53"/>
      <c r="E78" s="64"/>
      <c r="F78" s="65" t="str">
        <f aca="false">IF(AND(ISNUMBER(C78),ISNUMBER(D78),D78&gt;=C78),D78-C78+1,"")</f>
        <v/>
      </c>
      <c r="G78" s="66" t="str">
        <f aca="false">IF(AND(ISNUMBER(C78),ISNUMBER(D78),D78&gt;=C78),WORKDAY(D78,1),"")</f>
        <v/>
      </c>
      <c r="H78" s="55" t="str">
        <f aca="true">IF(A78="","",IF(NOT(AND(ISNUMBER(C78),ISNUMBER(D78))),"Sem data definida",IF(D78&lt;C78,"⚠ Datas invertidas",IF(TODAY()&lt;C78,IF(C78-TODAY()=1,"Começa amanhã","Começa em "&amp;(C78-TODAY())&amp;" dias"),IF(TODAY()&gt;D78,"Concluídas",IF(TODAY()=D78,"EM FÉRIAS (último dia)","EM FÉRIAS (faltam "&amp;(D78-TODAY())&amp;" dias)"))))))</f>
        <v/>
      </c>
      <c r="I78" s="55" t="str">
        <f aca="false">IF(OR(A78="",NOT(AND(ISNUMBER(C78),ISNUMBER(D78)))),"",IF(D78-C78+1&gt;30,"⚠ Período acima de 30 dias",IF(COUNTIFS($B$2:$B$301,B78,$C$2:$C$301,"&lt;="&amp;D78,$D$2:$D$301,"&gt;="&amp;C78)&gt;1,"⚠ Coincide com férias de outro do setor","")))</f>
        <v/>
      </c>
      <c r="K78" s="0" t="str">
        <f aca="true">IF(AND(ISNUMBER(C78),ISNUMBER(D78),C78&lt;=TODAY(),D78&gt;=TODAY()),D78+ROW()/100000,"")</f>
        <v/>
      </c>
      <c r="L78" s="0" t="str">
        <f aca="true">IF(AND(ISNUMBER(C78),C78&gt;TODAY(),C78&lt;=TODAY()+30),C78+ROW()/100000,"")</f>
        <v/>
      </c>
      <c r="M78" s="0" t="str">
        <f aca="false">IF(AND(ISNUMBER(C78),ISNUMBER(D78),C78&lt;=CALENDÁRIO!$L$4,D78&gt;=CALENDÁRIO!$L$4),ROW(),"")</f>
        <v/>
      </c>
    </row>
    <row r="79" customFormat="false" ht="15" hidden="false" customHeight="true" outlineLevel="0" collapsed="false">
      <c r="A79" s="54"/>
      <c r="B79" s="54"/>
      <c r="C79" s="53"/>
      <c r="D79" s="53"/>
      <c r="E79" s="64"/>
      <c r="F79" s="65" t="str">
        <f aca="false">IF(AND(ISNUMBER(C79),ISNUMBER(D79),D79&gt;=C79),D79-C79+1,"")</f>
        <v/>
      </c>
      <c r="G79" s="66" t="str">
        <f aca="false">IF(AND(ISNUMBER(C79),ISNUMBER(D79),D79&gt;=C79),WORKDAY(D79,1),"")</f>
        <v/>
      </c>
      <c r="H79" s="55" t="str">
        <f aca="true">IF(A79="","",IF(NOT(AND(ISNUMBER(C79),ISNUMBER(D79))),"Sem data definida",IF(D79&lt;C79,"⚠ Datas invertidas",IF(TODAY()&lt;C79,IF(C79-TODAY()=1,"Começa amanhã","Começa em "&amp;(C79-TODAY())&amp;" dias"),IF(TODAY()&gt;D79,"Concluídas",IF(TODAY()=D79,"EM FÉRIAS (último dia)","EM FÉRIAS (faltam "&amp;(D79-TODAY())&amp;" dias)"))))))</f>
        <v/>
      </c>
      <c r="I79" s="55" t="str">
        <f aca="false">IF(OR(A79="",NOT(AND(ISNUMBER(C79),ISNUMBER(D79)))),"",IF(D79-C79+1&gt;30,"⚠ Período acima de 30 dias",IF(COUNTIFS($B$2:$B$301,B79,$C$2:$C$301,"&lt;="&amp;D79,$D$2:$D$301,"&gt;="&amp;C79)&gt;1,"⚠ Coincide com férias de outro do setor","")))</f>
        <v/>
      </c>
      <c r="K79" s="0" t="str">
        <f aca="true">IF(AND(ISNUMBER(C79),ISNUMBER(D79),C79&lt;=TODAY(),D79&gt;=TODAY()),D79+ROW()/100000,"")</f>
        <v/>
      </c>
      <c r="L79" s="0" t="str">
        <f aca="true">IF(AND(ISNUMBER(C79),C79&gt;TODAY(),C79&lt;=TODAY()+30),C79+ROW()/100000,"")</f>
        <v/>
      </c>
      <c r="M79" s="0" t="str">
        <f aca="false">IF(AND(ISNUMBER(C79),ISNUMBER(D79),C79&lt;=CALENDÁRIO!$L$4,D79&gt;=CALENDÁRIO!$L$4),ROW(),"")</f>
        <v/>
      </c>
    </row>
    <row r="80" customFormat="false" ht="15" hidden="false" customHeight="true" outlineLevel="0" collapsed="false">
      <c r="A80" s="54"/>
      <c r="B80" s="54"/>
      <c r="C80" s="53"/>
      <c r="D80" s="53"/>
      <c r="E80" s="64"/>
      <c r="F80" s="65" t="str">
        <f aca="false">IF(AND(ISNUMBER(C80),ISNUMBER(D80),D80&gt;=C80),D80-C80+1,"")</f>
        <v/>
      </c>
      <c r="G80" s="66" t="str">
        <f aca="false">IF(AND(ISNUMBER(C80),ISNUMBER(D80),D80&gt;=C80),WORKDAY(D80,1),"")</f>
        <v/>
      </c>
      <c r="H80" s="55" t="str">
        <f aca="true">IF(A80="","",IF(NOT(AND(ISNUMBER(C80),ISNUMBER(D80))),"Sem data definida",IF(D80&lt;C80,"⚠ Datas invertidas",IF(TODAY()&lt;C80,IF(C80-TODAY()=1,"Começa amanhã","Começa em "&amp;(C80-TODAY())&amp;" dias"),IF(TODAY()&gt;D80,"Concluídas",IF(TODAY()=D80,"EM FÉRIAS (último dia)","EM FÉRIAS (faltam "&amp;(D80-TODAY())&amp;" dias)"))))))</f>
        <v/>
      </c>
      <c r="I80" s="55" t="str">
        <f aca="false">IF(OR(A80="",NOT(AND(ISNUMBER(C80),ISNUMBER(D80)))),"",IF(D80-C80+1&gt;30,"⚠ Período acima de 30 dias",IF(COUNTIFS($B$2:$B$301,B80,$C$2:$C$301,"&lt;="&amp;D80,$D$2:$D$301,"&gt;="&amp;C80)&gt;1,"⚠ Coincide com férias de outro do setor","")))</f>
        <v/>
      </c>
      <c r="K80" s="0" t="str">
        <f aca="true">IF(AND(ISNUMBER(C80),ISNUMBER(D80),C80&lt;=TODAY(),D80&gt;=TODAY()),D80+ROW()/100000,"")</f>
        <v/>
      </c>
      <c r="L80" s="0" t="str">
        <f aca="true">IF(AND(ISNUMBER(C80),C80&gt;TODAY(),C80&lt;=TODAY()+30),C80+ROW()/100000,"")</f>
        <v/>
      </c>
      <c r="M80" s="0" t="str">
        <f aca="false">IF(AND(ISNUMBER(C80),ISNUMBER(D80),C80&lt;=CALENDÁRIO!$L$4,D80&gt;=CALENDÁRIO!$L$4),ROW(),"")</f>
        <v/>
      </c>
    </row>
    <row r="81" customFormat="false" ht="15" hidden="false" customHeight="true" outlineLevel="0" collapsed="false">
      <c r="A81" s="54"/>
      <c r="B81" s="54"/>
      <c r="C81" s="53"/>
      <c r="D81" s="53"/>
      <c r="E81" s="64"/>
      <c r="F81" s="65" t="str">
        <f aca="false">IF(AND(ISNUMBER(C81),ISNUMBER(D81),D81&gt;=C81),D81-C81+1,"")</f>
        <v/>
      </c>
      <c r="G81" s="66" t="str">
        <f aca="false">IF(AND(ISNUMBER(C81),ISNUMBER(D81),D81&gt;=C81),WORKDAY(D81,1),"")</f>
        <v/>
      </c>
      <c r="H81" s="55" t="str">
        <f aca="true">IF(A81="","",IF(NOT(AND(ISNUMBER(C81),ISNUMBER(D81))),"Sem data definida",IF(D81&lt;C81,"⚠ Datas invertidas",IF(TODAY()&lt;C81,IF(C81-TODAY()=1,"Começa amanhã","Começa em "&amp;(C81-TODAY())&amp;" dias"),IF(TODAY()&gt;D81,"Concluídas",IF(TODAY()=D81,"EM FÉRIAS (último dia)","EM FÉRIAS (faltam "&amp;(D81-TODAY())&amp;" dias)"))))))</f>
        <v/>
      </c>
      <c r="I81" s="55" t="str">
        <f aca="false">IF(OR(A81="",NOT(AND(ISNUMBER(C81),ISNUMBER(D81)))),"",IF(D81-C81+1&gt;30,"⚠ Período acima de 30 dias",IF(COUNTIFS($B$2:$B$301,B81,$C$2:$C$301,"&lt;="&amp;D81,$D$2:$D$301,"&gt;="&amp;C81)&gt;1,"⚠ Coincide com férias de outro do setor","")))</f>
        <v/>
      </c>
      <c r="K81" s="0" t="str">
        <f aca="true">IF(AND(ISNUMBER(C81),ISNUMBER(D81),C81&lt;=TODAY(),D81&gt;=TODAY()),D81+ROW()/100000,"")</f>
        <v/>
      </c>
      <c r="L81" s="0" t="str">
        <f aca="true">IF(AND(ISNUMBER(C81),C81&gt;TODAY(),C81&lt;=TODAY()+30),C81+ROW()/100000,"")</f>
        <v/>
      </c>
      <c r="M81" s="0" t="str">
        <f aca="false">IF(AND(ISNUMBER(C81),ISNUMBER(D81),C81&lt;=CALENDÁRIO!$L$4,D81&gt;=CALENDÁRIO!$L$4),ROW(),"")</f>
        <v/>
      </c>
    </row>
    <row r="82" customFormat="false" ht="15" hidden="false" customHeight="true" outlineLevel="0" collapsed="false">
      <c r="A82" s="54"/>
      <c r="B82" s="54"/>
      <c r="C82" s="53"/>
      <c r="D82" s="53"/>
      <c r="E82" s="64"/>
      <c r="F82" s="65" t="str">
        <f aca="false">IF(AND(ISNUMBER(C82),ISNUMBER(D82),D82&gt;=C82),D82-C82+1,"")</f>
        <v/>
      </c>
      <c r="G82" s="66" t="str">
        <f aca="false">IF(AND(ISNUMBER(C82),ISNUMBER(D82),D82&gt;=C82),WORKDAY(D82,1),"")</f>
        <v/>
      </c>
      <c r="H82" s="55" t="str">
        <f aca="true">IF(A82="","",IF(NOT(AND(ISNUMBER(C82),ISNUMBER(D82))),"Sem data definida",IF(D82&lt;C82,"⚠ Datas invertidas",IF(TODAY()&lt;C82,IF(C82-TODAY()=1,"Começa amanhã","Começa em "&amp;(C82-TODAY())&amp;" dias"),IF(TODAY()&gt;D82,"Concluídas",IF(TODAY()=D82,"EM FÉRIAS (último dia)","EM FÉRIAS (faltam "&amp;(D82-TODAY())&amp;" dias)"))))))</f>
        <v/>
      </c>
      <c r="I82" s="55" t="str">
        <f aca="false">IF(OR(A82="",NOT(AND(ISNUMBER(C82),ISNUMBER(D82)))),"",IF(D82-C82+1&gt;30,"⚠ Período acima de 30 dias",IF(COUNTIFS($B$2:$B$301,B82,$C$2:$C$301,"&lt;="&amp;D82,$D$2:$D$301,"&gt;="&amp;C82)&gt;1,"⚠ Coincide com férias de outro do setor","")))</f>
        <v/>
      </c>
      <c r="K82" s="0" t="str">
        <f aca="true">IF(AND(ISNUMBER(C82),ISNUMBER(D82),C82&lt;=TODAY(),D82&gt;=TODAY()),D82+ROW()/100000,"")</f>
        <v/>
      </c>
      <c r="L82" s="0" t="str">
        <f aca="true">IF(AND(ISNUMBER(C82),C82&gt;TODAY(),C82&lt;=TODAY()+30),C82+ROW()/100000,"")</f>
        <v/>
      </c>
      <c r="M82" s="0" t="str">
        <f aca="false">IF(AND(ISNUMBER(C82),ISNUMBER(D82),C82&lt;=CALENDÁRIO!$L$4,D82&gt;=CALENDÁRIO!$L$4),ROW(),"")</f>
        <v/>
      </c>
    </row>
    <row r="83" customFormat="false" ht="15" hidden="false" customHeight="true" outlineLevel="0" collapsed="false">
      <c r="A83" s="54"/>
      <c r="B83" s="54"/>
      <c r="C83" s="53"/>
      <c r="D83" s="53"/>
      <c r="E83" s="64"/>
      <c r="F83" s="65" t="str">
        <f aca="false">IF(AND(ISNUMBER(C83),ISNUMBER(D83),D83&gt;=C83),D83-C83+1,"")</f>
        <v/>
      </c>
      <c r="G83" s="66" t="str">
        <f aca="false">IF(AND(ISNUMBER(C83),ISNUMBER(D83),D83&gt;=C83),WORKDAY(D83,1),"")</f>
        <v/>
      </c>
      <c r="H83" s="55" t="str">
        <f aca="true">IF(A83="","",IF(NOT(AND(ISNUMBER(C83),ISNUMBER(D83))),"Sem data definida",IF(D83&lt;C83,"⚠ Datas invertidas",IF(TODAY()&lt;C83,IF(C83-TODAY()=1,"Começa amanhã","Começa em "&amp;(C83-TODAY())&amp;" dias"),IF(TODAY()&gt;D83,"Concluídas",IF(TODAY()=D83,"EM FÉRIAS (último dia)","EM FÉRIAS (faltam "&amp;(D83-TODAY())&amp;" dias)"))))))</f>
        <v/>
      </c>
      <c r="I83" s="55" t="str">
        <f aca="false">IF(OR(A83="",NOT(AND(ISNUMBER(C83),ISNUMBER(D83)))),"",IF(D83-C83+1&gt;30,"⚠ Período acima de 30 dias",IF(COUNTIFS($B$2:$B$301,B83,$C$2:$C$301,"&lt;="&amp;D83,$D$2:$D$301,"&gt;="&amp;C83)&gt;1,"⚠ Coincide com férias de outro do setor","")))</f>
        <v/>
      </c>
      <c r="K83" s="0" t="str">
        <f aca="true">IF(AND(ISNUMBER(C83),ISNUMBER(D83),C83&lt;=TODAY(),D83&gt;=TODAY()),D83+ROW()/100000,"")</f>
        <v/>
      </c>
      <c r="L83" s="0" t="str">
        <f aca="true">IF(AND(ISNUMBER(C83),C83&gt;TODAY(),C83&lt;=TODAY()+30),C83+ROW()/100000,"")</f>
        <v/>
      </c>
      <c r="M83" s="0" t="str">
        <f aca="false">IF(AND(ISNUMBER(C83),ISNUMBER(D83),C83&lt;=CALENDÁRIO!$L$4,D83&gt;=CALENDÁRIO!$L$4),ROW(),"")</f>
        <v/>
      </c>
    </row>
    <row r="84" customFormat="false" ht="15" hidden="false" customHeight="true" outlineLevel="0" collapsed="false">
      <c r="A84" s="54"/>
      <c r="B84" s="54"/>
      <c r="C84" s="53"/>
      <c r="D84" s="53"/>
      <c r="E84" s="64"/>
      <c r="F84" s="65" t="str">
        <f aca="false">IF(AND(ISNUMBER(C84),ISNUMBER(D84),D84&gt;=C84),D84-C84+1,"")</f>
        <v/>
      </c>
      <c r="G84" s="66" t="str">
        <f aca="false">IF(AND(ISNUMBER(C84),ISNUMBER(D84),D84&gt;=C84),WORKDAY(D84,1),"")</f>
        <v/>
      </c>
      <c r="H84" s="55" t="str">
        <f aca="true">IF(A84="","",IF(NOT(AND(ISNUMBER(C84),ISNUMBER(D84))),"Sem data definida",IF(D84&lt;C84,"⚠ Datas invertidas",IF(TODAY()&lt;C84,IF(C84-TODAY()=1,"Começa amanhã","Começa em "&amp;(C84-TODAY())&amp;" dias"),IF(TODAY()&gt;D84,"Concluídas",IF(TODAY()=D84,"EM FÉRIAS (último dia)","EM FÉRIAS (faltam "&amp;(D84-TODAY())&amp;" dias)"))))))</f>
        <v/>
      </c>
      <c r="I84" s="55" t="str">
        <f aca="false">IF(OR(A84="",NOT(AND(ISNUMBER(C84),ISNUMBER(D84)))),"",IF(D84-C84+1&gt;30,"⚠ Período acima de 30 dias",IF(COUNTIFS($B$2:$B$301,B84,$C$2:$C$301,"&lt;="&amp;D84,$D$2:$D$301,"&gt;="&amp;C84)&gt;1,"⚠ Coincide com férias de outro do setor","")))</f>
        <v/>
      </c>
      <c r="K84" s="0" t="str">
        <f aca="true">IF(AND(ISNUMBER(C84),ISNUMBER(D84),C84&lt;=TODAY(),D84&gt;=TODAY()),D84+ROW()/100000,"")</f>
        <v/>
      </c>
      <c r="L84" s="0" t="str">
        <f aca="true">IF(AND(ISNUMBER(C84),C84&gt;TODAY(),C84&lt;=TODAY()+30),C84+ROW()/100000,"")</f>
        <v/>
      </c>
      <c r="M84" s="0" t="str">
        <f aca="false">IF(AND(ISNUMBER(C84),ISNUMBER(D84),C84&lt;=CALENDÁRIO!$L$4,D84&gt;=CALENDÁRIO!$L$4),ROW(),"")</f>
        <v/>
      </c>
    </row>
    <row r="85" customFormat="false" ht="15" hidden="false" customHeight="true" outlineLevel="0" collapsed="false">
      <c r="A85" s="54"/>
      <c r="B85" s="54"/>
      <c r="C85" s="53"/>
      <c r="D85" s="53"/>
      <c r="E85" s="64"/>
      <c r="F85" s="65" t="str">
        <f aca="false">IF(AND(ISNUMBER(C85),ISNUMBER(D85),D85&gt;=C85),D85-C85+1,"")</f>
        <v/>
      </c>
      <c r="G85" s="66" t="str">
        <f aca="false">IF(AND(ISNUMBER(C85),ISNUMBER(D85),D85&gt;=C85),WORKDAY(D85,1),"")</f>
        <v/>
      </c>
      <c r="H85" s="55" t="str">
        <f aca="true">IF(A85="","",IF(NOT(AND(ISNUMBER(C85),ISNUMBER(D85))),"Sem data definida",IF(D85&lt;C85,"⚠ Datas invertidas",IF(TODAY()&lt;C85,IF(C85-TODAY()=1,"Começa amanhã","Começa em "&amp;(C85-TODAY())&amp;" dias"),IF(TODAY()&gt;D85,"Concluídas",IF(TODAY()=D85,"EM FÉRIAS (último dia)","EM FÉRIAS (faltam "&amp;(D85-TODAY())&amp;" dias)"))))))</f>
        <v/>
      </c>
      <c r="I85" s="55" t="str">
        <f aca="false">IF(OR(A85="",NOT(AND(ISNUMBER(C85),ISNUMBER(D85)))),"",IF(D85-C85+1&gt;30,"⚠ Período acima de 30 dias",IF(COUNTIFS($B$2:$B$301,B85,$C$2:$C$301,"&lt;="&amp;D85,$D$2:$D$301,"&gt;="&amp;C85)&gt;1,"⚠ Coincide com férias de outro do setor","")))</f>
        <v/>
      </c>
      <c r="K85" s="0" t="str">
        <f aca="true">IF(AND(ISNUMBER(C85),ISNUMBER(D85),C85&lt;=TODAY(),D85&gt;=TODAY()),D85+ROW()/100000,"")</f>
        <v/>
      </c>
      <c r="L85" s="0" t="str">
        <f aca="true">IF(AND(ISNUMBER(C85),C85&gt;TODAY(),C85&lt;=TODAY()+30),C85+ROW()/100000,"")</f>
        <v/>
      </c>
      <c r="M85" s="0" t="str">
        <f aca="false">IF(AND(ISNUMBER(C85),ISNUMBER(D85),C85&lt;=CALENDÁRIO!$L$4,D85&gt;=CALENDÁRIO!$L$4),ROW(),"")</f>
        <v/>
      </c>
    </row>
    <row r="86" customFormat="false" ht="15" hidden="false" customHeight="true" outlineLevel="0" collapsed="false">
      <c r="A86" s="54"/>
      <c r="B86" s="54"/>
      <c r="C86" s="53"/>
      <c r="D86" s="53"/>
      <c r="E86" s="64"/>
      <c r="F86" s="65" t="str">
        <f aca="false">IF(AND(ISNUMBER(C86),ISNUMBER(D86),D86&gt;=C86),D86-C86+1,"")</f>
        <v/>
      </c>
      <c r="G86" s="66" t="str">
        <f aca="false">IF(AND(ISNUMBER(C86),ISNUMBER(D86),D86&gt;=C86),WORKDAY(D86,1),"")</f>
        <v/>
      </c>
      <c r="H86" s="55" t="str">
        <f aca="true">IF(A86="","",IF(NOT(AND(ISNUMBER(C86),ISNUMBER(D86))),"Sem data definida",IF(D86&lt;C86,"⚠ Datas invertidas",IF(TODAY()&lt;C86,IF(C86-TODAY()=1,"Começa amanhã","Começa em "&amp;(C86-TODAY())&amp;" dias"),IF(TODAY()&gt;D86,"Concluídas",IF(TODAY()=D86,"EM FÉRIAS (último dia)","EM FÉRIAS (faltam "&amp;(D86-TODAY())&amp;" dias)"))))))</f>
        <v/>
      </c>
      <c r="I86" s="55" t="str">
        <f aca="false">IF(OR(A86="",NOT(AND(ISNUMBER(C86),ISNUMBER(D86)))),"",IF(D86-C86+1&gt;30,"⚠ Período acima de 30 dias",IF(COUNTIFS($B$2:$B$301,B86,$C$2:$C$301,"&lt;="&amp;D86,$D$2:$D$301,"&gt;="&amp;C86)&gt;1,"⚠ Coincide com férias de outro do setor","")))</f>
        <v/>
      </c>
      <c r="K86" s="0" t="str">
        <f aca="true">IF(AND(ISNUMBER(C86),ISNUMBER(D86),C86&lt;=TODAY(),D86&gt;=TODAY()),D86+ROW()/100000,"")</f>
        <v/>
      </c>
      <c r="L86" s="0" t="str">
        <f aca="true">IF(AND(ISNUMBER(C86),C86&gt;TODAY(),C86&lt;=TODAY()+30),C86+ROW()/100000,"")</f>
        <v/>
      </c>
      <c r="M86" s="0" t="str">
        <f aca="false">IF(AND(ISNUMBER(C86),ISNUMBER(D86),C86&lt;=CALENDÁRIO!$L$4,D86&gt;=CALENDÁRIO!$L$4),ROW(),"")</f>
        <v/>
      </c>
    </row>
    <row r="87" customFormat="false" ht="15" hidden="false" customHeight="true" outlineLevel="0" collapsed="false">
      <c r="A87" s="54"/>
      <c r="B87" s="54"/>
      <c r="C87" s="53"/>
      <c r="D87" s="53"/>
      <c r="E87" s="64"/>
      <c r="F87" s="65" t="str">
        <f aca="false">IF(AND(ISNUMBER(C87),ISNUMBER(D87),D87&gt;=C87),D87-C87+1,"")</f>
        <v/>
      </c>
      <c r="G87" s="66" t="str">
        <f aca="false">IF(AND(ISNUMBER(C87),ISNUMBER(D87),D87&gt;=C87),WORKDAY(D87,1),"")</f>
        <v/>
      </c>
      <c r="H87" s="55" t="str">
        <f aca="true">IF(A87="","",IF(NOT(AND(ISNUMBER(C87),ISNUMBER(D87))),"Sem data definida",IF(D87&lt;C87,"⚠ Datas invertidas",IF(TODAY()&lt;C87,IF(C87-TODAY()=1,"Começa amanhã","Começa em "&amp;(C87-TODAY())&amp;" dias"),IF(TODAY()&gt;D87,"Concluídas",IF(TODAY()=D87,"EM FÉRIAS (último dia)","EM FÉRIAS (faltam "&amp;(D87-TODAY())&amp;" dias)"))))))</f>
        <v/>
      </c>
      <c r="I87" s="55" t="str">
        <f aca="false">IF(OR(A87="",NOT(AND(ISNUMBER(C87),ISNUMBER(D87)))),"",IF(D87-C87+1&gt;30,"⚠ Período acima de 30 dias",IF(COUNTIFS($B$2:$B$301,B87,$C$2:$C$301,"&lt;="&amp;D87,$D$2:$D$301,"&gt;="&amp;C87)&gt;1,"⚠ Coincide com férias de outro do setor","")))</f>
        <v/>
      </c>
      <c r="K87" s="0" t="str">
        <f aca="true">IF(AND(ISNUMBER(C87),ISNUMBER(D87),C87&lt;=TODAY(),D87&gt;=TODAY()),D87+ROW()/100000,"")</f>
        <v/>
      </c>
      <c r="L87" s="0" t="str">
        <f aca="true">IF(AND(ISNUMBER(C87),C87&gt;TODAY(),C87&lt;=TODAY()+30),C87+ROW()/100000,"")</f>
        <v/>
      </c>
      <c r="M87" s="0" t="str">
        <f aca="false">IF(AND(ISNUMBER(C87),ISNUMBER(D87),C87&lt;=CALENDÁRIO!$L$4,D87&gt;=CALENDÁRIO!$L$4),ROW(),"")</f>
        <v/>
      </c>
    </row>
    <row r="88" customFormat="false" ht="15" hidden="false" customHeight="true" outlineLevel="0" collapsed="false">
      <c r="A88" s="54"/>
      <c r="B88" s="54"/>
      <c r="C88" s="53"/>
      <c r="D88" s="53"/>
      <c r="E88" s="64"/>
      <c r="F88" s="65" t="str">
        <f aca="false">IF(AND(ISNUMBER(C88),ISNUMBER(D88),D88&gt;=C88),D88-C88+1,"")</f>
        <v/>
      </c>
      <c r="G88" s="66" t="str">
        <f aca="false">IF(AND(ISNUMBER(C88),ISNUMBER(D88),D88&gt;=C88),WORKDAY(D88,1),"")</f>
        <v/>
      </c>
      <c r="H88" s="55" t="str">
        <f aca="true">IF(A88="","",IF(NOT(AND(ISNUMBER(C88),ISNUMBER(D88))),"Sem data definida",IF(D88&lt;C88,"⚠ Datas invertidas",IF(TODAY()&lt;C88,IF(C88-TODAY()=1,"Começa amanhã","Começa em "&amp;(C88-TODAY())&amp;" dias"),IF(TODAY()&gt;D88,"Concluídas",IF(TODAY()=D88,"EM FÉRIAS (último dia)","EM FÉRIAS (faltam "&amp;(D88-TODAY())&amp;" dias)"))))))</f>
        <v/>
      </c>
      <c r="I88" s="55" t="str">
        <f aca="false">IF(OR(A88="",NOT(AND(ISNUMBER(C88),ISNUMBER(D88)))),"",IF(D88-C88+1&gt;30,"⚠ Período acima de 30 dias",IF(COUNTIFS($B$2:$B$301,B88,$C$2:$C$301,"&lt;="&amp;D88,$D$2:$D$301,"&gt;="&amp;C88)&gt;1,"⚠ Coincide com férias de outro do setor","")))</f>
        <v/>
      </c>
      <c r="K88" s="0" t="str">
        <f aca="true">IF(AND(ISNUMBER(C88),ISNUMBER(D88),C88&lt;=TODAY(),D88&gt;=TODAY()),D88+ROW()/100000,"")</f>
        <v/>
      </c>
      <c r="L88" s="0" t="str">
        <f aca="true">IF(AND(ISNUMBER(C88),C88&gt;TODAY(),C88&lt;=TODAY()+30),C88+ROW()/100000,"")</f>
        <v/>
      </c>
      <c r="M88" s="0" t="str">
        <f aca="false">IF(AND(ISNUMBER(C88),ISNUMBER(D88),C88&lt;=CALENDÁRIO!$L$4,D88&gt;=CALENDÁRIO!$L$4),ROW(),"")</f>
        <v/>
      </c>
    </row>
    <row r="89" customFormat="false" ht="15" hidden="false" customHeight="true" outlineLevel="0" collapsed="false">
      <c r="A89" s="54"/>
      <c r="B89" s="54"/>
      <c r="C89" s="53"/>
      <c r="D89" s="53"/>
      <c r="E89" s="64"/>
      <c r="F89" s="65" t="str">
        <f aca="false">IF(AND(ISNUMBER(C89),ISNUMBER(D89),D89&gt;=C89),D89-C89+1,"")</f>
        <v/>
      </c>
      <c r="G89" s="66" t="str">
        <f aca="false">IF(AND(ISNUMBER(C89),ISNUMBER(D89),D89&gt;=C89),WORKDAY(D89,1),"")</f>
        <v/>
      </c>
      <c r="H89" s="55" t="str">
        <f aca="true">IF(A89="","",IF(NOT(AND(ISNUMBER(C89),ISNUMBER(D89))),"Sem data definida",IF(D89&lt;C89,"⚠ Datas invertidas",IF(TODAY()&lt;C89,IF(C89-TODAY()=1,"Começa amanhã","Começa em "&amp;(C89-TODAY())&amp;" dias"),IF(TODAY()&gt;D89,"Concluídas",IF(TODAY()=D89,"EM FÉRIAS (último dia)","EM FÉRIAS (faltam "&amp;(D89-TODAY())&amp;" dias)"))))))</f>
        <v/>
      </c>
      <c r="I89" s="55" t="str">
        <f aca="false">IF(OR(A89="",NOT(AND(ISNUMBER(C89),ISNUMBER(D89)))),"",IF(D89-C89+1&gt;30,"⚠ Período acima de 30 dias",IF(COUNTIFS($B$2:$B$301,B89,$C$2:$C$301,"&lt;="&amp;D89,$D$2:$D$301,"&gt;="&amp;C89)&gt;1,"⚠ Coincide com férias de outro do setor","")))</f>
        <v/>
      </c>
      <c r="K89" s="0" t="str">
        <f aca="true">IF(AND(ISNUMBER(C89),ISNUMBER(D89),C89&lt;=TODAY(),D89&gt;=TODAY()),D89+ROW()/100000,"")</f>
        <v/>
      </c>
      <c r="L89" s="0" t="str">
        <f aca="true">IF(AND(ISNUMBER(C89),C89&gt;TODAY(),C89&lt;=TODAY()+30),C89+ROW()/100000,"")</f>
        <v/>
      </c>
      <c r="M89" s="0" t="str">
        <f aca="false">IF(AND(ISNUMBER(C89),ISNUMBER(D89),C89&lt;=CALENDÁRIO!$L$4,D89&gt;=CALENDÁRIO!$L$4),ROW(),"")</f>
        <v/>
      </c>
    </row>
    <row r="90" customFormat="false" ht="15" hidden="false" customHeight="true" outlineLevel="0" collapsed="false">
      <c r="A90" s="54"/>
      <c r="B90" s="54"/>
      <c r="C90" s="53"/>
      <c r="D90" s="53"/>
      <c r="E90" s="64"/>
      <c r="F90" s="65" t="str">
        <f aca="false">IF(AND(ISNUMBER(C90),ISNUMBER(D90),D90&gt;=C90),D90-C90+1,"")</f>
        <v/>
      </c>
      <c r="G90" s="66" t="str">
        <f aca="false">IF(AND(ISNUMBER(C90),ISNUMBER(D90),D90&gt;=C90),WORKDAY(D90,1),"")</f>
        <v/>
      </c>
      <c r="H90" s="55" t="str">
        <f aca="true">IF(A90="","",IF(NOT(AND(ISNUMBER(C90),ISNUMBER(D90))),"Sem data definida",IF(D90&lt;C90,"⚠ Datas invertidas",IF(TODAY()&lt;C90,IF(C90-TODAY()=1,"Começa amanhã","Começa em "&amp;(C90-TODAY())&amp;" dias"),IF(TODAY()&gt;D90,"Concluídas",IF(TODAY()=D90,"EM FÉRIAS (último dia)","EM FÉRIAS (faltam "&amp;(D90-TODAY())&amp;" dias)"))))))</f>
        <v/>
      </c>
      <c r="I90" s="55" t="str">
        <f aca="false">IF(OR(A90="",NOT(AND(ISNUMBER(C90),ISNUMBER(D90)))),"",IF(D90-C90+1&gt;30,"⚠ Período acima de 30 dias",IF(COUNTIFS($B$2:$B$301,B90,$C$2:$C$301,"&lt;="&amp;D90,$D$2:$D$301,"&gt;="&amp;C90)&gt;1,"⚠ Coincide com férias de outro do setor","")))</f>
        <v/>
      </c>
      <c r="K90" s="0" t="str">
        <f aca="true">IF(AND(ISNUMBER(C90),ISNUMBER(D90),C90&lt;=TODAY(),D90&gt;=TODAY()),D90+ROW()/100000,"")</f>
        <v/>
      </c>
      <c r="L90" s="0" t="str">
        <f aca="true">IF(AND(ISNUMBER(C90),C90&gt;TODAY(),C90&lt;=TODAY()+30),C90+ROW()/100000,"")</f>
        <v/>
      </c>
      <c r="M90" s="0" t="str">
        <f aca="false">IF(AND(ISNUMBER(C90),ISNUMBER(D90),C90&lt;=CALENDÁRIO!$L$4,D90&gt;=CALENDÁRIO!$L$4),ROW(),"")</f>
        <v/>
      </c>
    </row>
    <row r="91" customFormat="false" ht="15" hidden="false" customHeight="true" outlineLevel="0" collapsed="false">
      <c r="A91" s="54"/>
      <c r="B91" s="54"/>
      <c r="C91" s="53"/>
      <c r="D91" s="53"/>
      <c r="E91" s="64"/>
      <c r="F91" s="65" t="str">
        <f aca="false">IF(AND(ISNUMBER(C91),ISNUMBER(D91),D91&gt;=C91),D91-C91+1,"")</f>
        <v/>
      </c>
      <c r="G91" s="66" t="str">
        <f aca="false">IF(AND(ISNUMBER(C91),ISNUMBER(D91),D91&gt;=C91),WORKDAY(D91,1),"")</f>
        <v/>
      </c>
      <c r="H91" s="55" t="str">
        <f aca="true">IF(A91="","",IF(NOT(AND(ISNUMBER(C91),ISNUMBER(D91))),"Sem data definida",IF(D91&lt;C91,"⚠ Datas invertidas",IF(TODAY()&lt;C91,IF(C91-TODAY()=1,"Começa amanhã","Começa em "&amp;(C91-TODAY())&amp;" dias"),IF(TODAY()&gt;D91,"Concluídas",IF(TODAY()=D91,"EM FÉRIAS (último dia)","EM FÉRIAS (faltam "&amp;(D91-TODAY())&amp;" dias)"))))))</f>
        <v/>
      </c>
      <c r="I91" s="55" t="str">
        <f aca="false">IF(OR(A91="",NOT(AND(ISNUMBER(C91),ISNUMBER(D91)))),"",IF(D91-C91+1&gt;30,"⚠ Período acima de 30 dias",IF(COUNTIFS($B$2:$B$301,B91,$C$2:$C$301,"&lt;="&amp;D91,$D$2:$D$301,"&gt;="&amp;C91)&gt;1,"⚠ Coincide com férias de outro do setor","")))</f>
        <v/>
      </c>
      <c r="K91" s="0" t="str">
        <f aca="true">IF(AND(ISNUMBER(C91),ISNUMBER(D91),C91&lt;=TODAY(),D91&gt;=TODAY()),D91+ROW()/100000,"")</f>
        <v/>
      </c>
      <c r="L91" s="0" t="str">
        <f aca="true">IF(AND(ISNUMBER(C91),C91&gt;TODAY(),C91&lt;=TODAY()+30),C91+ROW()/100000,"")</f>
        <v/>
      </c>
      <c r="M91" s="0" t="str">
        <f aca="false">IF(AND(ISNUMBER(C91),ISNUMBER(D91),C91&lt;=CALENDÁRIO!$L$4,D91&gt;=CALENDÁRIO!$L$4),ROW(),"")</f>
        <v/>
      </c>
    </row>
    <row r="92" customFormat="false" ht="15" hidden="false" customHeight="true" outlineLevel="0" collapsed="false">
      <c r="A92" s="54"/>
      <c r="B92" s="54"/>
      <c r="C92" s="53"/>
      <c r="D92" s="53"/>
      <c r="E92" s="64"/>
      <c r="F92" s="65" t="str">
        <f aca="false">IF(AND(ISNUMBER(C92),ISNUMBER(D92),D92&gt;=C92),D92-C92+1,"")</f>
        <v/>
      </c>
      <c r="G92" s="66" t="str">
        <f aca="false">IF(AND(ISNUMBER(C92),ISNUMBER(D92),D92&gt;=C92),WORKDAY(D92,1),"")</f>
        <v/>
      </c>
      <c r="H92" s="55" t="str">
        <f aca="true">IF(A92="","",IF(NOT(AND(ISNUMBER(C92),ISNUMBER(D92))),"Sem data definida",IF(D92&lt;C92,"⚠ Datas invertidas",IF(TODAY()&lt;C92,IF(C92-TODAY()=1,"Começa amanhã","Começa em "&amp;(C92-TODAY())&amp;" dias"),IF(TODAY()&gt;D92,"Concluídas",IF(TODAY()=D92,"EM FÉRIAS (último dia)","EM FÉRIAS (faltam "&amp;(D92-TODAY())&amp;" dias)"))))))</f>
        <v/>
      </c>
      <c r="I92" s="55" t="str">
        <f aca="false">IF(OR(A92="",NOT(AND(ISNUMBER(C92),ISNUMBER(D92)))),"",IF(D92-C92+1&gt;30,"⚠ Período acima de 30 dias",IF(COUNTIFS($B$2:$B$301,B92,$C$2:$C$301,"&lt;="&amp;D92,$D$2:$D$301,"&gt;="&amp;C92)&gt;1,"⚠ Coincide com férias de outro do setor","")))</f>
        <v/>
      </c>
      <c r="K92" s="0" t="str">
        <f aca="true">IF(AND(ISNUMBER(C92),ISNUMBER(D92),C92&lt;=TODAY(),D92&gt;=TODAY()),D92+ROW()/100000,"")</f>
        <v/>
      </c>
      <c r="L92" s="0" t="str">
        <f aca="true">IF(AND(ISNUMBER(C92),C92&gt;TODAY(),C92&lt;=TODAY()+30),C92+ROW()/100000,"")</f>
        <v/>
      </c>
      <c r="M92" s="0" t="str">
        <f aca="false">IF(AND(ISNUMBER(C92),ISNUMBER(D92),C92&lt;=CALENDÁRIO!$L$4,D92&gt;=CALENDÁRIO!$L$4),ROW(),"")</f>
        <v/>
      </c>
    </row>
    <row r="93" customFormat="false" ht="15" hidden="false" customHeight="true" outlineLevel="0" collapsed="false">
      <c r="A93" s="54"/>
      <c r="B93" s="54"/>
      <c r="C93" s="53"/>
      <c r="D93" s="53"/>
      <c r="E93" s="64"/>
      <c r="F93" s="65" t="str">
        <f aca="false">IF(AND(ISNUMBER(C93),ISNUMBER(D93),D93&gt;=C93),D93-C93+1,"")</f>
        <v/>
      </c>
      <c r="G93" s="66" t="str">
        <f aca="false">IF(AND(ISNUMBER(C93),ISNUMBER(D93),D93&gt;=C93),WORKDAY(D93,1),"")</f>
        <v/>
      </c>
      <c r="H93" s="55" t="str">
        <f aca="true">IF(A93="","",IF(NOT(AND(ISNUMBER(C93),ISNUMBER(D93))),"Sem data definida",IF(D93&lt;C93,"⚠ Datas invertidas",IF(TODAY()&lt;C93,IF(C93-TODAY()=1,"Começa amanhã","Começa em "&amp;(C93-TODAY())&amp;" dias"),IF(TODAY()&gt;D93,"Concluídas",IF(TODAY()=D93,"EM FÉRIAS (último dia)","EM FÉRIAS (faltam "&amp;(D93-TODAY())&amp;" dias)"))))))</f>
        <v/>
      </c>
      <c r="I93" s="55" t="str">
        <f aca="false">IF(OR(A93="",NOT(AND(ISNUMBER(C93),ISNUMBER(D93)))),"",IF(D93-C93+1&gt;30,"⚠ Período acima de 30 dias",IF(COUNTIFS($B$2:$B$301,B93,$C$2:$C$301,"&lt;="&amp;D93,$D$2:$D$301,"&gt;="&amp;C93)&gt;1,"⚠ Coincide com férias de outro do setor","")))</f>
        <v/>
      </c>
      <c r="K93" s="0" t="str">
        <f aca="true">IF(AND(ISNUMBER(C93),ISNUMBER(D93),C93&lt;=TODAY(),D93&gt;=TODAY()),D93+ROW()/100000,"")</f>
        <v/>
      </c>
      <c r="L93" s="0" t="str">
        <f aca="true">IF(AND(ISNUMBER(C93),C93&gt;TODAY(),C93&lt;=TODAY()+30),C93+ROW()/100000,"")</f>
        <v/>
      </c>
      <c r="M93" s="0" t="str">
        <f aca="false">IF(AND(ISNUMBER(C93),ISNUMBER(D93),C93&lt;=CALENDÁRIO!$L$4,D93&gt;=CALENDÁRIO!$L$4),ROW(),"")</f>
        <v/>
      </c>
    </row>
    <row r="94" customFormat="false" ht="15" hidden="false" customHeight="true" outlineLevel="0" collapsed="false">
      <c r="A94" s="54"/>
      <c r="B94" s="54"/>
      <c r="C94" s="53"/>
      <c r="D94" s="53"/>
      <c r="E94" s="64"/>
      <c r="F94" s="65" t="str">
        <f aca="false">IF(AND(ISNUMBER(C94),ISNUMBER(D94),D94&gt;=C94),D94-C94+1,"")</f>
        <v/>
      </c>
      <c r="G94" s="66" t="str">
        <f aca="false">IF(AND(ISNUMBER(C94),ISNUMBER(D94),D94&gt;=C94),WORKDAY(D94,1),"")</f>
        <v/>
      </c>
      <c r="H94" s="55" t="str">
        <f aca="true">IF(A94="","",IF(NOT(AND(ISNUMBER(C94),ISNUMBER(D94))),"Sem data definida",IF(D94&lt;C94,"⚠ Datas invertidas",IF(TODAY()&lt;C94,IF(C94-TODAY()=1,"Começa amanhã","Começa em "&amp;(C94-TODAY())&amp;" dias"),IF(TODAY()&gt;D94,"Concluídas",IF(TODAY()=D94,"EM FÉRIAS (último dia)","EM FÉRIAS (faltam "&amp;(D94-TODAY())&amp;" dias)"))))))</f>
        <v/>
      </c>
      <c r="I94" s="55" t="str">
        <f aca="false">IF(OR(A94="",NOT(AND(ISNUMBER(C94),ISNUMBER(D94)))),"",IF(D94-C94+1&gt;30,"⚠ Período acima de 30 dias",IF(COUNTIFS($B$2:$B$301,B94,$C$2:$C$301,"&lt;="&amp;D94,$D$2:$D$301,"&gt;="&amp;C94)&gt;1,"⚠ Coincide com férias de outro do setor","")))</f>
        <v/>
      </c>
      <c r="K94" s="0" t="str">
        <f aca="true">IF(AND(ISNUMBER(C94),ISNUMBER(D94),C94&lt;=TODAY(),D94&gt;=TODAY()),D94+ROW()/100000,"")</f>
        <v/>
      </c>
      <c r="L94" s="0" t="str">
        <f aca="true">IF(AND(ISNUMBER(C94),C94&gt;TODAY(),C94&lt;=TODAY()+30),C94+ROW()/100000,"")</f>
        <v/>
      </c>
      <c r="M94" s="0" t="str">
        <f aca="false">IF(AND(ISNUMBER(C94),ISNUMBER(D94),C94&lt;=CALENDÁRIO!$L$4,D94&gt;=CALENDÁRIO!$L$4),ROW(),"")</f>
        <v/>
      </c>
    </row>
    <row r="95" customFormat="false" ht="15" hidden="false" customHeight="true" outlineLevel="0" collapsed="false">
      <c r="A95" s="54"/>
      <c r="B95" s="54"/>
      <c r="C95" s="53"/>
      <c r="D95" s="53"/>
      <c r="E95" s="64"/>
      <c r="F95" s="65" t="str">
        <f aca="false">IF(AND(ISNUMBER(C95),ISNUMBER(D95),D95&gt;=C95),D95-C95+1,"")</f>
        <v/>
      </c>
      <c r="G95" s="66" t="str">
        <f aca="false">IF(AND(ISNUMBER(C95),ISNUMBER(D95),D95&gt;=C95),WORKDAY(D95,1),"")</f>
        <v/>
      </c>
      <c r="H95" s="55" t="str">
        <f aca="true">IF(A95="","",IF(NOT(AND(ISNUMBER(C95),ISNUMBER(D95))),"Sem data definida",IF(D95&lt;C95,"⚠ Datas invertidas",IF(TODAY()&lt;C95,IF(C95-TODAY()=1,"Começa amanhã","Começa em "&amp;(C95-TODAY())&amp;" dias"),IF(TODAY()&gt;D95,"Concluídas",IF(TODAY()=D95,"EM FÉRIAS (último dia)","EM FÉRIAS (faltam "&amp;(D95-TODAY())&amp;" dias)"))))))</f>
        <v/>
      </c>
      <c r="I95" s="55" t="str">
        <f aca="false">IF(OR(A95="",NOT(AND(ISNUMBER(C95),ISNUMBER(D95)))),"",IF(D95-C95+1&gt;30,"⚠ Período acima de 30 dias",IF(COUNTIFS($B$2:$B$301,B95,$C$2:$C$301,"&lt;="&amp;D95,$D$2:$D$301,"&gt;="&amp;C95)&gt;1,"⚠ Coincide com férias de outro do setor","")))</f>
        <v/>
      </c>
      <c r="K95" s="0" t="str">
        <f aca="true">IF(AND(ISNUMBER(C95),ISNUMBER(D95),C95&lt;=TODAY(),D95&gt;=TODAY()),D95+ROW()/100000,"")</f>
        <v/>
      </c>
      <c r="L95" s="0" t="str">
        <f aca="true">IF(AND(ISNUMBER(C95),C95&gt;TODAY(),C95&lt;=TODAY()+30),C95+ROW()/100000,"")</f>
        <v/>
      </c>
      <c r="M95" s="0" t="str">
        <f aca="false">IF(AND(ISNUMBER(C95),ISNUMBER(D95),C95&lt;=CALENDÁRIO!$L$4,D95&gt;=CALENDÁRIO!$L$4),ROW(),"")</f>
        <v/>
      </c>
    </row>
    <row r="96" customFormat="false" ht="15" hidden="false" customHeight="true" outlineLevel="0" collapsed="false">
      <c r="A96" s="54"/>
      <c r="B96" s="54"/>
      <c r="C96" s="53"/>
      <c r="D96" s="53"/>
      <c r="E96" s="64"/>
      <c r="F96" s="65" t="str">
        <f aca="false">IF(AND(ISNUMBER(C96),ISNUMBER(D96),D96&gt;=C96),D96-C96+1,"")</f>
        <v/>
      </c>
      <c r="G96" s="66" t="str">
        <f aca="false">IF(AND(ISNUMBER(C96),ISNUMBER(D96),D96&gt;=C96),WORKDAY(D96,1),"")</f>
        <v/>
      </c>
      <c r="H96" s="55" t="str">
        <f aca="true">IF(A96="","",IF(NOT(AND(ISNUMBER(C96),ISNUMBER(D96))),"Sem data definida",IF(D96&lt;C96,"⚠ Datas invertidas",IF(TODAY()&lt;C96,IF(C96-TODAY()=1,"Começa amanhã","Começa em "&amp;(C96-TODAY())&amp;" dias"),IF(TODAY()&gt;D96,"Concluídas",IF(TODAY()=D96,"EM FÉRIAS (último dia)","EM FÉRIAS (faltam "&amp;(D96-TODAY())&amp;" dias)"))))))</f>
        <v/>
      </c>
      <c r="I96" s="55" t="str">
        <f aca="false">IF(OR(A96="",NOT(AND(ISNUMBER(C96),ISNUMBER(D96)))),"",IF(D96-C96+1&gt;30,"⚠ Período acima de 30 dias",IF(COUNTIFS($B$2:$B$301,B96,$C$2:$C$301,"&lt;="&amp;D96,$D$2:$D$301,"&gt;="&amp;C96)&gt;1,"⚠ Coincide com férias de outro do setor","")))</f>
        <v/>
      </c>
      <c r="K96" s="0" t="str">
        <f aca="true">IF(AND(ISNUMBER(C96),ISNUMBER(D96),C96&lt;=TODAY(),D96&gt;=TODAY()),D96+ROW()/100000,"")</f>
        <v/>
      </c>
      <c r="L96" s="0" t="str">
        <f aca="true">IF(AND(ISNUMBER(C96),C96&gt;TODAY(),C96&lt;=TODAY()+30),C96+ROW()/100000,"")</f>
        <v/>
      </c>
      <c r="M96" s="0" t="str">
        <f aca="false">IF(AND(ISNUMBER(C96),ISNUMBER(D96),C96&lt;=CALENDÁRIO!$L$4,D96&gt;=CALENDÁRIO!$L$4),ROW(),"")</f>
        <v/>
      </c>
    </row>
    <row r="97" customFormat="false" ht="15" hidden="false" customHeight="true" outlineLevel="0" collapsed="false">
      <c r="A97" s="54"/>
      <c r="B97" s="54"/>
      <c r="C97" s="53"/>
      <c r="D97" s="53"/>
      <c r="E97" s="64"/>
      <c r="F97" s="65" t="str">
        <f aca="false">IF(AND(ISNUMBER(C97),ISNUMBER(D97),D97&gt;=C97),D97-C97+1,"")</f>
        <v/>
      </c>
      <c r="G97" s="66" t="str">
        <f aca="false">IF(AND(ISNUMBER(C97),ISNUMBER(D97),D97&gt;=C97),WORKDAY(D97,1),"")</f>
        <v/>
      </c>
      <c r="H97" s="55" t="str">
        <f aca="true">IF(A97="","",IF(NOT(AND(ISNUMBER(C97),ISNUMBER(D97))),"Sem data definida",IF(D97&lt;C97,"⚠ Datas invertidas",IF(TODAY()&lt;C97,IF(C97-TODAY()=1,"Começa amanhã","Começa em "&amp;(C97-TODAY())&amp;" dias"),IF(TODAY()&gt;D97,"Concluídas",IF(TODAY()=D97,"EM FÉRIAS (último dia)","EM FÉRIAS (faltam "&amp;(D97-TODAY())&amp;" dias)"))))))</f>
        <v/>
      </c>
      <c r="I97" s="55" t="str">
        <f aca="false">IF(OR(A97="",NOT(AND(ISNUMBER(C97),ISNUMBER(D97)))),"",IF(D97-C97+1&gt;30,"⚠ Período acima de 30 dias",IF(COUNTIFS($B$2:$B$301,B97,$C$2:$C$301,"&lt;="&amp;D97,$D$2:$D$301,"&gt;="&amp;C97)&gt;1,"⚠ Coincide com férias de outro do setor","")))</f>
        <v/>
      </c>
      <c r="K97" s="0" t="str">
        <f aca="true">IF(AND(ISNUMBER(C97),ISNUMBER(D97),C97&lt;=TODAY(),D97&gt;=TODAY()),D97+ROW()/100000,"")</f>
        <v/>
      </c>
      <c r="L97" s="0" t="str">
        <f aca="true">IF(AND(ISNUMBER(C97),C97&gt;TODAY(),C97&lt;=TODAY()+30),C97+ROW()/100000,"")</f>
        <v/>
      </c>
      <c r="M97" s="0" t="str">
        <f aca="false">IF(AND(ISNUMBER(C97),ISNUMBER(D97),C97&lt;=CALENDÁRIO!$L$4,D97&gt;=CALENDÁRIO!$L$4),ROW(),"")</f>
        <v/>
      </c>
    </row>
    <row r="98" customFormat="false" ht="15" hidden="false" customHeight="true" outlineLevel="0" collapsed="false">
      <c r="A98" s="54"/>
      <c r="B98" s="54"/>
      <c r="C98" s="53"/>
      <c r="D98" s="53"/>
      <c r="E98" s="64"/>
      <c r="F98" s="65" t="str">
        <f aca="false">IF(AND(ISNUMBER(C98),ISNUMBER(D98),D98&gt;=C98),D98-C98+1,"")</f>
        <v/>
      </c>
      <c r="G98" s="66" t="str">
        <f aca="false">IF(AND(ISNUMBER(C98),ISNUMBER(D98),D98&gt;=C98),WORKDAY(D98,1),"")</f>
        <v/>
      </c>
      <c r="H98" s="55" t="str">
        <f aca="true">IF(A98="","",IF(NOT(AND(ISNUMBER(C98),ISNUMBER(D98))),"Sem data definida",IF(D98&lt;C98,"⚠ Datas invertidas",IF(TODAY()&lt;C98,IF(C98-TODAY()=1,"Começa amanhã","Começa em "&amp;(C98-TODAY())&amp;" dias"),IF(TODAY()&gt;D98,"Concluídas",IF(TODAY()=D98,"EM FÉRIAS (último dia)","EM FÉRIAS (faltam "&amp;(D98-TODAY())&amp;" dias)"))))))</f>
        <v/>
      </c>
      <c r="I98" s="55" t="str">
        <f aca="false">IF(OR(A98="",NOT(AND(ISNUMBER(C98),ISNUMBER(D98)))),"",IF(D98-C98+1&gt;30,"⚠ Período acima de 30 dias",IF(COUNTIFS($B$2:$B$301,B98,$C$2:$C$301,"&lt;="&amp;D98,$D$2:$D$301,"&gt;="&amp;C98)&gt;1,"⚠ Coincide com férias de outro do setor","")))</f>
        <v/>
      </c>
      <c r="K98" s="0" t="str">
        <f aca="true">IF(AND(ISNUMBER(C98),ISNUMBER(D98),C98&lt;=TODAY(),D98&gt;=TODAY()),D98+ROW()/100000,"")</f>
        <v/>
      </c>
      <c r="L98" s="0" t="str">
        <f aca="true">IF(AND(ISNUMBER(C98),C98&gt;TODAY(),C98&lt;=TODAY()+30),C98+ROW()/100000,"")</f>
        <v/>
      </c>
      <c r="M98" s="0" t="str">
        <f aca="false">IF(AND(ISNUMBER(C98),ISNUMBER(D98),C98&lt;=CALENDÁRIO!$L$4,D98&gt;=CALENDÁRIO!$L$4),ROW(),"")</f>
        <v/>
      </c>
    </row>
    <row r="99" customFormat="false" ht="15" hidden="false" customHeight="true" outlineLevel="0" collapsed="false">
      <c r="A99" s="54"/>
      <c r="B99" s="54"/>
      <c r="C99" s="53"/>
      <c r="D99" s="53"/>
      <c r="E99" s="64"/>
      <c r="F99" s="65" t="str">
        <f aca="false">IF(AND(ISNUMBER(C99),ISNUMBER(D99),D99&gt;=C99),D99-C99+1,"")</f>
        <v/>
      </c>
      <c r="G99" s="66" t="str">
        <f aca="false">IF(AND(ISNUMBER(C99),ISNUMBER(D99),D99&gt;=C99),WORKDAY(D99,1),"")</f>
        <v/>
      </c>
      <c r="H99" s="55" t="str">
        <f aca="true">IF(A99="","",IF(NOT(AND(ISNUMBER(C99),ISNUMBER(D99))),"Sem data definida",IF(D99&lt;C99,"⚠ Datas invertidas",IF(TODAY()&lt;C99,IF(C99-TODAY()=1,"Começa amanhã","Começa em "&amp;(C99-TODAY())&amp;" dias"),IF(TODAY()&gt;D99,"Concluídas",IF(TODAY()=D99,"EM FÉRIAS (último dia)","EM FÉRIAS (faltam "&amp;(D99-TODAY())&amp;" dias)"))))))</f>
        <v/>
      </c>
      <c r="I99" s="55" t="str">
        <f aca="false">IF(OR(A99="",NOT(AND(ISNUMBER(C99),ISNUMBER(D99)))),"",IF(D99-C99+1&gt;30,"⚠ Período acima de 30 dias",IF(COUNTIFS($B$2:$B$301,B99,$C$2:$C$301,"&lt;="&amp;D99,$D$2:$D$301,"&gt;="&amp;C99)&gt;1,"⚠ Coincide com férias de outro do setor","")))</f>
        <v/>
      </c>
      <c r="K99" s="0" t="str">
        <f aca="true">IF(AND(ISNUMBER(C99),ISNUMBER(D99),C99&lt;=TODAY(),D99&gt;=TODAY()),D99+ROW()/100000,"")</f>
        <v/>
      </c>
      <c r="L99" s="0" t="str">
        <f aca="true">IF(AND(ISNUMBER(C99),C99&gt;TODAY(),C99&lt;=TODAY()+30),C99+ROW()/100000,"")</f>
        <v/>
      </c>
      <c r="M99" s="0" t="str">
        <f aca="false">IF(AND(ISNUMBER(C99),ISNUMBER(D99),C99&lt;=CALENDÁRIO!$L$4,D99&gt;=CALENDÁRIO!$L$4),ROW(),"")</f>
        <v/>
      </c>
    </row>
    <row r="100" customFormat="false" ht="15" hidden="false" customHeight="true" outlineLevel="0" collapsed="false">
      <c r="A100" s="54"/>
      <c r="B100" s="54"/>
      <c r="C100" s="53"/>
      <c r="D100" s="53"/>
      <c r="E100" s="64"/>
      <c r="F100" s="65" t="str">
        <f aca="false">IF(AND(ISNUMBER(C100),ISNUMBER(D100),D100&gt;=C100),D100-C100+1,"")</f>
        <v/>
      </c>
      <c r="G100" s="66" t="str">
        <f aca="false">IF(AND(ISNUMBER(C100),ISNUMBER(D100),D100&gt;=C100),WORKDAY(D100,1),"")</f>
        <v/>
      </c>
      <c r="H100" s="55" t="str">
        <f aca="true">IF(A100="","",IF(NOT(AND(ISNUMBER(C100),ISNUMBER(D100))),"Sem data definida",IF(D100&lt;C100,"⚠ Datas invertidas",IF(TODAY()&lt;C100,IF(C100-TODAY()=1,"Começa amanhã","Começa em "&amp;(C100-TODAY())&amp;" dias"),IF(TODAY()&gt;D100,"Concluídas",IF(TODAY()=D100,"EM FÉRIAS (último dia)","EM FÉRIAS (faltam "&amp;(D100-TODAY())&amp;" dias)"))))))</f>
        <v/>
      </c>
      <c r="I100" s="55" t="str">
        <f aca="false">IF(OR(A100="",NOT(AND(ISNUMBER(C100),ISNUMBER(D100)))),"",IF(D100-C100+1&gt;30,"⚠ Período acima de 30 dias",IF(COUNTIFS($B$2:$B$301,B100,$C$2:$C$301,"&lt;="&amp;D100,$D$2:$D$301,"&gt;="&amp;C100)&gt;1,"⚠ Coincide com férias de outro do setor","")))</f>
        <v/>
      </c>
      <c r="K100" s="0" t="str">
        <f aca="true">IF(AND(ISNUMBER(C100),ISNUMBER(D100),C100&lt;=TODAY(),D100&gt;=TODAY()),D100+ROW()/100000,"")</f>
        <v/>
      </c>
      <c r="L100" s="0" t="str">
        <f aca="true">IF(AND(ISNUMBER(C100),C100&gt;TODAY(),C100&lt;=TODAY()+30),C100+ROW()/100000,"")</f>
        <v/>
      </c>
      <c r="M100" s="0" t="str">
        <f aca="false">IF(AND(ISNUMBER(C100),ISNUMBER(D100),C100&lt;=CALENDÁRIO!$L$4,D100&gt;=CALENDÁRIO!$L$4),ROW(),"")</f>
        <v/>
      </c>
    </row>
    <row r="101" customFormat="false" ht="15" hidden="false" customHeight="true" outlineLevel="0" collapsed="false">
      <c r="A101" s="54"/>
      <c r="B101" s="54"/>
      <c r="C101" s="53"/>
      <c r="D101" s="53"/>
      <c r="E101" s="64"/>
      <c r="F101" s="65" t="str">
        <f aca="false">IF(AND(ISNUMBER(C101),ISNUMBER(D101),D101&gt;=C101),D101-C101+1,"")</f>
        <v/>
      </c>
      <c r="G101" s="66" t="str">
        <f aca="false">IF(AND(ISNUMBER(C101),ISNUMBER(D101),D101&gt;=C101),WORKDAY(D101,1),"")</f>
        <v/>
      </c>
      <c r="H101" s="55" t="str">
        <f aca="true">IF(A101="","",IF(NOT(AND(ISNUMBER(C101),ISNUMBER(D101))),"Sem data definida",IF(D101&lt;C101,"⚠ Datas invertidas",IF(TODAY()&lt;C101,IF(C101-TODAY()=1,"Começa amanhã","Começa em "&amp;(C101-TODAY())&amp;" dias"),IF(TODAY()&gt;D101,"Concluídas",IF(TODAY()=D101,"EM FÉRIAS (último dia)","EM FÉRIAS (faltam "&amp;(D101-TODAY())&amp;" dias)"))))))</f>
        <v/>
      </c>
      <c r="I101" s="55" t="str">
        <f aca="false">IF(OR(A101="",NOT(AND(ISNUMBER(C101),ISNUMBER(D101)))),"",IF(D101-C101+1&gt;30,"⚠ Período acima de 30 dias",IF(COUNTIFS($B$2:$B$301,B101,$C$2:$C$301,"&lt;="&amp;D101,$D$2:$D$301,"&gt;="&amp;C101)&gt;1,"⚠ Coincide com férias de outro do setor","")))</f>
        <v/>
      </c>
      <c r="K101" s="0" t="str">
        <f aca="true">IF(AND(ISNUMBER(C101),ISNUMBER(D101),C101&lt;=TODAY(),D101&gt;=TODAY()),D101+ROW()/100000,"")</f>
        <v/>
      </c>
      <c r="L101" s="0" t="str">
        <f aca="true">IF(AND(ISNUMBER(C101),C101&gt;TODAY(),C101&lt;=TODAY()+30),C101+ROW()/100000,"")</f>
        <v/>
      </c>
      <c r="M101" s="0" t="str">
        <f aca="false">IF(AND(ISNUMBER(C101),ISNUMBER(D101),C101&lt;=CALENDÁRIO!$L$4,D101&gt;=CALENDÁRIO!$L$4),ROW(),"")</f>
        <v/>
      </c>
    </row>
    <row r="102" customFormat="false" ht="15" hidden="false" customHeight="true" outlineLevel="0" collapsed="false">
      <c r="A102" s="54"/>
      <c r="B102" s="54"/>
      <c r="C102" s="53"/>
      <c r="D102" s="53"/>
      <c r="E102" s="64"/>
      <c r="F102" s="65" t="str">
        <f aca="false">IF(AND(ISNUMBER(C102),ISNUMBER(D102),D102&gt;=C102),D102-C102+1,"")</f>
        <v/>
      </c>
      <c r="G102" s="66" t="str">
        <f aca="false">IF(AND(ISNUMBER(C102),ISNUMBER(D102),D102&gt;=C102),WORKDAY(D102,1),"")</f>
        <v/>
      </c>
      <c r="H102" s="55" t="str">
        <f aca="true">IF(A102="","",IF(NOT(AND(ISNUMBER(C102),ISNUMBER(D102))),"Sem data definida",IF(D102&lt;C102,"⚠ Datas invertidas",IF(TODAY()&lt;C102,IF(C102-TODAY()=1,"Começa amanhã","Começa em "&amp;(C102-TODAY())&amp;" dias"),IF(TODAY()&gt;D102,"Concluídas",IF(TODAY()=D102,"EM FÉRIAS (último dia)","EM FÉRIAS (faltam "&amp;(D102-TODAY())&amp;" dias)"))))))</f>
        <v/>
      </c>
      <c r="I102" s="55" t="str">
        <f aca="false">IF(OR(A102="",NOT(AND(ISNUMBER(C102),ISNUMBER(D102)))),"",IF(D102-C102+1&gt;30,"⚠ Período acima de 30 dias",IF(COUNTIFS($B$2:$B$301,B102,$C$2:$C$301,"&lt;="&amp;D102,$D$2:$D$301,"&gt;="&amp;C102)&gt;1,"⚠ Coincide com férias de outro do setor","")))</f>
        <v/>
      </c>
      <c r="K102" s="0" t="str">
        <f aca="true">IF(AND(ISNUMBER(C102),ISNUMBER(D102),C102&lt;=TODAY(),D102&gt;=TODAY()),D102+ROW()/100000,"")</f>
        <v/>
      </c>
      <c r="L102" s="0" t="str">
        <f aca="true">IF(AND(ISNUMBER(C102),C102&gt;TODAY(),C102&lt;=TODAY()+30),C102+ROW()/100000,"")</f>
        <v/>
      </c>
      <c r="M102" s="0" t="str">
        <f aca="false">IF(AND(ISNUMBER(C102),ISNUMBER(D102),C102&lt;=CALENDÁRIO!$L$4,D102&gt;=CALENDÁRIO!$L$4),ROW(),"")</f>
        <v/>
      </c>
    </row>
    <row r="103" customFormat="false" ht="15" hidden="false" customHeight="true" outlineLevel="0" collapsed="false">
      <c r="A103" s="54"/>
      <c r="B103" s="54"/>
      <c r="C103" s="53"/>
      <c r="D103" s="53"/>
      <c r="E103" s="64"/>
      <c r="F103" s="65" t="str">
        <f aca="false">IF(AND(ISNUMBER(C103),ISNUMBER(D103),D103&gt;=C103),D103-C103+1,"")</f>
        <v/>
      </c>
      <c r="G103" s="66" t="str">
        <f aca="false">IF(AND(ISNUMBER(C103),ISNUMBER(D103),D103&gt;=C103),WORKDAY(D103,1),"")</f>
        <v/>
      </c>
      <c r="H103" s="55" t="str">
        <f aca="true">IF(A103="","",IF(NOT(AND(ISNUMBER(C103),ISNUMBER(D103))),"Sem data definida",IF(D103&lt;C103,"⚠ Datas invertidas",IF(TODAY()&lt;C103,IF(C103-TODAY()=1,"Começa amanhã","Começa em "&amp;(C103-TODAY())&amp;" dias"),IF(TODAY()&gt;D103,"Concluídas",IF(TODAY()=D103,"EM FÉRIAS (último dia)","EM FÉRIAS (faltam "&amp;(D103-TODAY())&amp;" dias)"))))))</f>
        <v/>
      </c>
      <c r="I103" s="55" t="str">
        <f aca="false">IF(OR(A103="",NOT(AND(ISNUMBER(C103),ISNUMBER(D103)))),"",IF(D103-C103+1&gt;30,"⚠ Período acima de 30 dias",IF(COUNTIFS($B$2:$B$301,B103,$C$2:$C$301,"&lt;="&amp;D103,$D$2:$D$301,"&gt;="&amp;C103)&gt;1,"⚠ Coincide com férias de outro do setor","")))</f>
        <v/>
      </c>
      <c r="K103" s="0" t="str">
        <f aca="true">IF(AND(ISNUMBER(C103),ISNUMBER(D103),C103&lt;=TODAY(),D103&gt;=TODAY()),D103+ROW()/100000,"")</f>
        <v/>
      </c>
      <c r="L103" s="0" t="str">
        <f aca="true">IF(AND(ISNUMBER(C103),C103&gt;TODAY(),C103&lt;=TODAY()+30),C103+ROW()/100000,"")</f>
        <v/>
      </c>
      <c r="M103" s="0" t="str">
        <f aca="false">IF(AND(ISNUMBER(C103),ISNUMBER(D103),C103&lt;=CALENDÁRIO!$L$4,D103&gt;=CALENDÁRIO!$L$4),ROW(),"")</f>
        <v/>
      </c>
    </row>
    <row r="104" customFormat="false" ht="15" hidden="false" customHeight="true" outlineLevel="0" collapsed="false">
      <c r="A104" s="54"/>
      <c r="B104" s="54"/>
      <c r="C104" s="53"/>
      <c r="D104" s="53"/>
      <c r="E104" s="64"/>
      <c r="F104" s="65" t="str">
        <f aca="false">IF(AND(ISNUMBER(C104),ISNUMBER(D104),D104&gt;=C104),D104-C104+1,"")</f>
        <v/>
      </c>
      <c r="G104" s="66" t="str">
        <f aca="false">IF(AND(ISNUMBER(C104),ISNUMBER(D104),D104&gt;=C104),WORKDAY(D104,1),"")</f>
        <v/>
      </c>
      <c r="H104" s="55" t="str">
        <f aca="true">IF(A104="","",IF(NOT(AND(ISNUMBER(C104),ISNUMBER(D104))),"Sem data definida",IF(D104&lt;C104,"⚠ Datas invertidas",IF(TODAY()&lt;C104,IF(C104-TODAY()=1,"Começa amanhã","Começa em "&amp;(C104-TODAY())&amp;" dias"),IF(TODAY()&gt;D104,"Concluídas",IF(TODAY()=D104,"EM FÉRIAS (último dia)","EM FÉRIAS (faltam "&amp;(D104-TODAY())&amp;" dias)"))))))</f>
        <v/>
      </c>
      <c r="I104" s="55" t="str">
        <f aca="false">IF(OR(A104="",NOT(AND(ISNUMBER(C104),ISNUMBER(D104)))),"",IF(D104-C104+1&gt;30,"⚠ Período acima de 30 dias",IF(COUNTIFS($B$2:$B$301,B104,$C$2:$C$301,"&lt;="&amp;D104,$D$2:$D$301,"&gt;="&amp;C104)&gt;1,"⚠ Coincide com férias de outro do setor","")))</f>
        <v/>
      </c>
      <c r="K104" s="0" t="str">
        <f aca="true">IF(AND(ISNUMBER(C104),ISNUMBER(D104),C104&lt;=TODAY(),D104&gt;=TODAY()),D104+ROW()/100000,"")</f>
        <v/>
      </c>
      <c r="L104" s="0" t="str">
        <f aca="true">IF(AND(ISNUMBER(C104),C104&gt;TODAY(),C104&lt;=TODAY()+30),C104+ROW()/100000,"")</f>
        <v/>
      </c>
      <c r="M104" s="0" t="str">
        <f aca="false">IF(AND(ISNUMBER(C104),ISNUMBER(D104),C104&lt;=CALENDÁRIO!$L$4,D104&gt;=CALENDÁRIO!$L$4),ROW(),"")</f>
        <v/>
      </c>
    </row>
    <row r="105" customFormat="false" ht="15" hidden="false" customHeight="true" outlineLevel="0" collapsed="false">
      <c r="A105" s="54"/>
      <c r="B105" s="54"/>
      <c r="C105" s="53"/>
      <c r="D105" s="53"/>
      <c r="E105" s="64"/>
      <c r="F105" s="65" t="str">
        <f aca="false">IF(AND(ISNUMBER(C105),ISNUMBER(D105),D105&gt;=C105),D105-C105+1,"")</f>
        <v/>
      </c>
      <c r="G105" s="66" t="str">
        <f aca="false">IF(AND(ISNUMBER(C105),ISNUMBER(D105),D105&gt;=C105),WORKDAY(D105,1),"")</f>
        <v/>
      </c>
      <c r="H105" s="55" t="str">
        <f aca="true">IF(A105="","",IF(NOT(AND(ISNUMBER(C105),ISNUMBER(D105))),"Sem data definida",IF(D105&lt;C105,"⚠ Datas invertidas",IF(TODAY()&lt;C105,IF(C105-TODAY()=1,"Começa amanhã","Começa em "&amp;(C105-TODAY())&amp;" dias"),IF(TODAY()&gt;D105,"Concluídas",IF(TODAY()=D105,"EM FÉRIAS (último dia)","EM FÉRIAS (faltam "&amp;(D105-TODAY())&amp;" dias)"))))))</f>
        <v/>
      </c>
      <c r="I105" s="55" t="str">
        <f aca="false">IF(OR(A105="",NOT(AND(ISNUMBER(C105),ISNUMBER(D105)))),"",IF(D105-C105+1&gt;30,"⚠ Período acima de 30 dias",IF(COUNTIFS($B$2:$B$301,B105,$C$2:$C$301,"&lt;="&amp;D105,$D$2:$D$301,"&gt;="&amp;C105)&gt;1,"⚠ Coincide com férias de outro do setor","")))</f>
        <v/>
      </c>
      <c r="K105" s="0" t="str">
        <f aca="true">IF(AND(ISNUMBER(C105),ISNUMBER(D105),C105&lt;=TODAY(),D105&gt;=TODAY()),D105+ROW()/100000,"")</f>
        <v/>
      </c>
      <c r="L105" s="0" t="str">
        <f aca="true">IF(AND(ISNUMBER(C105),C105&gt;TODAY(),C105&lt;=TODAY()+30),C105+ROW()/100000,"")</f>
        <v/>
      </c>
      <c r="M105" s="0" t="str">
        <f aca="false">IF(AND(ISNUMBER(C105),ISNUMBER(D105),C105&lt;=CALENDÁRIO!$L$4,D105&gt;=CALENDÁRIO!$L$4),ROW(),"")</f>
        <v/>
      </c>
    </row>
    <row r="106" customFormat="false" ht="15" hidden="false" customHeight="true" outlineLevel="0" collapsed="false">
      <c r="A106" s="54"/>
      <c r="B106" s="54"/>
      <c r="C106" s="53"/>
      <c r="D106" s="53"/>
      <c r="E106" s="64"/>
      <c r="F106" s="65" t="str">
        <f aca="false">IF(AND(ISNUMBER(C106),ISNUMBER(D106),D106&gt;=C106),D106-C106+1,"")</f>
        <v/>
      </c>
      <c r="G106" s="66" t="str">
        <f aca="false">IF(AND(ISNUMBER(C106),ISNUMBER(D106),D106&gt;=C106),WORKDAY(D106,1),"")</f>
        <v/>
      </c>
      <c r="H106" s="55" t="str">
        <f aca="true">IF(A106="","",IF(NOT(AND(ISNUMBER(C106),ISNUMBER(D106))),"Sem data definida",IF(D106&lt;C106,"⚠ Datas invertidas",IF(TODAY()&lt;C106,IF(C106-TODAY()=1,"Começa amanhã","Começa em "&amp;(C106-TODAY())&amp;" dias"),IF(TODAY()&gt;D106,"Concluídas",IF(TODAY()=D106,"EM FÉRIAS (último dia)","EM FÉRIAS (faltam "&amp;(D106-TODAY())&amp;" dias)"))))))</f>
        <v/>
      </c>
      <c r="I106" s="55" t="str">
        <f aca="false">IF(OR(A106="",NOT(AND(ISNUMBER(C106),ISNUMBER(D106)))),"",IF(D106-C106+1&gt;30,"⚠ Período acima de 30 dias",IF(COUNTIFS($B$2:$B$301,B106,$C$2:$C$301,"&lt;="&amp;D106,$D$2:$D$301,"&gt;="&amp;C106)&gt;1,"⚠ Coincide com férias de outro do setor","")))</f>
        <v/>
      </c>
      <c r="K106" s="0" t="str">
        <f aca="true">IF(AND(ISNUMBER(C106),ISNUMBER(D106),C106&lt;=TODAY(),D106&gt;=TODAY()),D106+ROW()/100000,"")</f>
        <v/>
      </c>
      <c r="L106" s="0" t="str">
        <f aca="true">IF(AND(ISNUMBER(C106),C106&gt;TODAY(),C106&lt;=TODAY()+30),C106+ROW()/100000,"")</f>
        <v/>
      </c>
      <c r="M106" s="0" t="str">
        <f aca="false">IF(AND(ISNUMBER(C106),ISNUMBER(D106),C106&lt;=CALENDÁRIO!$L$4,D106&gt;=CALENDÁRIO!$L$4),ROW(),"")</f>
        <v/>
      </c>
    </row>
    <row r="107" customFormat="false" ht="15" hidden="false" customHeight="true" outlineLevel="0" collapsed="false">
      <c r="A107" s="54"/>
      <c r="B107" s="54"/>
      <c r="C107" s="53"/>
      <c r="D107" s="53"/>
      <c r="E107" s="64"/>
      <c r="F107" s="65" t="str">
        <f aca="false">IF(AND(ISNUMBER(C107),ISNUMBER(D107),D107&gt;=C107),D107-C107+1,"")</f>
        <v/>
      </c>
      <c r="G107" s="66" t="str">
        <f aca="false">IF(AND(ISNUMBER(C107),ISNUMBER(D107),D107&gt;=C107),WORKDAY(D107,1),"")</f>
        <v/>
      </c>
      <c r="H107" s="55" t="str">
        <f aca="true">IF(A107="","",IF(NOT(AND(ISNUMBER(C107),ISNUMBER(D107))),"Sem data definida",IF(D107&lt;C107,"⚠ Datas invertidas",IF(TODAY()&lt;C107,IF(C107-TODAY()=1,"Começa amanhã","Começa em "&amp;(C107-TODAY())&amp;" dias"),IF(TODAY()&gt;D107,"Concluídas",IF(TODAY()=D107,"EM FÉRIAS (último dia)","EM FÉRIAS (faltam "&amp;(D107-TODAY())&amp;" dias)"))))))</f>
        <v/>
      </c>
      <c r="I107" s="55" t="str">
        <f aca="false">IF(OR(A107="",NOT(AND(ISNUMBER(C107),ISNUMBER(D107)))),"",IF(D107-C107+1&gt;30,"⚠ Período acima de 30 dias",IF(COUNTIFS($B$2:$B$301,B107,$C$2:$C$301,"&lt;="&amp;D107,$D$2:$D$301,"&gt;="&amp;C107)&gt;1,"⚠ Coincide com férias de outro do setor","")))</f>
        <v/>
      </c>
      <c r="K107" s="0" t="str">
        <f aca="true">IF(AND(ISNUMBER(C107),ISNUMBER(D107),C107&lt;=TODAY(),D107&gt;=TODAY()),D107+ROW()/100000,"")</f>
        <v/>
      </c>
      <c r="L107" s="0" t="str">
        <f aca="true">IF(AND(ISNUMBER(C107),C107&gt;TODAY(),C107&lt;=TODAY()+30),C107+ROW()/100000,"")</f>
        <v/>
      </c>
      <c r="M107" s="0" t="str">
        <f aca="false">IF(AND(ISNUMBER(C107),ISNUMBER(D107),C107&lt;=CALENDÁRIO!$L$4,D107&gt;=CALENDÁRIO!$L$4),ROW(),"")</f>
        <v/>
      </c>
    </row>
    <row r="108" customFormat="false" ht="15" hidden="false" customHeight="true" outlineLevel="0" collapsed="false">
      <c r="A108" s="54"/>
      <c r="B108" s="54"/>
      <c r="C108" s="53"/>
      <c r="D108" s="53"/>
      <c r="E108" s="64"/>
      <c r="F108" s="65" t="str">
        <f aca="false">IF(AND(ISNUMBER(C108),ISNUMBER(D108),D108&gt;=C108),D108-C108+1,"")</f>
        <v/>
      </c>
      <c r="G108" s="66" t="str">
        <f aca="false">IF(AND(ISNUMBER(C108),ISNUMBER(D108),D108&gt;=C108),WORKDAY(D108,1),"")</f>
        <v/>
      </c>
      <c r="H108" s="55" t="str">
        <f aca="true">IF(A108="","",IF(NOT(AND(ISNUMBER(C108),ISNUMBER(D108))),"Sem data definida",IF(D108&lt;C108,"⚠ Datas invertidas",IF(TODAY()&lt;C108,IF(C108-TODAY()=1,"Começa amanhã","Começa em "&amp;(C108-TODAY())&amp;" dias"),IF(TODAY()&gt;D108,"Concluídas",IF(TODAY()=D108,"EM FÉRIAS (último dia)","EM FÉRIAS (faltam "&amp;(D108-TODAY())&amp;" dias)"))))))</f>
        <v/>
      </c>
      <c r="I108" s="55" t="str">
        <f aca="false">IF(OR(A108="",NOT(AND(ISNUMBER(C108),ISNUMBER(D108)))),"",IF(D108-C108+1&gt;30,"⚠ Período acima de 30 dias",IF(COUNTIFS($B$2:$B$301,B108,$C$2:$C$301,"&lt;="&amp;D108,$D$2:$D$301,"&gt;="&amp;C108)&gt;1,"⚠ Coincide com férias de outro do setor","")))</f>
        <v/>
      </c>
      <c r="K108" s="0" t="str">
        <f aca="true">IF(AND(ISNUMBER(C108),ISNUMBER(D108),C108&lt;=TODAY(),D108&gt;=TODAY()),D108+ROW()/100000,"")</f>
        <v/>
      </c>
      <c r="L108" s="0" t="str">
        <f aca="true">IF(AND(ISNUMBER(C108),C108&gt;TODAY(),C108&lt;=TODAY()+30),C108+ROW()/100000,"")</f>
        <v/>
      </c>
      <c r="M108" s="0" t="str">
        <f aca="false">IF(AND(ISNUMBER(C108),ISNUMBER(D108),C108&lt;=CALENDÁRIO!$L$4,D108&gt;=CALENDÁRIO!$L$4),ROW(),"")</f>
        <v/>
      </c>
    </row>
    <row r="109" customFormat="false" ht="15" hidden="false" customHeight="true" outlineLevel="0" collapsed="false">
      <c r="A109" s="54"/>
      <c r="B109" s="54"/>
      <c r="C109" s="53"/>
      <c r="D109" s="53"/>
      <c r="E109" s="64"/>
      <c r="F109" s="65" t="str">
        <f aca="false">IF(AND(ISNUMBER(C109),ISNUMBER(D109),D109&gt;=C109),D109-C109+1,"")</f>
        <v/>
      </c>
      <c r="G109" s="66" t="str">
        <f aca="false">IF(AND(ISNUMBER(C109),ISNUMBER(D109),D109&gt;=C109),WORKDAY(D109,1),"")</f>
        <v/>
      </c>
      <c r="H109" s="55" t="str">
        <f aca="true">IF(A109="","",IF(NOT(AND(ISNUMBER(C109),ISNUMBER(D109))),"Sem data definida",IF(D109&lt;C109,"⚠ Datas invertidas",IF(TODAY()&lt;C109,IF(C109-TODAY()=1,"Começa amanhã","Começa em "&amp;(C109-TODAY())&amp;" dias"),IF(TODAY()&gt;D109,"Concluídas",IF(TODAY()=D109,"EM FÉRIAS (último dia)","EM FÉRIAS (faltam "&amp;(D109-TODAY())&amp;" dias)"))))))</f>
        <v/>
      </c>
      <c r="I109" s="55" t="str">
        <f aca="false">IF(OR(A109="",NOT(AND(ISNUMBER(C109),ISNUMBER(D109)))),"",IF(D109-C109+1&gt;30,"⚠ Período acima de 30 dias",IF(COUNTIFS($B$2:$B$301,B109,$C$2:$C$301,"&lt;="&amp;D109,$D$2:$D$301,"&gt;="&amp;C109)&gt;1,"⚠ Coincide com férias de outro do setor","")))</f>
        <v/>
      </c>
      <c r="K109" s="0" t="str">
        <f aca="true">IF(AND(ISNUMBER(C109),ISNUMBER(D109),C109&lt;=TODAY(),D109&gt;=TODAY()),D109+ROW()/100000,"")</f>
        <v/>
      </c>
      <c r="L109" s="0" t="str">
        <f aca="true">IF(AND(ISNUMBER(C109),C109&gt;TODAY(),C109&lt;=TODAY()+30),C109+ROW()/100000,"")</f>
        <v/>
      </c>
      <c r="M109" s="0" t="str">
        <f aca="false">IF(AND(ISNUMBER(C109),ISNUMBER(D109),C109&lt;=CALENDÁRIO!$L$4,D109&gt;=CALENDÁRIO!$L$4),ROW(),"")</f>
        <v/>
      </c>
    </row>
    <row r="110" customFormat="false" ht="15" hidden="false" customHeight="true" outlineLevel="0" collapsed="false">
      <c r="A110" s="54"/>
      <c r="B110" s="54"/>
      <c r="C110" s="53"/>
      <c r="D110" s="53"/>
      <c r="E110" s="64"/>
      <c r="F110" s="65" t="str">
        <f aca="false">IF(AND(ISNUMBER(C110),ISNUMBER(D110),D110&gt;=C110),D110-C110+1,"")</f>
        <v/>
      </c>
      <c r="G110" s="66" t="str">
        <f aca="false">IF(AND(ISNUMBER(C110),ISNUMBER(D110),D110&gt;=C110),WORKDAY(D110,1),"")</f>
        <v/>
      </c>
      <c r="H110" s="55" t="str">
        <f aca="true">IF(A110="","",IF(NOT(AND(ISNUMBER(C110),ISNUMBER(D110))),"Sem data definida",IF(D110&lt;C110,"⚠ Datas invertidas",IF(TODAY()&lt;C110,IF(C110-TODAY()=1,"Começa amanhã","Começa em "&amp;(C110-TODAY())&amp;" dias"),IF(TODAY()&gt;D110,"Concluídas",IF(TODAY()=D110,"EM FÉRIAS (último dia)","EM FÉRIAS (faltam "&amp;(D110-TODAY())&amp;" dias)"))))))</f>
        <v/>
      </c>
      <c r="I110" s="55" t="str">
        <f aca="false">IF(OR(A110="",NOT(AND(ISNUMBER(C110),ISNUMBER(D110)))),"",IF(D110-C110+1&gt;30,"⚠ Período acima de 30 dias",IF(COUNTIFS($B$2:$B$301,B110,$C$2:$C$301,"&lt;="&amp;D110,$D$2:$D$301,"&gt;="&amp;C110)&gt;1,"⚠ Coincide com férias de outro do setor","")))</f>
        <v/>
      </c>
      <c r="K110" s="0" t="str">
        <f aca="true">IF(AND(ISNUMBER(C110),ISNUMBER(D110),C110&lt;=TODAY(),D110&gt;=TODAY()),D110+ROW()/100000,"")</f>
        <v/>
      </c>
      <c r="L110" s="0" t="str">
        <f aca="true">IF(AND(ISNUMBER(C110),C110&gt;TODAY(),C110&lt;=TODAY()+30),C110+ROW()/100000,"")</f>
        <v/>
      </c>
      <c r="M110" s="0" t="str">
        <f aca="false">IF(AND(ISNUMBER(C110),ISNUMBER(D110),C110&lt;=CALENDÁRIO!$L$4,D110&gt;=CALENDÁRIO!$L$4),ROW(),"")</f>
        <v/>
      </c>
    </row>
    <row r="111" customFormat="false" ht="15" hidden="false" customHeight="true" outlineLevel="0" collapsed="false">
      <c r="A111" s="54"/>
      <c r="B111" s="54"/>
      <c r="C111" s="53"/>
      <c r="D111" s="53"/>
      <c r="E111" s="64"/>
      <c r="F111" s="65" t="str">
        <f aca="false">IF(AND(ISNUMBER(C111),ISNUMBER(D111),D111&gt;=C111),D111-C111+1,"")</f>
        <v/>
      </c>
      <c r="G111" s="66" t="str">
        <f aca="false">IF(AND(ISNUMBER(C111),ISNUMBER(D111),D111&gt;=C111),WORKDAY(D111,1),"")</f>
        <v/>
      </c>
      <c r="H111" s="55" t="str">
        <f aca="true">IF(A111="","",IF(NOT(AND(ISNUMBER(C111),ISNUMBER(D111))),"Sem data definida",IF(D111&lt;C111,"⚠ Datas invertidas",IF(TODAY()&lt;C111,IF(C111-TODAY()=1,"Começa amanhã","Começa em "&amp;(C111-TODAY())&amp;" dias"),IF(TODAY()&gt;D111,"Concluídas",IF(TODAY()=D111,"EM FÉRIAS (último dia)","EM FÉRIAS (faltam "&amp;(D111-TODAY())&amp;" dias)"))))))</f>
        <v/>
      </c>
      <c r="I111" s="55" t="str">
        <f aca="false">IF(OR(A111="",NOT(AND(ISNUMBER(C111),ISNUMBER(D111)))),"",IF(D111-C111+1&gt;30,"⚠ Período acima de 30 dias",IF(COUNTIFS($B$2:$B$301,B111,$C$2:$C$301,"&lt;="&amp;D111,$D$2:$D$301,"&gt;="&amp;C111)&gt;1,"⚠ Coincide com férias de outro do setor","")))</f>
        <v/>
      </c>
      <c r="K111" s="0" t="str">
        <f aca="true">IF(AND(ISNUMBER(C111),ISNUMBER(D111),C111&lt;=TODAY(),D111&gt;=TODAY()),D111+ROW()/100000,"")</f>
        <v/>
      </c>
      <c r="L111" s="0" t="str">
        <f aca="true">IF(AND(ISNUMBER(C111),C111&gt;TODAY(),C111&lt;=TODAY()+30),C111+ROW()/100000,"")</f>
        <v/>
      </c>
      <c r="M111" s="0" t="str">
        <f aca="false">IF(AND(ISNUMBER(C111),ISNUMBER(D111),C111&lt;=CALENDÁRIO!$L$4,D111&gt;=CALENDÁRIO!$L$4),ROW(),"")</f>
        <v/>
      </c>
    </row>
    <row r="112" customFormat="false" ht="15" hidden="false" customHeight="true" outlineLevel="0" collapsed="false">
      <c r="A112" s="54"/>
      <c r="B112" s="54"/>
      <c r="C112" s="53"/>
      <c r="D112" s="53"/>
      <c r="E112" s="64"/>
      <c r="F112" s="65" t="str">
        <f aca="false">IF(AND(ISNUMBER(C112),ISNUMBER(D112),D112&gt;=C112),D112-C112+1,"")</f>
        <v/>
      </c>
      <c r="G112" s="66" t="str">
        <f aca="false">IF(AND(ISNUMBER(C112),ISNUMBER(D112),D112&gt;=C112),WORKDAY(D112,1),"")</f>
        <v/>
      </c>
      <c r="H112" s="55" t="str">
        <f aca="true">IF(A112="","",IF(NOT(AND(ISNUMBER(C112),ISNUMBER(D112))),"Sem data definida",IF(D112&lt;C112,"⚠ Datas invertidas",IF(TODAY()&lt;C112,IF(C112-TODAY()=1,"Começa amanhã","Começa em "&amp;(C112-TODAY())&amp;" dias"),IF(TODAY()&gt;D112,"Concluídas",IF(TODAY()=D112,"EM FÉRIAS (último dia)","EM FÉRIAS (faltam "&amp;(D112-TODAY())&amp;" dias)"))))))</f>
        <v/>
      </c>
      <c r="I112" s="55" t="str">
        <f aca="false">IF(OR(A112="",NOT(AND(ISNUMBER(C112),ISNUMBER(D112)))),"",IF(D112-C112+1&gt;30,"⚠ Período acima de 30 dias",IF(COUNTIFS($B$2:$B$301,B112,$C$2:$C$301,"&lt;="&amp;D112,$D$2:$D$301,"&gt;="&amp;C112)&gt;1,"⚠ Coincide com férias de outro do setor","")))</f>
        <v/>
      </c>
      <c r="K112" s="0" t="str">
        <f aca="true">IF(AND(ISNUMBER(C112),ISNUMBER(D112),C112&lt;=TODAY(),D112&gt;=TODAY()),D112+ROW()/100000,"")</f>
        <v/>
      </c>
      <c r="L112" s="0" t="str">
        <f aca="true">IF(AND(ISNUMBER(C112),C112&gt;TODAY(),C112&lt;=TODAY()+30),C112+ROW()/100000,"")</f>
        <v/>
      </c>
      <c r="M112" s="0" t="str">
        <f aca="false">IF(AND(ISNUMBER(C112),ISNUMBER(D112),C112&lt;=CALENDÁRIO!$L$4,D112&gt;=CALENDÁRIO!$L$4),ROW(),"")</f>
        <v/>
      </c>
    </row>
    <row r="113" customFormat="false" ht="15" hidden="false" customHeight="true" outlineLevel="0" collapsed="false">
      <c r="A113" s="54"/>
      <c r="B113" s="54"/>
      <c r="C113" s="53"/>
      <c r="D113" s="53"/>
      <c r="E113" s="64"/>
      <c r="F113" s="65" t="str">
        <f aca="false">IF(AND(ISNUMBER(C113),ISNUMBER(D113),D113&gt;=C113),D113-C113+1,"")</f>
        <v/>
      </c>
      <c r="G113" s="66" t="str">
        <f aca="false">IF(AND(ISNUMBER(C113),ISNUMBER(D113),D113&gt;=C113),WORKDAY(D113,1),"")</f>
        <v/>
      </c>
      <c r="H113" s="55" t="str">
        <f aca="true">IF(A113="","",IF(NOT(AND(ISNUMBER(C113),ISNUMBER(D113))),"Sem data definida",IF(D113&lt;C113,"⚠ Datas invertidas",IF(TODAY()&lt;C113,IF(C113-TODAY()=1,"Começa amanhã","Começa em "&amp;(C113-TODAY())&amp;" dias"),IF(TODAY()&gt;D113,"Concluídas",IF(TODAY()=D113,"EM FÉRIAS (último dia)","EM FÉRIAS (faltam "&amp;(D113-TODAY())&amp;" dias)"))))))</f>
        <v/>
      </c>
      <c r="I113" s="55" t="str">
        <f aca="false">IF(OR(A113="",NOT(AND(ISNUMBER(C113),ISNUMBER(D113)))),"",IF(D113-C113+1&gt;30,"⚠ Período acima de 30 dias",IF(COUNTIFS($B$2:$B$301,B113,$C$2:$C$301,"&lt;="&amp;D113,$D$2:$D$301,"&gt;="&amp;C113)&gt;1,"⚠ Coincide com férias de outro do setor","")))</f>
        <v/>
      </c>
      <c r="K113" s="0" t="str">
        <f aca="true">IF(AND(ISNUMBER(C113),ISNUMBER(D113),C113&lt;=TODAY(),D113&gt;=TODAY()),D113+ROW()/100000,"")</f>
        <v/>
      </c>
      <c r="L113" s="0" t="str">
        <f aca="true">IF(AND(ISNUMBER(C113),C113&gt;TODAY(),C113&lt;=TODAY()+30),C113+ROW()/100000,"")</f>
        <v/>
      </c>
      <c r="M113" s="0" t="str">
        <f aca="false">IF(AND(ISNUMBER(C113),ISNUMBER(D113),C113&lt;=CALENDÁRIO!$L$4,D113&gt;=CALENDÁRIO!$L$4),ROW(),"")</f>
        <v/>
      </c>
    </row>
    <row r="114" customFormat="false" ht="15" hidden="false" customHeight="true" outlineLevel="0" collapsed="false">
      <c r="A114" s="54"/>
      <c r="B114" s="54"/>
      <c r="C114" s="53"/>
      <c r="D114" s="53"/>
      <c r="E114" s="64"/>
      <c r="F114" s="65" t="str">
        <f aca="false">IF(AND(ISNUMBER(C114),ISNUMBER(D114),D114&gt;=C114),D114-C114+1,"")</f>
        <v/>
      </c>
      <c r="G114" s="66" t="str">
        <f aca="false">IF(AND(ISNUMBER(C114),ISNUMBER(D114),D114&gt;=C114),WORKDAY(D114,1),"")</f>
        <v/>
      </c>
      <c r="H114" s="55" t="str">
        <f aca="true">IF(A114="","",IF(NOT(AND(ISNUMBER(C114),ISNUMBER(D114))),"Sem data definida",IF(D114&lt;C114,"⚠ Datas invertidas",IF(TODAY()&lt;C114,IF(C114-TODAY()=1,"Começa amanhã","Começa em "&amp;(C114-TODAY())&amp;" dias"),IF(TODAY()&gt;D114,"Concluídas",IF(TODAY()=D114,"EM FÉRIAS (último dia)","EM FÉRIAS (faltam "&amp;(D114-TODAY())&amp;" dias)"))))))</f>
        <v/>
      </c>
      <c r="I114" s="55" t="str">
        <f aca="false">IF(OR(A114="",NOT(AND(ISNUMBER(C114),ISNUMBER(D114)))),"",IF(D114-C114+1&gt;30,"⚠ Período acima de 30 dias",IF(COUNTIFS($B$2:$B$301,B114,$C$2:$C$301,"&lt;="&amp;D114,$D$2:$D$301,"&gt;="&amp;C114)&gt;1,"⚠ Coincide com férias de outro do setor","")))</f>
        <v/>
      </c>
      <c r="K114" s="0" t="str">
        <f aca="true">IF(AND(ISNUMBER(C114),ISNUMBER(D114),C114&lt;=TODAY(),D114&gt;=TODAY()),D114+ROW()/100000,"")</f>
        <v/>
      </c>
      <c r="L114" s="0" t="str">
        <f aca="true">IF(AND(ISNUMBER(C114),C114&gt;TODAY(),C114&lt;=TODAY()+30),C114+ROW()/100000,"")</f>
        <v/>
      </c>
      <c r="M114" s="0" t="str">
        <f aca="false">IF(AND(ISNUMBER(C114),ISNUMBER(D114),C114&lt;=CALENDÁRIO!$L$4,D114&gt;=CALENDÁRIO!$L$4),ROW(),"")</f>
        <v/>
      </c>
    </row>
    <row r="115" customFormat="false" ht="15" hidden="false" customHeight="true" outlineLevel="0" collapsed="false">
      <c r="A115" s="54"/>
      <c r="B115" s="54"/>
      <c r="C115" s="53"/>
      <c r="D115" s="53"/>
      <c r="E115" s="64"/>
      <c r="F115" s="65" t="str">
        <f aca="false">IF(AND(ISNUMBER(C115),ISNUMBER(D115),D115&gt;=C115),D115-C115+1,"")</f>
        <v/>
      </c>
      <c r="G115" s="66" t="str">
        <f aca="false">IF(AND(ISNUMBER(C115),ISNUMBER(D115),D115&gt;=C115),WORKDAY(D115,1),"")</f>
        <v/>
      </c>
      <c r="H115" s="55" t="str">
        <f aca="true">IF(A115="","",IF(NOT(AND(ISNUMBER(C115),ISNUMBER(D115))),"Sem data definida",IF(D115&lt;C115,"⚠ Datas invertidas",IF(TODAY()&lt;C115,IF(C115-TODAY()=1,"Começa amanhã","Começa em "&amp;(C115-TODAY())&amp;" dias"),IF(TODAY()&gt;D115,"Concluídas",IF(TODAY()=D115,"EM FÉRIAS (último dia)","EM FÉRIAS (faltam "&amp;(D115-TODAY())&amp;" dias)"))))))</f>
        <v/>
      </c>
      <c r="I115" s="55" t="str">
        <f aca="false">IF(OR(A115="",NOT(AND(ISNUMBER(C115),ISNUMBER(D115)))),"",IF(D115-C115+1&gt;30,"⚠ Período acima de 30 dias",IF(COUNTIFS($B$2:$B$301,B115,$C$2:$C$301,"&lt;="&amp;D115,$D$2:$D$301,"&gt;="&amp;C115)&gt;1,"⚠ Coincide com férias de outro do setor","")))</f>
        <v/>
      </c>
      <c r="K115" s="0" t="str">
        <f aca="true">IF(AND(ISNUMBER(C115),ISNUMBER(D115),C115&lt;=TODAY(),D115&gt;=TODAY()),D115+ROW()/100000,"")</f>
        <v/>
      </c>
      <c r="L115" s="0" t="str">
        <f aca="true">IF(AND(ISNUMBER(C115),C115&gt;TODAY(),C115&lt;=TODAY()+30),C115+ROW()/100000,"")</f>
        <v/>
      </c>
      <c r="M115" s="0" t="str">
        <f aca="false">IF(AND(ISNUMBER(C115),ISNUMBER(D115),C115&lt;=CALENDÁRIO!$L$4,D115&gt;=CALENDÁRIO!$L$4),ROW(),"")</f>
        <v/>
      </c>
    </row>
    <row r="116" customFormat="false" ht="15" hidden="false" customHeight="true" outlineLevel="0" collapsed="false">
      <c r="A116" s="54"/>
      <c r="B116" s="54"/>
      <c r="C116" s="53"/>
      <c r="D116" s="53"/>
      <c r="E116" s="64"/>
      <c r="F116" s="65" t="str">
        <f aca="false">IF(AND(ISNUMBER(C116),ISNUMBER(D116),D116&gt;=C116),D116-C116+1,"")</f>
        <v/>
      </c>
      <c r="G116" s="66" t="str">
        <f aca="false">IF(AND(ISNUMBER(C116),ISNUMBER(D116),D116&gt;=C116),WORKDAY(D116,1),"")</f>
        <v/>
      </c>
      <c r="H116" s="55" t="str">
        <f aca="true">IF(A116="","",IF(NOT(AND(ISNUMBER(C116),ISNUMBER(D116))),"Sem data definida",IF(D116&lt;C116,"⚠ Datas invertidas",IF(TODAY()&lt;C116,IF(C116-TODAY()=1,"Começa amanhã","Começa em "&amp;(C116-TODAY())&amp;" dias"),IF(TODAY()&gt;D116,"Concluídas",IF(TODAY()=D116,"EM FÉRIAS (último dia)","EM FÉRIAS (faltam "&amp;(D116-TODAY())&amp;" dias)"))))))</f>
        <v/>
      </c>
      <c r="I116" s="55" t="str">
        <f aca="false">IF(OR(A116="",NOT(AND(ISNUMBER(C116),ISNUMBER(D116)))),"",IF(D116-C116+1&gt;30,"⚠ Período acima de 30 dias",IF(COUNTIFS($B$2:$B$301,B116,$C$2:$C$301,"&lt;="&amp;D116,$D$2:$D$301,"&gt;="&amp;C116)&gt;1,"⚠ Coincide com férias de outro do setor","")))</f>
        <v/>
      </c>
      <c r="K116" s="0" t="str">
        <f aca="true">IF(AND(ISNUMBER(C116),ISNUMBER(D116),C116&lt;=TODAY(),D116&gt;=TODAY()),D116+ROW()/100000,"")</f>
        <v/>
      </c>
      <c r="L116" s="0" t="str">
        <f aca="true">IF(AND(ISNUMBER(C116),C116&gt;TODAY(),C116&lt;=TODAY()+30),C116+ROW()/100000,"")</f>
        <v/>
      </c>
      <c r="M116" s="0" t="str">
        <f aca="false">IF(AND(ISNUMBER(C116),ISNUMBER(D116),C116&lt;=CALENDÁRIO!$L$4,D116&gt;=CALENDÁRIO!$L$4),ROW(),"")</f>
        <v/>
      </c>
    </row>
    <row r="117" customFormat="false" ht="15" hidden="false" customHeight="true" outlineLevel="0" collapsed="false">
      <c r="A117" s="54"/>
      <c r="B117" s="54"/>
      <c r="C117" s="53"/>
      <c r="D117" s="53"/>
      <c r="E117" s="64"/>
      <c r="F117" s="65" t="str">
        <f aca="false">IF(AND(ISNUMBER(C117),ISNUMBER(D117),D117&gt;=C117),D117-C117+1,"")</f>
        <v/>
      </c>
      <c r="G117" s="66" t="str">
        <f aca="false">IF(AND(ISNUMBER(C117),ISNUMBER(D117),D117&gt;=C117),WORKDAY(D117,1),"")</f>
        <v/>
      </c>
      <c r="H117" s="55" t="str">
        <f aca="true">IF(A117="","",IF(NOT(AND(ISNUMBER(C117),ISNUMBER(D117))),"Sem data definida",IF(D117&lt;C117,"⚠ Datas invertidas",IF(TODAY()&lt;C117,IF(C117-TODAY()=1,"Começa amanhã","Começa em "&amp;(C117-TODAY())&amp;" dias"),IF(TODAY()&gt;D117,"Concluídas",IF(TODAY()=D117,"EM FÉRIAS (último dia)","EM FÉRIAS (faltam "&amp;(D117-TODAY())&amp;" dias)"))))))</f>
        <v/>
      </c>
      <c r="I117" s="55" t="str">
        <f aca="false">IF(OR(A117="",NOT(AND(ISNUMBER(C117),ISNUMBER(D117)))),"",IF(D117-C117+1&gt;30,"⚠ Período acima de 30 dias",IF(COUNTIFS($B$2:$B$301,B117,$C$2:$C$301,"&lt;="&amp;D117,$D$2:$D$301,"&gt;="&amp;C117)&gt;1,"⚠ Coincide com férias de outro do setor","")))</f>
        <v/>
      </c>
      <c r="K117" s="0" t="str">
        <f aca="true">IF(AND(ISNUMBER(C117),ISNUMBER(D117),C117&lt;=TODAY(),D117&gt;=TODAY()),D117+ROW()/100000,"")</f>
        <v/>
      </c>
      <c r="L117" s="0" t="str">
        <f aca="true">IF(AND(ISNUMBER(C117),C117&gt;TODAY(),C117&lt;=TODAY()+30),C117+ROW()/100000,"")</f>
        <v/>
      </c>
      <c r="M117" s="0" t="str">
        <f aca="false">IF(AND(ISNUMBER(C117),ISNUMBER(D117),C117&lt;=CALENDÁRIO!$L$4,D117&gt;=CALENDÁRIO!$L$4),ROW(),"")</f>
        <v/>
      </c>
    </row>
    <row r="118" customFormat="false" ht="15" hidden="false" customHeight="true" outlineLevel="0" collapsed="false">
      <c r="A118" s="54"/>
      <c r="B118" s="54"/>
      <c r="C118" s="53"/>
      <c r="D118" s="53"/>
      <c r="E118" s="64"/>
      <c r="F118" s="65" t="str">
        <f aca="false">IF(AND(ISNUMBER(C118),ISNUMBER(D118),D118&gt;=C118),D118-C118+1,"")</f>
        <v/>
      </c>
      <c r="G118" s="66" t="str">
        <f aca="false">IF(AND(ISNUMBER(C118),ISNUMBER(D118),D118&gt;=C118),WORKDAY(D118,1),"")</f>
        <v/>
      </c>
      <c r="H118" s="55" t="str">
        <f aca="true">IF(A118="","",IF(NOT(AND(ISNUMBER(C118),ISNUMBER(D118))),"Sem data definida",IF(D118&lt;C118,"⚠ Datas invertidas",IF(TODAY()&lt;C118,IF(C118-TODAY()=1,"Começa amanhã","Começa em "&amp;(C118-TODAY())&amp;" dias"),IF(TODAY()&gt;D118,"Concluídas",IF(TODAY()=D118,"EM FÉRIAS (último dia)","EM FÉRIAS (faltam "&amp;(D118-TODAY())&amp;" dias)"))))))</f>
        <v/>
      </c>
      <c r="I118" s="55" t="str">
        <f aca="false">IF(OR(A118="",NOT(AND(ISNUMBER(C118),ISNUMBER(D118)))),"",IF(D118-C118+1&gt;30,"⚠ Período acima de 30 dias",IF(COUNTIFS($B$2:$B$301,B118,$C$2:$C$301,"&lt;="&amp;D118,$D$2:$D$301,"&gt;="&amp;C118)&gt;1,"⚠ Coincide com férias de outro do setor","")))</f>
        <v/>
      </c>
      <c r="K118" s="0" t="str">
        <f aca="true">IF(AND(ISNUMBER(C118),ISNUMBER(D118),C118&lt;=TODAY(),D118&gt;=TODAY()),D118+ROW()/100000,"")</f>
        <v/>
      </c>
      <c r="L118" s="0" t="str">
        <f aca="true">IF(AND(ISNUMBER(C118),C118&gt;TODAY(),C118&lt;=TODAY()+30),C118+ROW()/100000,"")</f>
        <v/>
      </c>
      <c r="M118" s="0" t="str">
        <f aca="false">IF(AND(ISNUMBER(C118),ISNUMBER(D118),C118&lt;=CALENDÁRIO!$L$4,D118&gt;=CALENDÁRIO!$L$4),ROW(),"")</f>
        <v/>
      </c>
    </row>
    <row r="119" customFormat="false" ht="15" hidden="false" customHeight="true" outlineLevel="0" collapsed="false">
      <c r="A119" s="54"/>
      <c r="B119" s="54"/>
      <c r="C119" s="53"/>
      <c r="D119" s="53"/>
      <c r="E119" s="64"/>
      <c r="F119" s="65" t="str">
        <f aca="false">IF(AND(ISNUMBER(C119),ISNUMBER(D119),D119&gt;=C119),D119-C119+1,"")</f>
        <v/>
      </c>
      <c r="G119" s="66" t="str">
        <f aca="false">IF(AND(ISNUMBER(C119),ISNUMBER(D119),D119&gt;=C119),WORKDAY(D119,1),"")</f>
        <v/>
      </c>
      <c r="H119" s="55" t="str">
        <f aca="true">IF(A119="","",IF(NOT(AND(ISNUMBER(C119),ISNUMBER(D119))),"Sem data definida",IF(D119&lt;C119,"⚠ Datas invertidas",IF(TODAY()&lt;C119,IF(C119-TODAY()=1,"Começa amanhã","Começa em "&amp;(C119-TODAY())&amp;" dias"),IF(TODAY()&gt;D119,"Concluídas",IF(TODAY()=D119,"EM FÉRIAS (último dia)","EM FÉRIAS (faltam "&amp;(D119-TODAY())&amp;" dias)"))))))</f>
        <v/>
      </c>
      <c r="I119" s="55" t="str">
        <f aca="false">IF(OR(A119="",NOT(AND(ISNUMBER(C119),ISNUMBER(D119)))),"",IF(D119-C119+1&gt;30,"⚠ Período acima de 30 dias",IF(COUNTIFS($B$2:$B$301,B119,$C$2:$C$301,"&lt;="&amp;D119,$D$2:$D$301,"&gt;="&amp;C119)&gt;1,"⚠ Coincide com férias de outro do setor","")))</f>
        <v/>
      </c>
      <c r="K119" s="0" t="str">
        <f aca="true">IF(AND(ISNUMBER(C119),ISNUMBER(D119),C119&lt;=TODAY(),D119&gt;=TODAY()),D119+ROW()/100000,"")</f>
        <v/>
      </c>
      <c r="L119" s="0" t="str">
        <f aca="true">IF(AND(ISNUMBER(C119),C119&gt;TODAY(),C119&lt;=TODAY()+30),C119+ROW()/100000,"")</f>
        <v/>
      </c>
      <c r="M119" s="0" t="str">
        <f aca="false">IF(AND(ISNUMBER(C119),ISNUMBER(D119),C119&lt;=CALENDÁRIO!$L$4,D119&gt;=CALENDÁRIO!$L$4),ROW(),"")</f>
        <v/>
      </c>
    </row>
    <row r="120" customFormat="false" ht="15" hidden="false" customHeight="true" outlineLevel="0" collapsed="false">
      <c r="A120" s="54"/>
      <c r="B120" s="54"/>
      <c r="C120" s="53"/>
      <c r="D120" s="53"/>
      <c r="E120" s="64"/>
      <c r="F120" s="65" t="str">
        <f aca="false">IF(AND(ISNUMBER(C120),ISNUMBER(D120),D120&gt;=C120),D120-C120+1,"")</f>
        <v/>
      </c>
      <c r="G120" s="66" t="str">
        <f aca="false">IF(AND(ISNUMBER(C120),ISNUMBER(D120),D120&gt;=C120),WORKDAY(D120,1),"")</f>
        <v/>
      </c>
      <c r="H120" s="55" t="str">
        <f aca="true">IF(A120="","",IF(NOT(AND(ISNUMBER(C120),ISNUMBER(D120))),"Sem data definida",IF(D120&lt;C120,"⚠ Datas invertidas",IF(TODAY()&lt;C120,IF(C120-TODAY()=1,"Começa amanhã","Começa em "&amp;(C120-TODAY())&amp;" dias"),IF(TODAY()&gt;D120,"Concluídas",IF(TODAY()=D120,"EM FÉRIAS (último dia)","EM FÉRIAS (faltam "&amp;(D120-TODAY())&amp;" dias)"))))))</f>
        <v/>
      </c>
      <c r="I120" s="55" t="str">
        <f aca="false">IF(OR(A120="",NOT(AND(ISNUMBER(C120),ISNUMBER(D120)))),"",IF(D120-C120+1&gt;30,"⚠ Período acima de 30 dias",IF(COUNTIFS($B$2:$B$301,B120,$C$2:$C$301,"&lt;="&amp;D120,$D$2:$D$301,"&gt;="&amp;C120)&gt;1,"⚠ Coincide com férias de outro do setor","")))</f>
        <v/>
      </c>
      <c r="K120" s="0" t="str">
        <f aca="true">IF(AND(ISNUMBER(C120),ISNUMBER(D120),C120&lt;=TODAY(),D120&gt;=TODAY()),D120+ROW()/100000,"")</f>
        <v/>
      </c>
      <c r="L120" s="0" t="str">
        <f aca="true">IF(AND(ISNUMBER(C120),C120&gt;TODAY(),C120&lt;=TODAY()+30),C120+ROW()/100000,"")</f>
        <v/>
      </c>
      <c r="M120" s="0" t="str">
        <f aca="false">IF(AND(ISNUMBER(C120),ISNUMBER(D120),C120&lt;=CALENDÁRIO!$L$4,D120&gt;=CALENDÁRIO!$L$4),ROW(),"")</f>
        <v/>
      </c>
    </row>
    <row r="121" customFormat="false" ht="15" hidden="false" customHeight="true" outlineLevel="0" collapsed="false">
      <c r="A121" s="54"/>
      <c r="B121" s="54"/>
      <c r="C121" s="53"/>
      <c r="D121" s="53"/>
      <c r="E121" s="64"/>
      <c r="F121" s="65" t="str">
        <f aca="false">IF(AND(ISNUMBER(C121),ISNUMBER(D121),D121&gt;=C121),D121-C121+1,"")</f>
        <v/>
      </c>
      <c r="G121" s="66" t="str">
        <f aca="false">IF(AND(ISNUMBER(C121),ISNUMBER(D121),D121&gt;=C121),WORKDAY(D121,1),"")</f>
        <v/>
      </c>
      <c r="H121" s="55" t="str">
        <f aca="true">IF(A121="","",IF(NOT(AND(ISNUMBER(C121),ISNUMBER(D121))),"Sem data definida",IF(D121&lt;C121,"⚠ Datas invertidas",IF(TODAY()&lt;C121,IF(C121-TODAY()=1,"Começa amanhã","Começa em "&amp;(C121-TODAY())&amp;" dias"),IF(TODAY()&gt;D121,"Concluídas",IF(TODAY()=D121,"EM FÉRIAS (último dia)","EM FÉRIAS (faltam "&amp;(D121-TODAY())&amp;" dias)"))))))</f>
        <v/>
      </c>
      <c r="I121" s="55" t="str">
        <f aca="false">IF(OR(A121="",NOT(AND(ISNUMBER(C121),ISNUMBER(D121)))),"",IF(D121-C121+1&gt;30,"⚠ Período acima de 30 dias",IF(COUNTIFS($B$2:$B$301,B121,$C$2:$C$301,"&lt;="&amp;D121,$D$2:$D$301,"&gt;="&amp;C121)&gt;1,"⚠ Coincide com férias de outro do setor","")))</f>
        <v/>
      </c>
      <c r="K121" s="0" t="str">
        <f aca="true">IF(AND(ISNUMBER(C121),ISNUMBER(D121),C121&lt;=TODAY(),D121&gt;=TODAY()),D121+ROW()/100000,"")</f>
        <v/>
      </c>
      <c r="L121" s="0" t="str">
        <f aca="true">IF(AND(ISNUMBER(C121),C121&gt;TODAY(),C121&lt;=TODAY()+30),C121+ROW()/100000,"")</f>
        <v/>
      </c>
      <c r="M121" s="0" t="str">
        <f aca="false">IF(AND(ISNUMBER(C121),ISNUMBER(D121),C121&lt;=CALENDÁRIO!$L$4,D121&gt;=CALENDÁRIO!$L$4),ROW(),"")</f>
        <v/>
      </c>
    </row>
    <row r="122" customFormat="false" ht="15" hidden="false" customHeight="true" outlineLevel="0" collapsed="false">
      <c r="A122" s="54"/>
      <c r="B122" s="54"/>
      <c r="C122" s="53"/>
      <c r="D122" s="53"/>
      <c r="E122" s="64"/>
      <c r="F122" s="65" t="str">
        <f aca="false">IF(AND(ISNUMBER(C122),ISNUMBER(D122),D122&gt;=C122),D122-C122+1,"")</f>
        <v/>
      </c>
      <c r="G122" s="66" t="str">
        <f aca="false">IF(AND(ISNUMBER(C122),ISNUMBER(D122),D122&gt;=C122),WORKDAY(D122,1),"")</f>
        <v/>
      </c>
      <c r="H122" s="55" t="str">
        <f aca="true">IF(A122="","",IF(NOT(AND(ISNUMBER(C122),ISNUMBER(D122))),"Sem data definida",IF(D122&lt;C122,"⚠ Datas invertidas",IF(TODAY()&lt;C122,IF(C122-TODAY()=1,"Começa amanhã","Começa em "&amp;(C122-TODAY())&amp;" dias"),IF(TODAY()&gt;D122,"Concluídas",IF(TODAY()=D122,"EM FÉRIAS (último dia)","EM FÉRIAS (faltam "&amp;(D122-TODAY())&amp;" dias)"))))))</f>
        <v/>
      </c>
      <c r="I122" s="55" t="str">
        <f aca="false">IF(OR(A122="",NOT(AND(ISNUMBER(C122),ISNUMBER(D122)))),"",IF(D122-C122+1&gt;30,"⚠ Período acima de 30 dias",IF(COUNTIFS($B$2:$B$301,B122,$C$2:$C$301,"&lt;="&amp;D122,$D$2:$D$301,"&gt;="&amp;C122)&gt;1,"⚠ Coincide com férias de outro do setor","")))</f>
        <v/>
      </c>
      <c r="K122" s="0" t="str">
        <f aca="true">IF(AND(ISNUMBER(C122),ISNUMBER(D122),C122&lt;=TODAY(),D122&gt;=TODAY()),D122+ROW()/100000,"")</f>
        <v/>
      </c>
      <c r="L122" s="0" t="str">
        <f aca="true">IF(AND(ISNUMBER(C122),C122&gt;TODAY(),C122&lt;=TODAY()+30),C122+ROW()/100000,"")</f>
        <v/>
      </c>
      <c r="M122" s="0" t="str">
        <f aca="false">IF(AND(ISNUMBER(C122),ISNUMBER(D122),C122&lt;=CALENDÁRIO!$L$4,D122&gt;=CALENDÁRIO!$L$4),ROW(),"")</f>
        <v/>
      </c>
    </row>
    <row r="123" customFormat="false" ht="15" hidden="false" customHeight="true" outlineLevel="0" collapsed="false">
      <c r="A123" s="54"/>
      <c r="B123" s="54"/>
      <c r="C123" s="53"/>
      <c r="D123" s="53"/>
      <c r="E123" s="64"/>
      <c r="F123" s="65" t="str">
        <f aca="false">IF(AND(ISNUMBER(C123),ISNUMBER(D123),D123&gt;=C123),D123-C123+1,"")</f>
        <v/>
      </c>
      <c r="G123" s="66" t="str">
        <f aca="false">IF(AND(ISNUMBER(C123),ISNUMBER(D123),D123&gt;=C123),WORKDAY(D123,1),"")</f>
        <v/>
      </c>
      <c r="H123" s="55" t="str">
        <f aca="true">IF(A123="","",IF(NOT(AND(ISNUMBER(C123),ISNUMBER(D123))),"Sem data definida",IF(D123&lt;C123,"⚠ Datas invertidas",IF(TODAY()&lt;C123,IF(C123-TODAY()=1,"Começa amanhã","Começa em "&amp;(C123-TODAY())&amp;" dias"),IF(TODAY()&gt;D123,"Concluídas",IF(TODAY()=D123,"EM FÉRIAS (último dia)","EM FÉRIAS (faltam "&amp;(D123-TODAY())&amp;" dias)"))))))</f>
        <v/>
      </c>
      <c r="I123" s="55" t="str">
        <f aca="false">IF(OR(A123="",NOT(AND(ISNUMBER(C123),ISNUMBER(D123)))),"",IF(D123-C123+1&gt;30,"⚠ Período acima de 30 dias",IF(COUNTIFS($B$2:$B$301,B123,$C$2:$C$301,"&lt;="&amp;D123,$D$2:$D$301,"&gt;="&amp;C123)&gt;1,"⚠ Coincide com férias de outro do setor","")))</f>
        <v/>
      </c>
      <c r="K123" s="0" t="str">
        <f aca="true">IF(AND(ISNUMBER(C123),ISNUMBER(D123),C123&lt;=TODAY(),D123&gt;=TODAY()),D123+ROW()/100000,"")</f>
        <v/>
      </c>
      <c r="L123" s="0" t="str">
        <f aca="true">IF(AND(ISNUMBER(C123),C123&gt;TODAY(),C123&lt;=TODAY()+30),C123+ROW()/100000,"")</f>
        <v/>
      </c>
      <c r="M123" s="0" t="str">
        <f aca="false">IF(AND(ISNUMBER(C123),ISNUMBER(D123),C123&lt;=CALENDÁRIO!$L$4,D123&gt;=CALENDÁRIO!$L$4),ROW(),"")</f>
        <v/>
      </c>
    </row>
    <row r="124" customFormat="false" ht="15" hidden="false" customHeight="true" outlineLevel="0" collapsed="false">
      <c r="A124" s="54"/>
      <c r="B124" s="54"/>
      <c r="C124" s="53"/>
      <c r="D124" s="53"/>
      <c r="E124" s="64"/>
      <c r="F124" s="65" t="str">
        <f aca="false">IF(AND(ISNUMBER(C124),ISNUMBER(D124),D124&gt;=C124),D124-C124+1,"")</f>
        <v/>
      </c>
      <c r="G124" s="66" t="str">
        <f aca="false">IF(AND(ISNUMBER(C124),ISNUMBER(D124),D124&gt;=C124),WORKDAY(D124,1),"")</f>
        <v/>
      </c>
      <c r="H124" s="55" t="str">
        <f aca="true">IF(A124="","",IF(NOT(AND(ISNUMBER(C124),ISNUMBER(D124))),"Sem data definida",IF(D124&lt;C124,"⚠ Datas invertidas",IF(TODAY()&lt;C124,IF(C124-TODAY()=1,"Começa amanhã","Começa em "&amp;(C124-TODAY())&amp;" dias"),IF(TODAY()&gt;D124,"Concluídas",IF(TODAY()=D124,"EM FÉRIAS (último dia)","EM FÉRIAS (faltam "&amp;(D124-TODAY())&amp;" dias)"))))))</f>
        <v/>
      </c>
      <c r="I124" s="55" t="str">
        <f aca="false">IF(OR(A124="",NOT(AND(ISNUMBER(C124),ISNUMBER(D124)))),"",IF(D124-C124+1&gt;30,"⚠ Período acima de 30 dias",IF(COUNTIFS($B$2:$B$301,B124,$C$2:$C$301,"&lt;="&amp;D124,$D$2:$D$301,"&gt;="&amp;C124)&gt;1,"⚠ Coincide com férias de outro do setor","")))</f>
        <v/>
      </c>
      <c r="K124" s="0" t="str">
        <f aca="true">IF(AND(ISNUMBER(C124),ISNUMBER(D124),C124&lt;=TODAY(),D124&gt;=TODAY()),D124+ROW()/100000,"")</f>
        <v/>
      </c>
      <c r="L124" s="0" t="str">
        <f aca="true">IF(AND(ISNUMBER(C124),C124&gt;TODAY(),C124&lt;=TODAY()+30),C124+ROW()/100000,"")</f>
        <v/>
      </c>
      <c r="M124" s="0" t="str">
        <f aca="false">IF(AND(ISNUMBER(C124),ISNUMBER(D124),C124&lt;=CALENDÁRIO!$L$4,D124&gt;=CALENDÁRIO!$L$4),ROW(),"")</f>
        <v/>
      </c>
    </row>
    <row r="125" customFormat="false" ht="15" hidden="false" customHeight="true" outlineLevel="0" collapsed="false">
      <c r="A125" s="54"/>
      <c r="B125" s="54"/>
      <c r="C125" s="53"/>
      <c r="D125" s="53"/>
      <c r="E125" s="64"/>
      <c r="F125" s="65" t="str">
        <f aca="false">IF(AND(ISNUMBER(C125),ISNUMBER(D125),D125&gt;=C125),D125-C125+1,"")</f>
        <v/>
      </c>
      <c r="G125" s="66" t="str">
        <f aca="false">IF(AND(ISNUMBER(C125),ISNUMBER(D125),D125&gt;=C125),WORKDAY(D125,1),"")</f>
        <v/>
      </c>
      <c r="H125" s="55" t="str">
        <f aca="true">IF(A125="","",IF(NOT(AND(ISNUMBER(C125),ISNUMBER(D125))),"Sem data definida",IF(D125&lt;C125,"⚠ Datas invertidas",IF(TODAY()&lt;C125,IF(C125-TODAY()=1,"Começa amanhã","Começa em "&amp;(C125-TODAY())&amp;" dias"),IF(TODAY()&gt;D125,"Concluídas",IF(TODAY()=D125,"EM FÉRIAS (último dia)","EM FÉRIAS (faltam "&amp;(D125-TODAY())&amp;" dias)"))))))</f>
        <v/>
      </c>
      <c r="I125" s="55" t="str">
        <f aca="false">IF(OR(A125="",NOT(AND(ISNUMBER(C125),ISNUMBER(D125)))),"",IF(D125-C125+1&gt;30,"⚠ Período acima de 30 dias",IF(COUNTIFS($B$2:$B$301,B125,$C$2:$C$301,"&lt;="&amp;D125,$D$2:$D$301,"&gt;="&amp;C125)&gt;1,"⚠ Coincide com férias de outro do setor","")))</f>
        <v/>
      </c>
      <c r="K125" s="0" t="str">
        <f aca="true">IF(AND(ISNUMBER(C125),ISNUMBER(D125),C125&lt;=TODAY(),D125&gt;=TODAY()),D125+ROW()/100000,"")</f>
        <v/>
      </c>
      <c r="L125" s="0" t="str">
        <f aca="true">IF(AND(ISNUMBER(C125),C125&gt;TODAY(),C125&lt;=TODAY()+30),C125+ROW()/100000,"")</f>
        <v/>
      </c>
      <c r="M125" s="0" t="str">
        <f aca="false">IF(AND(ISNUMBER(C125),ISNUMBER(D125),C125&lt;=CALENDÁRIO!$L$4,D125&gt;=CALENDÁRIO!$L$4),ROW(),"")</f>
        <v/>
      </c>
    </row>
    <row r="126" customFormat="false" ht="15" hidden="false" customHeight="true" outlineLevel="0" collapsed="false">
      <c r="A126" s="54"/>
      <c r="B126" s="54"/>
      <c r="C126" s="53"/>
      <c r="D126" s="53"/>
      <c r="E126" s="64"/>
      <c r="F126" s="65" t="str">
        <f aca="false">IF(AND(ISNUMBER(C126),ISNUMBER(D126),D126&gt;=C126),D126-C126+1,"")</f>
        <v/>
      </c>
      <c r="G126" s="66" t="str">
        <f aca="false">IF(AND(ISNUMBER(C126),ISNUMBER(D126),D126&gt;=C126),WORKDAY(D126,1),"")</f>
        <v/>
      </c>
      <c r="H126" s="55" t="str">
        <f aca="true">IF(A126="","",IF(NOT(AND(ISNUMBER(C126),ISNUMBER(D126))),"Sem data definida",IF(D126&lt;C126,"⚠ Datas invertidas",IF(TODAY()&lt;C126,IF(C126-TODAY()=1,"Começa amanhã","Começa em "&amp;(C126-TODAY())&amp;" dias"),IF(TODAY()&gt;D126,"Concluídas",IF(TODAY()=D126,"EM FÉRIAS (último dia)","EM FÉRIAS (faltam "&amp;(D126-TODAY())&amp;" dias)"))))))</f>
        <v/>
      </c>
      <c r="I126" s="55" t="str">
        <f aca="false">IF(OR(A126="",NOT(AND(ISNUMBER(C126),ISNUMBER(D126)))),"",IF(D126-C126+1&gt;30,"⚠ Período acima de 30 dias",IF(COUNTIFS($B$2:$B$301,B126,$C$2:$C$301,"&lt;="&amp;D126,$D$2:$D$301,"&gt;="&amp;C126)&gt;1,"⚠ Coincide com férias de outro do setor","")))</f>
        <v/>
      </c>
      <c r="K126" s="0" t="str">
        <f aca="true">IF(AND(ISNUMBER(C126),ISNUMBER(D126),C126&lt;=TODAY(),D126&gt;=TODAY()),D126+ROW()/100000,"")</f>
        <v/>
      </c>
      <c r="L126" s="0" t="str">
        <f aca="true">IF(AND(ISNUMBER(C126),C126&gt;TODAY(),C126&lt;=TODAY()+30),C126+ROW()/100000,"")</f>
        <v/>
      </c>
      <c r="M126" s="0" t="str">
        <f aca="false">IF(AND(ISNUMBER(C126),ISNUMBER(D126),C126&lt;=CALENDÁRIO!$L$4,D126&gt;=CALENDÁRIO!$L$4),ROW(),"")</f>
        <v/>
      </c>
    </row>
    <row r="127" customFormat="false" ht="15" hidden="false" customHeight="true" outlineLevel="0" collapsed="false">
      <c r="A127" s="54"/>
      <c r="B127" s="54"/>
      <c r="C127" s="53"/>
      <c r="D127" s="53"/>
      <c r="E127" s="64"/>
      <c r="F127" s="65" t="str">
        <f aca="false">IF(AND(ISNUMBER(C127),ISNUMBER(D127),D127&gt;=C127),D127-C127+1,"")</f>
        <v/>
      </c>
      <c r="G127" s="66" t="str">
        <f aca="false">IF(AND(ISNUMBER(C127),ISNUMBER(D127),D127&gt;=C127),WORKDAY(D127,1),"")</f>
        <v/>
      </c>
      <c r="H127" s="55" t="str">
        <f aca="true">IF(A127="","",IF(NOT(AND(ISNUMBER(C127),ISNUMBER(D127))),"Sem data definida",IF(D127&lt;C127,"⚠ Datas invertidas",IF(TODAY()&lt;C127,IF(C127-TODAY()=1,"Começa amanhã","Começa em "&amp;(C127-TODAY())&amp;" dias"),IF(TODAY()&gt;D127,"Concluídas",IF(TODAY()=D127,"EM FÉRIAS (último dia)","EM FÉRIAS (faltam "&amp;(D127-TODAY())&amp;" dias)"))))))</f>
        <v/>
      </c>
      <c r="I127" s="55" t="str">
        <f aca="false">IF(OR(A127="",NOT(AND(ISNUMBER(C127),ISNUMBER(D127)))),"",IF(D127-C127+1&gt;30,"⚠ Período acima de 30 dias",IF(COUNTIFS($B$2:$B$301,B127,$C$2:$C$301,"&lt;="&amp;D127,$D$2:$D$301,"&gt;="&amp;C127)&gt;1,"⚠ Coincide com férias de outro do setor","")))</f>
        <v/>
      </c>
      <c r="K127" s="0" t="str">
        <f aca="true">IF(AND(ISNUMBER(C127),ISNUMBER(D127),C127&lt;=TODAY(),D127&gt;=TODAY()),D127+ROW()/100000,"")</f>
        <v/>
      </c>
      <c r="L127" s="0" t="str">
        <f aca="true">IF(AND(ISNUMBER(C127),C127&gt;TODAY(),C127&lt;=TODAY()+30),C127+ROW()/100000,"")</f>
        <v/>
      </c>
      <c r="M127" s="0" t="str">
        <f aca="false">IF(AND(ISNUMBER(C127),ISNUMBER(D127),C127&lt;=CALENDÁRIO!$L$4,D127&gt;=CALENDÁRIO!$L$4),ROW(),"")</f>
        <v/>
      </c>
    </row>
    <row r="128" customFormat="false" ht="15" hidden="false" customHeight="true" outlineLevel="0" collapsed="false">
      <c r="A128" s="54"/>
      <c r="B128" s="54"/>
      <c r="C128" s="53"/>
      <c r="D128" s="53"/>
      <c r="E128" s="64"/>
      <c r="F128" s="65" t="str">
        <f aca="false">IF(AND(ISNUMBER(C128),ISNUMBER(D128),D128&gt;=C128),D128-C128+1,"")</f>
        <v/>
      </c>
      <c r="G128" s="66" t="str">
        <f aca="false">IF(AND(ISNUMBER(C128),ISNUMBER(D128),D128&gt;=C128),WORKDAY(D128,1),"")</f>
        <v/>
      </c>
      <c r="H128" s="55" t="str">
        <f aca="true">IF(A128="","",IF(NOT(AND(ISNUMBER(C128),ISNUMBER(D128))),"Sem data definida",IF(D128&lt;C128,"⚠ Datas invertidas",IF(TODAY()&lt;C128,IF(C128-TODAY()=1,"Começa amanhã","Começa em "&amp;(C128-TODAY())&amp;" dias"),IF(TODAY()&gt;D128,"Concluídas",IF(TODAY()=D128,"EM FÉRIAS (último dia)","EM FÉRIAS (faltam "&amp;(D128-TODAY())&amp;" dias)"))))))</f>
        <v/>
      </c>
      <c r="I128" s="55" t="str">
        <f aca="false">IF(OR(A128="",NOT(AND(ISNUMBER(C128),ISNUMBER(D128)))),"",IF(D128-C128+1&gt;30,"⚠ Período acima de 30 dias",IF(COUNTIFS($B$2:$B$301,B128,$C$2:$C$301,"&lt;="&amp;D128,$D$2:$D$301,"&gt;="&amp;C128)&gt;1,"⚠ Coincide com férias de outro do setor","")))</f>
        <v/>
      </c>
      <c r="K128" s="0" t="str">
        <f aca="true">IF(AND(ISNUMBER(C128),ISNUMBER(D128),C128&lt;=TODAY(),D128&gt;=TODAY()),D128+ROW()/100000,"")</f>
        <v/>
      </c>
      <c r="L128" s="0" t="str">
        <f aca="true">IF(AND(ISNUMBER(C128),C128&gt;TODAY(),C128&lt;=TODAY()+30),C128+ROW()/100000,"")</f>
        <v/>
      </c>
      <c r="M128" s="0" t="str">
        <f aca="false">IF(AND(ISNUMBER(C128),ISNUMBER(D128),C128&lt;=CALENDÁRIO!$L$4,D128&gt;=CALENDÁRIO!$L$4),ROW(),"")</f>
        <v/>
      </c>
    </row>
    <row r="129" customFormat="false" ht="15" hidden="false" customHeight="true" outlineLevel="0" collapsed="false">
      <c r="A129" s="54"/>
      <c r="B129" s="54"/>
      <c r="C129" s="53"/>
      <c r="D129" s="53"/>
      <c r="E129" s="64"/>
      <c r="F129" s="65" t="str">
        <f aca="false">IF(AND(ISNUMBER(C129),ISNUMBER(D129),D129&gt;=C129),D129-C129+1,"")</f>
        <v/>
      </c>
      <c r="G129" s="66" t="str">
        <f aca="false">IF(AND(ISNUMBER(C129),ISNUMBER(D129),D129&gt;=C129),WORKDAY(D129,1),"")</f>
        <v/>
      </c>
      <c r="H129" s="55" t="str">
        <f aca="true">IF(A129="","",IF(NOT(AND(ISNUMBER(C129),ISNUMBER(D129))),"Sem data definida",IF(D129&lt;C129,"⚠ Datas invertidas",IF(TODAY()&lt;C129,IF(C129-TODAY()=1,"Começa amanhã","Começa em "&amp;(C129-TODAY())&amp;" dias"),IF(TODAY()&gt;D129,"Concluídas",IF(TODAY()=D129,"EM FÉRIAS (último dia)","EM FÉRIAS (faltam "&amp;(D129-TODAY())&amp;" dias)"))))))</f>
        <v/>
      </c>
      <c r="I129" s="55" t="str">
        <f aca="false">IF(OR(A129="",NOT(AND(ISNUMBER(C129),ISNUMBER(D129)))),"",IF(D129-C129+1&gt;30,"⚠ Período acima de 30 dias",IF(COUNTIFS($B$2:$B$301,B129,$C$2:$C$301,"&lt;="&amp;D129,$D$2:$D$301,"&gt;="&amp;C129)&gt;1,"⚠ Coincide com férias de outro do setor","")))</f>
        <v/>
      </c>
      <c r="K129" s="0" t="str">
        <f aca="true">IF(AND(ISNUMBER(C129),ISNUMBER(D129),C129&lt;=TODAY(),D129&gt;=TODAY()),D129+ROW()/100000,"")</f>
        <v/>
      </c>
      <c r="L129" s="0" t="str">
        <f aca="true">IF(AND(ISNUMBER(C129),C129&gt;TODAY(),C129&lt;=TODAY()+30),C129+ROW()/100000,"")</f>
        <v/>
      </c>
      <c r="M129" s="0" t="str">
        <f aca="false">IF(AND(ISNUMBER(C129),ISNUMBER(D129),C129&lt;=CALENDÁRIO!$L$4,D129&gt;=CALENDÁRIO!$L$4),ROW(),"")</f>
        <v/>
      </c>
    </row>
    <row r="130" customFormat="false" ht="15" hidden="false" customHeight="true" outlineLevel="0" collapsed="false">
      <c r="A130" s="54"/>
      <c r="B130" s="54"/>
      <c r="C130" s="53"/>
      <c r="D130" s="53"/>
      <c r="E130" s="64"/>
      <c r="F130" s="65" t="str">
        <f aca="false">IF(AND(ISNUMBER(C130),ISNUMBER(D130),D130&gt;=C130),D130-C130+1,"")</f>
        <v/>
      </c>
      <c r="G130" s="66" t="str">
        <f aca="false">IF(AND(ISNUMBER(C130),ISNUMBER(D130),D130&gt;=C130),WORKDAY(D130,1),"")</f>
        <v/>
      </c>
      <c r="H130" s="55" t="str">
        <f aca="true">IF(A130="","",IF(NOT(AND(ISNUMBER(C130),ISNUMBER(D130))),"Sem data definida",IF(D130&lt;C130,"⚠ Datas invertidas",IF(TODAY()&lt;C130,IF(C130-TODAY()=1,"Começa amanhã","Começa em "&amp;(C130-TODAY())&amp;" dias"),IF(TODAY()&gt;D130,"Concluídas",IF(TODAY()=D130,"EM FÉRIAS (último dia)","EM FÉRIAS (faltam "&amp;(D130-TODAY())&amp;" dias)"))))))</f>
        <v/>
      </c>
      <c r="I130" s="55" t="str">
        <f aca="false">IF(OR(A130="",NOT(AND(ISNUMBER(C130),ISNUMBER(D130)))),"",IF(D130-C130+1&gt;30,"⚠ Período acima de 30 dias",IF(COUNTIFS($B$2:$B$301,B130,$C$2:$C$301,"&lt;="&amp;D130,$D$2:$D$301,"&gt;="&amp;C130)&gt;1,"⚠ Coincide com férias de outro do setor","")))</f>
        <v/>
      </c>
      <c r="K130" s="0" t="str">
        <f aca="true">IF(AND(ISNUMBER(C130),ISNUMBER(D130),C130&lt;=TODAY(),D130&gt;=TODAY()),D130+ROW()/100000,"")</f>
        <v/>
      </c>
      <c r="L130" s="0" t="str">
        <f aca="true">IF(AND(ISNUMBER(C130),C130&gt;TODAY(),C130&lt;=TODAY()+30),C130+ROW()/100000,"")</f>
        <v/>
      </c>
      <c r="M130" s="0" t="str">
        <f aca="false">IF(AND(ISNUMBER(C130),ISNUMBER(D130),C130&lt;=CALENDÁRIO!$L$4,D130&gt;=CALENDÁRIO!$L$4),ROW(),"")</f>
        <v/>
      </c>
    </row>
    <row r="131" customFormat="false" ht="15" hidden="false" customHeight="true" outlineLevel="0" collapsed="false">
      <c r="A131" s="54"/>
      <c r="B131" s="54"/>
      <c r="C131" s="53"/>
      <c r="D131" s="53"/>
      <c r="E131" s="64"/>
      <c r="F131" s="65" t="str">
        <f aca="false">IF(AND(ISNUMBER(C131),ISNUMBER(D131),D131&gt;=C131),D131-C131+1,"")</f>
        <v/>
      </c>
      <c r="G131" s="66" t="str">
        <f aca="false">IF(AND(ISNUMBER(C131),ISNUMBER(D131),D131&gt;=C131),WORKDAY(D131,1),"")</f>
        <v/>
      </c>
      <c r="H131" s="55" t="str">
        <f aca="true">IF(A131="","",IF(NOT(AND(ISNUMBER(C131),ISNUMBER(D131))),"Sem data definida",IF(D131&lt;C131,"⚠ Datas invertidas",IF(TODAY()&lt;C131,IF(C131-TODAY()=1,"Começa amanhã","Começa em "&amp;(C131-TODAY())&amp;" dias"),IF(TODAY()&gt;D131,"Concluídas",IF(TODAY()=D131,"EM FÉRIAS (último dia)","EM FÉRIAS (faltam "&amp;(D131-TODAY())&amp;" dias)"))))))</f>
        <v/>
      </c>
      <c r="I131" s="55" t="str">
        <f aca="false">IF(OR(A131="",NOT(AND(ISNUMBER(C131),ISNUMBER(D131)))),"",IF(D131-C131+1&gt;30,"⚠ Período acima de 30 dias",IF(COUNTIFS($B$2:$B$301,B131,$C$2:$C$301,"&lt;="&amp;D131,$D$2:$D$301,"&gt;="&amp;C131)&gt;1,"⚠ Coincide com férias de outro do setor","")))</f>
        <v/>
      </c>
      <c r="K131" s="0" t="str">
        <f aca="true">IF(AND(ISNUMBER(C131),ISNUMBER(D131),C131&lt;=TODAY(),D131&gt;=TODAY()),D131+ROW()/100000,"")</f>
        <v/>
      </c>
      <c r="L131" s="0" t="str">
        <f aca="true">IF(AND(ISNUMBER(C131),C131&gt;TODAY(),C131&lt;=TODAY()+30),C131+ROW()/100000,"")</f>
        <v/>
      </c>
      <c r="M131" s="0" t="str">
        <f aca="false">IF(AND(ISNUMBER(C131),ISNUMBER(D131),C131&lt;=CALENDÁRIO!$L$4,D131&gt;=CALENDÁRIO!$L$4),ROW(),"")</f>
        <v/>
      </c>
    </row>
    <row r="132" customFormat="false" ht="15" hidden="false" customHeight="true" outlineLevel="0" collapsed="false">
      <c r="A132" s="54"/>
      <c r="B132" s="54"/>
      <c r="C132" s="53"/>
      <c r="D132" s="53"/>
      <c r="E132" s="64"/>
      <c r="F132" s="65" t="str">
        <f aca="false">IF(AND(ISNUMBER(C132),ISNUMBER(D132),D132&gt;=C132),D132-C132+1,"")</f>
        <v/>
      </c>
      <c r="G132" s="66" t="str">
        <f aca="false">IF(AND(ISNUMBER(C132),ISNUMBER(D132),D132&gt;=C132),WORKDAY(D132,1),"")</f>
        <v/>
      </c>
      <c r="H132" s="55" t="str">
        <f aca="true">IF(A132="","",IF(NOT(AND(ISNUMBER(C132),ISNUMBER(D132))),"Sem data definida",IF(D132&lt;C132,"⚠ Datas invertidas",IF(TODAY()&lt;C132,IF(C132-TODAY()=1,"Começa amanhã","Começa em "&amp;(C132-TODAY())&amp;" dias"),IF(TODAY()&gt;D132,"Concluídas",IF(TODAY()=D132,"EM FÉRIAS (último dia)","EM FÉRIAS (faltam "&amp;(D132-TODAY())&amp;" dias)"))))))</f>
        <v/>
      </c>
      <c r="I132" s="55" t="str">
        <f aca="false">IF(OR(A132="",NOT(AND(ISNUMBER(C132),ISNUMBER(D132)))),"",IF(D132-C132+1&gt;30,"⚠ Período acima de 30 dias",IF(COUNTIFS($B$2:$B$301,B132,$C$2:$C$301,"&lt;="&amp;D132,$D$2:$D$301,"&gt;="&amp;C132)&gt;1,"⚠ Coincide com férias de outro do setor","")))</f>
        <v/>
      </c>
      <c r="K132" s="0" t="str">
        <f aca="true">IF(AND(ISNUMBER(C132),ISNUMBER(D132),C132&lt;=TODAY(),D132&gt;=TODAY()),D132+ROW()/100000,"")</f>
        <v/>
      </c>
      <c r="L132" s="0" t="str">
        <f aca="true">IF(AND(ISNUMBER(C132),C132&gt;TODAY(),C132&lt;=TODAY()+30),C132+ROW()/100000,"")</f>
        <v/>
      </c>
      <c r="M132" s="0" t="str">
        <f aca="false">IF(AND(ISNUMBER(C132),ISNUMBER(D132),C132&lt;=CALENDÁRIO!$L$4,D132&gt;=CALENDÁRIO!$L$4),ROW(),"")</f>
        <v/>
      </c>
    </row>
    <row r="133" customFormat="false" ht="15" hidden="false" customHeight="true" outlineLevel="0" collapsed="false">
      <c r="A133" s="54"/>
      <c r="B133" s="54"/>
      <c r="C133" s="53"/>
      <c r="D133" s="53"/>
      <c r="E133" s="64"/>
      <c r="F133" s="65" t="str">
        <f aca="false">IF(AND(ISNUMBER(C133),ISNUMBER(D133),D133&gt;=C133),D133-C133+1,"")</f>
        <v/>
      </c>
      <c r="G133" s="66" t="str">
        <f aca="false">IF(AND(ISNUMBER(C133),ISNUMBER(D133),D133&gt;=C133),WORKDAY(D133,1),"")</f>
        <v/>
      </c>
      <c r="H133" s="55" t="str">
        <f aca="true">IF(A133="","",IF(NOT(AND(ISNUMBER(C133),ISNUMBER(D133))),"Sem data definida",IF(D133&lt;C133,"⚠ Datas invertidas",IF(TODAY()&lt;C133,IF(C133-TODAY()=1,"Começa amanhã","Começa em "&amp;(C133-TODAY())&amp;" dias"),IF(TODAY()&gt;D133,"Concluídas",IF(TODAY()=D133,"EM FÉRIAS (último dia)","EM FÉRIAS (faltam "&amp;(D133-TODAY())&amp;" dias)"))))))</f>
        <v/>
      </c>
      <c r="I133" s="55" t="str">
        <f aca="false">IF(OR(A133="",NOT(AND(ISNUMBER(C133),ISNUMBER(D133)))),"",IF(D133-C133+1&gt;30,"⚠ Período acima de 30 dias",IF(COUNTIFS($B$2:$B$301,B133,$C$2:$C$301,"&lt;="&amp;D133,$D$2:$D$301,"&gt;="&amp;C133)&gt;1,"⚠ Coincide com férias de outro do setor","")))</f>
        <v/>
      </c>
      <c r="K133" s="0" t="str">
        <f aca="true">IF(AND(ISNUMBER(C133),ISNUMBER(D133),C133&lt;=TODAY(),D133&gt;=TODAY()),D133+ROW()/100000,"")</f>
        <v/>
      </c>
      <c r="L133" s="0" t="str">
        <f aca="true">IF(AND(ISNUMBER(C133),C133&gt;TODAY(),C133&lt;=TODAY()+30),C133+ROW()/100000,"")</f>
        <v/>
      </c>
      <c r="M133" s="0" t="str">
        <f aca="false">IF(AND(ISNUMBER(C133),ISNUMBER(D133),C133&lt;=CALENDÁRIO!$L$4,D133&gt;=CALENDÁRIO!$L$4),ROW(),"")</f>
        <v/>
      </c>
    </row>
    <row r="134" customFormat="false" ht="15" hidden="false" customHeight="true" outlineLevel="0" collapsed="false">
      <c r="A134" s="54"/>
      <c r="B134" s="54"/>
      <c r="C134" s="53"/>
      <c r="D134" s="53"/>
      <c r="E134" s="64"/>
      <c r="F134" s="65" t="str">
        <f aca="false">IF(AND(ISNUMBER(C134),ISNUMBER(D134),D134&gt;=C134),D134-C134+1,"")</f>
        <v/>
      </c>
      <c r="G134" s="66" t="str">
        <f aca="false">IF(AND(ISNUMBER(C134),ISNUMBER(D134),D134&gt;=C134),WORKDAY(D134,1),"")</f>
        <v/>
      </c>
      <c r="H134" s="55" t="str">
        <f aca="true">IF(A134="","",IF(NOT(AND(ISNUMBER(C134),ISNUMBER(D134))),"Sem data definida",IF(D134&lt;C134,"⚠ Datas invertidas",IF(TODAY()&lt;C134,IF(C134-TODAY()=1,"Começa amanhã","Começa em "&amp;(C134-TODAY())&amp;" dias"),IF(TODAY()&gt;D134,"Concluídas",IF(TODAY()=D134,"EM FÉRIAS (último dia)","EM FÉRIAS (faltam "&amp;(D134-TODAY())&amp;" dias)"))))))</f>
        <v/>
      </c>
      <c r="I134" s="55" t="str">
        <f aca="false">IF(OR(A134="",NOT(AND(ISNUMBER(C134),ISNUMBER(D134)))),"",IF(D134-C134+1&gt;30,"⚠ Período acima de 30 dias",IF(COUNTIFS($B$2:$B$301,B134,$C$2:$C$301,"&lt;="&amp;D134,$D$2:$D$301,"&gt;="&amp;C134)&gt;1,"⚠ Coincide com férias de outro do setor","")))</f>
        <v/>
      </c>
      <c r="K134" s="0" t="str">
        <f aca="true">IF(AND(ISNUMBER(C134),ISNUMBER(D134),C134&lt;=TODAY(),D134&gt;=TODAY()),D134+ROW()/100000,"")</f>
        <v/>
      </c>
      <c r="L134" s="0" t="str">
        <f aca="true">IF(AND(ISNUMBER(C134),C134&gt;TODAY(),C134&lt;=TODAY()+30),C134+ROW()/100000,"")</f>
        <v/>
      </c>
      <c r="M134" s="0" t="str">
        <f aca="false">IF(AND(ISNUMBER(C134),ISNUMBER(D134),C134&lt;=CALENDÁRIO!$L$4,D134&gt;=CALENDÁRIO!$L$4),ROW(),"")</f>
        <v/>
      </c>
    </row>
    <row r="135" customFormat="false" ht="15" hidden="false" customHeight="true" outlineLevel="0" collapsed="false">
      <c r="A135" s="54"/>
      <c r="B135" s="54"/>
      <c r="C135" s="53"/>
      <c r="D135" s="53"/>
      <c r="E135" s="64"/>
      <c r="F135" s="65" t="str">
        <f aca="false">IF(AND(ISNUMBER(C135),ISNUMBER(D135),D135&gt;=C135),D135-C135+1,"")</f>
        <v/>
      </c>
      <c r="G135" s="66" t="str">
        <f aca="false">IF(AND(ISNUMBER(C135),ISNUMBER(D135),D135&gt;=C135),WORKDAY(D135,1),"")</f>
        <v/>
      </c>
      <c r="H135" s="55" t="str">
        <f aca="true">IF(A135="","",IF(NOT(AND(ISNUMBER(C135),ISNUMBER(D135))),"Sem data definida",IF(D135&lt;C135,"⚠ Datas invertidas",IF(TODAY()&lt;C135,IF(C135-TODAY()=1,"Começa amanhã","Começa em "&amp;(C135-TODAY())&amp;" dias"),IF(TODAY()&gt;D135,"Concluídas",IF(TODAY()=D135,"EM FÉRIAS (último dia)","EM FÉRIAS (faltam "&amp;(D135-TODAY())&amp;" dias)"))))))</f>
        <v/>
      </c>
      <c r="I135" s="55" t="str">
        <f aca="false">IF(OR(A135="",NOT(AND(ISNUMBER(C135),ISNUMBER(D135)))),"",IF(D135-C135+1&gt;30,"⚠ Período acima de 30 dias",IF(COUNTIFS($B$2:$B$301,B135,$C$2:$C$301,"&lt;="&amp;D135,$D$2:$D$301,"&gt;="&amp;C135)&gt;1,"⚠ Coincide com férias de outro do setor","")))</f>
        <v/>
      </c>
      <c r="K135" s="0" t="str">
        <f aca="true">IF(AND(ISNUMBER(C135),ISNUMBER(D135),C135&lt;=TODAY(),D135&gt;=TODAY()),D135+ROW()/100000,"")</f>
        <v/>
      </c>
      <c r="L135" s="0" t="str">
        <f aca="true">IF(AND(ISNUMBER(C135),C135&gt;TODAY(),C135&lt;=TODAY()+30),C135+ROW()/100000,"")</f>
        <v/>
      </c>
      <c r="M135" s="0" t="str">
        <f aca="false">IF(AND(ISNUMBER(C135),ISNUMBER(D135),C135&lt;=CALENDÁRIO!$L$4,D135&gt;=CALENDÁRIO!$L$4),ROW(),"")</f>
        <v/>
      </c>
    </row>
    <row r="136" customFormat="false" ht="15" hidden="false" customHeight="true" outlineLevel="0" collapsed="false">
      <c r="A136" s="54"/>
      <c r="B136" s="54"/>
      <c r="C136" s="53"/>
      <c r="D136" s="53"/>
      <c r="E136" s="64"/>
      <c r="F136" s="65" t="str">
        <f aca="false">IF(AND(ISNUMBER(C136),ISNUMBER(D136),D136&gt;=C136),D136-C136+1,"")</f>
        <v/>
      </c>
      <c r="G136" s="66" t="str">
        <f aca="false">IF(AND(ISNUMBER(C136),ISNUMBER(D136),D136&gt;=C136),WORKDAY(D136,1),"")</f>
        <v/>
      </c>
      <c r="H136" s="55" t="str">
        <f aca="true">IF(A136="","",IF(NOT(AND(ISNUMBER(C136),ISNUMBER(D136))),"Sem data definida",IF(D136&lt;C136,"⚠ Datas invertidas",IF(TODAY()&lt;C136,IF(C136-TODAY()=1,"Começa amanhã","Começa em "&amp;(C136-TODAY())&amp;" dias"),IF(TODAY()&gt;D136,"Concluídas",IF(TODAY()=D136,"EM FÉRIAS (último dia)","EM FÉRIAS (faltam "&amp;(D136-TODAY())&amp;" dias)"))))))</f>
        <v/>
      </c>
      <c r="I136" s="55" t="str">
        <f aca="false">IF(OR(A136="",NOT(AND(ISNUMBER(C136),ISNUMBER(D136)))),"",IF(D136-C136+1&gt;30,"⚠ Período acima de 30 dias",IF(COUNTIFS($B$2:$B$301,B136,$C$2:$C$301,"&lt;="&amp;D136,$D$2:$D$301,"&gt;="&amp;C136)&gt;1,"⚠ Coincide com férias de outro do setor","")))</f>
        <v/>
      </c>
      <c r="K136" s="0" t="str">
        <f aca="true">IF(AND(ISNUMBER(C136),ISNUMBER(D136),C136&lt;=TODAY(),D136&gt;=TODAY()),D136+ROW()/100000,"")</f>
        <v/>
      </c>
      <c r="L136" s="0" t="str">
        <f aca="true">IF(AND(ISNUMBER(C136),C136&gt;TODAY(),C136&lt;=TODAY()+30),C136+ROW()/100000,"")</f>
        <v/>
      </c>
      <c r="M136" s="0" t="str">
        <f aca="false">IF(AND(ISNUMBER(C136),ISNUMBER(D136),C136&lt;=CALENDÁRIO!$L$4,D136&gt;=CALENDÁRIO!$L$4),ROW(),"")</f>
        <v/>
      </c>
    </row>
    <row r="137" customFormat="false" ht="15" hidden="false" customHeight="true" outlineLevel="0" collapsed="false">
      <c r="A137" s="54"/>
      <c r="B137" s="54"/>
      <c r="C137" s="53"/>
      <c r="D137" s="53"/>
      <c r="E137" s="64"/>
      <c r="F137" s="65" t="str">
        <f aca="false">IF(AND(ISNUMBER(C137),ISNUMBER(D137),D137&gt;=C137),D137-C137+1,"")</f>
        <v/>
      </c>
      <c r="G137" s="66" t="str">
        <f aca="false">IF(AND(ISNUMBER(C137),ISNUMBER(D137),D137&gt;=C137),WORKDAY(D137,1),"")</f>
        <v/>
      </c>
      <c r="H137" s="55" t="str">
        <f aca="true">IF(A137="","",IF(NOT(AND(ISNUMBER(C137),ISNUMBER(D137))),"Sem data definida",IF(D137&lt;C137,"⚠ Datas invertidas",IF(TODAY()&lt;C137,IF(C137-TODAY()=1,"Começa amanhã","Começa em "&amp;(C137-TODAY())&amp;" dias"),IF(TODAY()&gt;D137,"Concluídas",IF(TODAY()=D137,"EM FÉRIAS (último dia)","EM FÉRIAS (faltam "&amp;(D137-TODAY())&amp;" dias)"))))))</f>
        <v/>
      </c>
      <c r="I137" s="55" t="str">
        <f aca="false">IF(OR(A137="",NOT(AND(ISNUMBER(C137),ISNUMBER(D137)))),"",IF(D137-C137+1&gt;30,"⚠ Período acima de 30 dias",IF(COUNTIFS($B$2:$B$301,B137,$C$2:$C$301,"&lt;="&amp;D137,$D$2:$D$301,"&gt;="&amp;C137)&gt;1,"⚠ Coincide com férias de outro do setor","")))</f>
        <v/>
      </c>
      <c r="K137" s="0" t="str">
        <f aca="true">IF(AND(ISNUMBER(C137),ISNUMBER(D137),C137&lt;=TODAY(),D137&gt;=TODAY()),D137+ROW()/100000,"")</f>
        <v/>
      </c>
      <c r="L137" s="0" t="str">
        <f aca="true">IF(AND(ISNUMBER(C137),C137&gt;TODAY(),C137&lt;=TODAY()+30),C137+ROW()/100000,"")</f>
        <v/>
      </c>
      <c r="M137" s="0" t="str">
        <f aca="false">IF(AND(ISNUMBER(C137),ISNUMBER(D137),C137&lt;=CALENDÁRIO!$L$4,D137&gt;=CALENDÁRIO!$L$4),ROW(),"")</f>
        <v/>
      </c>
    </row>
    <row r="138" customFormat="false" ht="15" hidden="false" customHeight="true" outlineLevel="0" collapsed="false">
      <c r="A138" s="54"/>
      <c r="B138" s="54"/>
      <c r="C138" s="53"/>
      <c r="D138" s="53"/>
      <c r="E138" s="64"/>
      <c r="F138" s="65" t="str">
        <f aca="false">IF(AND(ISNUMBER(C138),ISNUMBER(D138),D138&gt;=C138),D138-C138+1,"")</f>
        <v/>
      </c>
      <c r="G138" s="66" t="str">
        <f aca="false">IF(AND(ISNUMBER(C138),ISNUMBER(D138),D138&gt;=C138),WORKDAY(D138,1),"")</f>
        <v/>
      </c>
      <c r="H138" s="55" t="str">
        <f aca="true">IF(A138="","",IF(NOT(AND(ISNUMBER(C138),ISNUMBER(D138))),"Sem data definida",IF(D138&lt;C138,"⚠ Datas invertidas",IF(TODAY()&lt;C138,IF(C138-TODAY()=1,"Começa amanhã","Começa em "&amp;(C138-TODAY())&amp;" dias"),IF(TODAY()&gt;D138,"Concluídas",IF(TODAY()=D138,"EM FÉRIAS (último dia)","EM FÉRIAS (faltam "&amp;(D138-TODAY())&amp;" dias)"))))))</f>
        <v/>
      </c>
      <c r="I138" s="55" t="str">
        <f aca="false">IF(OR(A138="",NOT(AND(ISNUMBER(C138),ISNUMBER(D138)))),"",IF(D138-C138+1&gt;30,"⚠ Período acima de 30 dias",IF(COUNTIFS($B$2:$B$301,B138,$C$2:$C$301,"&lt;="&amp;D138,$D$2:$D$301,"&gt;="&amp;C138)&gt;1,"⚠ Coincide com férias de outro do setor","")))</f>
        <v/>
      </c>
      <c r="K138" s="0" t="str">
        <f aca="true">IF(AND(ISNUMBER(C138),ISNUMBER(D138),C138&lt;=TODAY(),D138&gt;=TODAY()),D138+ROW()/100000,"")</f>
        <v/>
      </c>
      <c r="L138" s="0" t="str">
        <f aca="true">IF(AND(ISNUMBER(C138),C138&gt;TODAY(),C138&lt;=TODAY()+30),C138+ROW()/100000,"")</f>
        <v/>
      </c>
      <c r="M138" s="0" t="str">
        <f aca="false">IF(AND(ISNUMBER(C138),ISNUMBER(D138),C138&lt;=CALENDÁRIO!$L$4,D138&gt;=CALENDÁRIO!$L$4),ROW(),"")</f>
        <v/>
      </c>
    </row>
    <row r="139" customFormat="false" ht="15" hidden="false" customHeight="true" outlineLevel="0" collapsed="false">
      <c r="A139" s="54"/>
      <c r="B139" s="54"/>
      <c r="C139" s="53"/>
      <c r="D139" s="53"/>
      <c r="E139" s="64"/>
      <c r="F139" s="65" t="str">
        <f aca="false">IF(AND(ISNUMBER(C139),ISNUMBER(D139),D139&gt;=C139),D139-C139+1,"")</f>
        <v/>
      </c>
      <c r="G139" s="66" t="str">
        <f aca="false">IF(AND(ISNUMBER(C139),ISNUMBER(D139),D139&gt;=C139),WORKDAY(D139,1),"")</f>
        <v/>
      </c>
      <c r="H139" s="55" t="str">
        <f aca="true">IF(A139="","",IF(NOT(AND(ISNUMBER(C139),ISNUMBER(D139))),"Sem data definida",IF(D139&lt;C139,"⚠ Datas invertidas",IF(TODAY()&lt;C139,IF(C139-TODAY()=1,"Começa amanhã","Começa em "&amp;(C139-TODAY())&amp;" dias"),IF(TODAY()&gt;D139,"Concluídas",IF(TODAY()=D139,"EM FÉRIAS (último dia)","EM FÉRIAS (faltam "&amp;(D139-TODAY())&amp;" dias)"))))))</f>
        <v/>
      </c>
      <c r="I139" s="55" t="str">
        <f aca="false">IF(OR(A139="",NOT(AND(ISNUMBER(C139),ISNUMBER(D139)))),"",IF(D139-C139+1&gt;30,"⚠ Período acima de 30 dias",IF(COUNTIFS($B$2:$B$301,B139,$C$2:$C$301,"&lt;="&amp;D139,$D$2:$D$301,"&gt;="&amp;C139)&gt;1,"⚠ Coincide com férias de outro do setor","")))</f>
        <v/>
      </c>
      <c r="K139" s="0" t="str">
        <f aca="true">IF(AND(ISNUMBER(C139),ISNUMBER(D139),C139&lt;=TODAY(),D139&gt;=TODAY()),D139+ROW()/100000,"")</f>
        <v/>
      </c>
      <c r="L139" s="0" t="str">
        <f aca="true">IF(AND(ISNUMBER(C139),C139&gt;TODAY(),C139&lt;=TODAY()+30),C139+ROW()/100000,"")</f>
        <v/>
      </c>
      <c r="M139" s="0" t="str">
        <f aca="false">IF(AND(ISNUMBER(C139),ISNUMBER(D139),C139&lt;=CALENDÁRIO!$L$4,D139&gt;=CALENDÁRIO!$L$4),ROW(),"")</f>
        <v/>
      </c>
    </row>
    <row r="140" customFormat="false" ht="15" hidden="false" customHeight="true" outlineLevel="0" collapsed="false">
      <c r="A140" s="54"/>
      <c r="B140" s="54"/>
      <c r="C140" s="53"/>
      <c r="D140" s="53"/>
      <c r="E140" s="64"/>
      <c r="F140" s="65" t="str">
        <f aca="false">IF(AND(ISNUMBER(C140),ISNUMBER(D140),D140&gt;=C140),D140-C140+1,"")</f>
        <v/>
      </c>
      <c r="G140" s="66" t="str">
        <f aca="false">IF(AND(ISNUMBER(C140),ISNUMBER(D140),D140&gt;=C140),WORKDAY(D140,1),"")</f>
        <v/>
      </c>
      <c r="H140" s="55" t="str">
        <f aca="true">IF(A140="","",IF(NOT(AND(ISNUMBER(C140),ISNUMBER(D140))),"Sem data definida",IF(D140&lt;C140,"⚠ Datas invertidas",IF(TODAY()&lt;C140,IF(C140-TODAY()=1,"Começa amanhã","Começa em "&amp;(C140-TODAY())&amp;" dias"),IF(TODAY()&gt;D140,"Concluídas",IF(TODAY()=D140,"EM FÉRIAS (último dia)","EM FÉRIAS (faltam "&amp;(D140-TODAY())&amp;" dias)"))))))</f>
        <v/>
      </c>
      <c r="I140" s="55" t="str">
        <f aca="false">IF(OR(A140="",NOT(AND(ISNUMBER(C140),ISNUMBER(D140)))),"",IF(D140-C140+1&gt;30,"⚠ Período acima de 30 dias",IF(COUNTIFS($B$2:$B$301,B140,$C$2:$C$301,"&lt;="&amp;D140,$D$2:$D$301,"&gt;="&amp;C140)&gt;1,"⚠ Coincide com férias de outro do setor","")))</f>
        <v/>
      </c>
      <c r="K140" s="0" t="str">
        <f aca="true">IF(AND(ISNUMBER(C140),ISNUMBER(D140),C140&lt;=TODAY(),D140&gt;=TODAY()),D140+ROW()/100000,"")</f>
        <v/>
      </c>
      <c r="L140" s="0" t="str">
        <f aca="true">IF(AND(ISNUMBER(C140),C140&gt;TODAY(),C140&lt;=TODAY()+30),C140+ROW()/100000,"")</f>
        <v/>
      </c>
      <c r="M140" s="0" t="str">
        <f aca="false">IF(AND(ISNUMBER(C140),ISNUMBER(D140),C140&lt;=CALENDÁRIO!$L$4,D140&gt;=CALENDÁRIO!$L$4),ROW(),"")</f>
        <v/>
      </c>
    </row>
    <row r="141" customFormat="false" ht="15" hidden="false" customHeight="true" outlineLevel="0" collapsed="false">
      <c r="A141" s="54"/>
      <c r="B141" s="54"/>
      <c r="C141" s="53"/>
      <c r="D141" s="53"/>
      <c r="E141" s="64"/>
      <c r="F141" s="65" t="str">
        <f aca="false">IF(AND(ISNUMBER(C141),ISNUMBER(D141),D141&gt;=C141),D141-C141+1,"")</f>
        <v/>
      </c>
      <c r="G141" s="66" t="str">
        <f aca="false">IF(AND(ISNUMBER(C141),ISNUMBER(D141),D141&gt;=C141),WORKDAY(D141,1),"")</f>
        <v/>
      </c>
      <c r="H141" s="55" t="str">
        <f aca="true">IF(A141="","",IF(NOT(AND(ISNUMBER(C141),ISNUMBER(D141))),"Sem data definida",IF(D141&lt;C141,"⚠ Datas invertidas",IF(TODAY()&lt;C141,IF(C141-TODAY()=1,"Começa amanhã","Começa em "&amp;(C141-TODAY())&amp;" dias"),IF(TODAY()&gt;D141,"Concluídas",IF(TODAY()=D141,"EM FÉRIAS (último dia)","EM FÉRIAS (faltam "&amp;(D141-TODAY())&amp;" dias)"))))))</f>
        <v/>
      </c>
      <c r="I141" s="55" t="str">
        <f aca="false">IF(OR(A141="",NOT(AND(ISNUMBER(C141),ISNUMBER(D141)))),"",IF(D141-C141+1&gt;30,"⚠ Período acima de 30 dias",IF(COUNTIFS($B$2:$B$301,B141,$C$2:$C$301,"&lt;="&amp;D141,$D$2:$D$301,"&gt;="&amp;C141)&gt;1,"⚠ Coincide com férias de outro do setor","")))</f>
        <v/>
      </c>
      <c r="K141" s="0" t="str">
        <f aca="true">IF(AND(ISNUMBER(C141),ISNUMBER(D141),C141&lt;=TODAY(),D141&gt;=TODAY()),D141+ROW()/100000,"")</f>
        <v/>
      </c>
      <c r="L141" s="0" t="str">
        <f aca="true">IF(AND(ISNUMBER(C141),C141&gt;TODAY(),C141&lt;=TODAY()+30),C141+ROW()/100000,"")</f>
        <v/>
      </c>
      <c r="M141" s="0" t="str">
        <f aca="false">IF(AND(ISNUMBER(C141),ISNUMBER(D141),C141&lt;=CALENDÁRIO!$L$4,D141&gt;=CALENDÁRIO!$L$4),ROW(),"")</f>
        <v/>
      </c>
    </row>
    <row r="142" customFormat="false" ht="15" hidden="false" customHeight="true" outlineLevel="0" collapsed="false">
      <c r="A142" s="54"/>
      <c r="B142" s="54"/>
      <c r="C142" s="53"/>
      <c r="D142" s="53"/>
      <c r="E142" s="64"/>
      <c r="F142" s="65" t="str">
        <f aca="false">IF(AND(ISNUMBER(C142),ISNUMBER(D142),D142&gt;=C142),D142-C142+1,"")</f>
        <v/>
      </c>
      <c r="G142" s="66" t="str">
        <f aca="false">IF(AND(ISNUMBER(C142),ISNUMBER(D142),D142&gt;=C142),WORKDAY(D142,1),"")</f>
        <v/>
      </c>
      <c r="H142" s="55" t="str">
        <f aca="true">IF(A142="","",IF(NOT(AND(ISNUMBER(C142),ISNUMBER(D142))),"Sem data definida",IF(D142&lt;C142,"⚠ Datas invertidas",IF(TODAY()&lt;C142,IF(C142-TODAY()=1,"Começa amanhã","Começa em "&amp;(C142-TODAY())&amp;" dias"),IF(TODAY()&gt;D142,"Concluídas",IF(TODAY()=D142,"EM FÉRIAS (último dia)","EM FÉRIAS (faltam "&amp;(D142-TODAY())&amp;" dias)"))))))</f>
        <v/>
      </c>
      <c r="I142" s="55" t="str">
        <f aca="false">IF(OR(A142="",NOT(AND(ISNUMBER(C142),ISNUMBER(D142)))),"",IF(D142-C142+1&gt;30,"⚠ Período acima de 30 dias",IF(COUNTIFS($B$2:$B$301,B142,$C$2:$C$301,"&lt;="&amp;D142,$D$2:$D$301,"&gt;="&amp;C142)&gt;1,"⚠ Coincide com férias de outro do setor","")))</f>
        <v/>
      </c>
      <c r="K142" s="0" t="str">
        <f aca="true">IF(AND(ISNUMBER(C142),ISNUMBER(D142),C142&lt;=TODAY(),D142&gt;=TODAY()),D142+ROW()/100000,"")</f>
        <v/>
      </c>
      <c r="L142" s="0" t="str">
        <f aca="true">IF(AND(ISNUMBER(C142),C142&gt;TODAY(),C142&lt;=TODAY()+30),C142+ROW()/100000,"")</f>
        <v/>
      </c>
      <c r="M142" s="0" t="str">
        <f aca="false">IF(AND(ISNUMBER(C142),ISNUMBER(D142),C142&lt;=CALENDÁRIO!$L$4,D142&gt;=CALENDÁRIO!$L$4),ROW(),"")</f>
        <v/>
      </c>
    </row>
    <row r="143" customFormat="false" ht="15" hidden="false" customHeight="true" outlineLevel="0" collapsed="false">
      <c r="A143" s="54"/>
      <c r="B143" s="54"/>
      <c r="C143" s="53"/>
      <c r="D143" s="53"/>
      <c r="E143" s="64"/>
      <c r="F143" s="65" t="str">
        <f aca="false">IF(AND(ISNUMBER(C143),ISNUMBER(D143),D143&gt;=C143),D143-C143+1,"")</f>
        <v/>
      </c>
      <c r="G143" s="66" t="str">
        <f aca="false">IF(AND(ISNUMBER(C143),ISNUMBER(D143),D143&gt;=C143),WORKDAY(D143,1),"")</f>
        <v/>
      </c>
      <c r="H143" s="55" t="str">
        <f aca="true">IF(A143="","",IF(NOT(AND(ISNUMBER(C143),ISNUMBER(D143))),"Sem data definida",IF(D143&lt;C143,"⚠ Datas invertidas",IF(TODAY()&lt;C143,IF(C143-TODAY()=1,"Começa amanhã","Começa em "&amp;(C143-TODAY())&amp;" dias"),IF(TODAY()&gt;D143,"Concluídas",IF(TODAY()=D143,"EM FÉRIAS (último dia)","EM FÉRIAS (faltam "&amp;(D143-TODAY())&amp;" dias)"))))))</f>
        <v/>
      </c>
      <c r="I143" s="55" t="str">
        <f aca="false">IF(OR(A143="",NOT(AND(ISNUMBER(C143),ISNUMBER(D143)))),"",IF(D143-C143+1&gt;30,"⚠ Período acima de 30 dias",IF(COUNTIFS($B$2:$B$301,B143,$C$2:$C$301,"&lt;="&amp;D143,$D$2:$D$301,"&gt;="&amp;C143)&gt;1,"⚠ Coincide com férias de outro do setor","")))</f>
        <v/>
      </c>
      <c r="K143" s="0" t="str">
        <f aca="true">IF(AND(ISNUMBER(C143),ISNUMBER(D143),C143&lt;=TODAY(),D143&gt;=TODAY()),D143+ROW()/100000,"")</f>
        <v/>
      </c>
      <c r="L143" s="0" t="str">
        <f aca="true">IF(AND(ISNUMBER(C143),C143&gt;TODAY(),C143&lt;=TODAY()+30),C143+ROW()/100000,"")</f>
        <v/>
      </c>
      <c r="M143" s="0" t="str">
        <f aca="false">IF(AND(ISNUMBER(C143),ISNUMBER(D143),C143&lt;=CALENDÁRIO!$L$4,D143&gt;=CALENDÁRIO!$L$4),ROW(),"")</f>
        <v/>
      </c>
    </row>
    <row r="144" customFormat="false" ht="15" hidden="false" customHeight="true" outlineLevel="0" collapsed="false">
      <c r="A144" s="54"/>
      <c r="B144" s="54"/>
      <c r="C144" s="53"/>
      <c r="D144" s="53"/>
      <c r="E144" s="64"/>
      <c r="F144" s="65" t="str">
        <f aca="false">IF(AND(ISNUMBER(C144),ISNUMBER(D144),D144&gt;=C144),D144-C144+1,"")</f>
        <v/>
      </c>
      <c r="G144" s="66" t="str">
        <f aca="false">IF(AND(ISNUMBER(C144),ISNUMBER(D144),D144&gt;=C144),WORKDAY(D144,1),"")</f>
        <v/>
      </c>
      <c r="H144" s="55" t="str">
        <f aca="true">IF(A144="","",IF(NOT(AND(ISNUMBER(C144),ISNUMBER(D144))),"Sem data definida",IF(D144&lt;C144,"⚠ Datas invertidas",IF(TODAY()&lt;C144,IF(C144-TODAY()=1,"Começa amanhã","Começa em "&amp;(C144-TODAY())&amp;" dias"),IF(TODAY()&gt;D144,"Concluídas",IF(TODAY()=D144,"EM FÉRIAS (último dia)","EM FÉRIAS (faltam "&amp;(D144-TODAY())&amp;" dias)"))))))</f>
        <v/>
      </c>
      <c r="I144" s="55" t="str">
        <f aca="false">IF(OR(A144="",NOT(AND(ISNUMBER(C144),ISNUMBER(D144)))),"",IF(D144-C144+1&gt;30,"⚠ Período acima de 30 dias",IF(COUNTIFS($B$2:$B$301,B144,$C$2:$C$301,"&lt;="&amp;D144,$D$2:$D$301,"&gt;="&amp;C144)&gt;1,"⚠ Coincide com férias de outro do setor","")))</f>
        <v/>
      </c>
      <c r="K144" s="0" t="str">
        <f aca="true">IF(AND(ISNUMBER(C144),ISNUMBER(D144),C144&lt;=TODAY(),D144&gt;=TODAY()),D144+ROW()/100000,"")</f>
        <v/>
      </c>
      <c r="L144" s="0" t="str">
        <f aca="true">IF(AND(ISNUMBER(C144),C144&gt;TODAY(),C144&lt;=TODAY()+30),C144+ROW()/100000,"")</f>
        <v/>
      </c>
      <c r="M144" s="0" t="str">
        <f aca="false">IF(AND(ISNUMBER(C144),ISNUMBER(D144),C144&lt;=CALENDÁRIO!$L$4,D144&gt;=CALENDÁRIO!$L$4),ROW(),"")</f>
        <v/>
      </c>
    </row>
    <row r="145" customFormat="false" ht="15" hidden="false" customHeight="true" outlineLevel="0" collapsed="false">
      <c r="A145" s="54"/>
      <c r="B145" s="54"/>
      <c r="C145" s="53"/>
      <c r="D145" s="53"/>
      <c r="E145" s="64"/>
      <c r="F145" s="65" t="str">
        <f aca="false">IF(AND(ISNUMBER(C145),ISNUMBER(D145),D145&gt;=C145),D145-C145+1,"")</f>
        <v/>
      </c>
      <c r="G145" s="66" t="str">
        <f aca="false">IF(AND(ISNUMBER(C145),ISNUMBER(D145),D145&gt;=C145),WORKDAY(D145,1),"")</f>
        <v/>
      </c>
      <c r="H145" s="55" t="str">
        <f aca="true">IF(A145="","",IF(NOT(AND(ISNUMBER(C145),ISNUMBER(D145))),"Sem data definida",IF(D145&lt;C145,"⚠ Datas invertidas",IF(TODAY()&lt;C145,IF(C145-TODAY()=1,"Começa amanhã","Começa em "&amp;(C145-TODAY())&amp;" dias"),IF(TODAY()&gt;D145,"Concluídas",IF(TODAY()=D145,"EM FÉRIAS (último dia)","EM FÉRIAS (faltam "&amp;(D145-TODAY())&amp;" dias)"))))))</f>
        <v/>
      </c>
      <c r="I145" s="55" t="str">
        <f aca="false">IF(OR(A145="",NOT(AND(ISNUMBER(C145),ISNUMBER(D145)))),"",IF(D145-C145+1&gt;30,"⚠ Período acima de 30 dias",IF(COUNTIFS($B$2:$B$301,B145,$C$2:$C$301,"&lt;="&amp;D145,$D$2:$D$301,"&gt;="&amp;C145)&gt;1,"⚠ Coincide com férias de outro do setor","")))</f>
        <v/>
      </c>
      <c r="K145" s="0" t="str">
        <f aca="true">IF(AND(ISNUMBER(C145),ISNUMBER(D145),C145&lt;=TODAY(),D145&gt;=TODAY()),D145+ROW()/100000,"")</f>
        <v/>
      </c>
      <c r="L145" s="0" t="str">
        <f aca="true">IF(AND(ISNUMBER(C145),C145&gt;TODAY(),C145&lt;=TODAY()+30),C145+ROW()/100000,"")</f>
        <v/>
      </c>
      <c r="M145" s="0" t="str">
        <f aca="false">IF(AND(ISNUMBER(C145),ISNUMBER(D145),C145&lt;=CALENDÁRIO!$L$4,D145&gt;=CALENDÁRIO!$L$4),ROW(),"")</f>
        <v/>
      </c>
    </row>
    <row r="146" customFormat="false" ht="15" hidden="false" customHeight="true" outlineLevel="0" collapsed="false">
      <c r="A146" s="54"/>
      <c r="B146" s="54"/>
      <c r="C146" s="53"/>
      <c r="D146" s="53"/>
      <c r="E146" s="64"/>
      <c r="F146" s="65" t="str">
        <f aca="false">IF(AND(ISNUMBER(C146),ISNUMBER(D146),D146&gt;=C146),D146-C146+1,"")</f>
        <v/>
      </c>
      <c r="G146" s="66" t="str">
        <f aca="false">IF(AND(ISNUMBER(C146),ISNUMBER(D146),D146&gt;=C146),WORKDAY(D146,1),"")</f>
        <v/>
      </c>
      <c r="H146" s="55" t="str">
        <f aca="true">IF(A146="","",IF(NOT(AND(ISNUMBER(C146),ISNUMBER(D146))),"Sem data definida",IF(D146&lt;C146,"⚠ Datas invertidas",IF(TODAY()&lt;C146,IF(C146-TODAY()=1,"Começa amanhã","Começa em "&amp;(C146-TODAY())&amp;" dias"),IF(TODAY()&gt;D146,"Concluídas",IF(TODAY()=D146,"EM FÉRIAS (último dia)","EM FÉRIAS (faltam "&amp;(D146-TODAY())&amp;" dias)"))))))</f>
        <v/>
      </c>
      <c r="I146" s="55" t="str">
        <f aca="false">IF(OR(A146="",NOT(AND(ISNUMBER(C146),ISNUMBER(D146)))),"",IF(D146-C146+1&gt;30,"⚠ Período acima de 30 dias",IF(COUNTIFS($B$2:$B$301,B146,$C$2:$C$301,"&lt;="&amp;D146,$D$2:$D$301,"&gt;="&amp;C146)&gt;1,"⚠ Coincide com férias de outro do setor","")))</f>
        <v/>
      </c>
      <c r="K146" s="0" t="str">
        <f aca="true">IF(AND(ISNUMBER(C146),ISNUMBER(D146),C146&lt;=TODAY(),D146&gt;=TODAY()),D146+ROW()/100000,"")</f>
        <v/>
      </c>
      <c r="L146" s="0" t="str">
        <f aca="true">IF(AND(ISNUMBER(C146),C146&gt;TODAY(),C146&lt;=TODAY()+30),C146+ROW()/100000,"")</f>
        <v/>
      </c>
      <c r="M146" s="0" t="str">
        <f aca="false">IF(AND(ISNUMBER(C146),ISNUMBER(D146),C146&lt;=CALENDÁRIO!$L$4,D146&gt;=CALENDÁRIO!$L$4),ROW(),"")</f>
        <v/>
      </c>
    </row>
    <row r="147" customFormat="false" ht="15" hidden="false" customHeight="true" outlineLevel="0" collapsed="false">
      <c r="A147" s="54"/>
      <c r="B147" s="54"/>
      <c r="C147" s="53"/>
      <c r="D147" s="53"/>
      <c r="E147" s="64"/>
      <c r="F147" s="65" t="str">
        <f aca="false">IF(AND(ISNUMBER(C147),ISNUMBER(D147),D147&gt;=C147),D147-C147+1,"")</f>
        <v/>
      </c>
      <c r="G147" s="66" t="str">
        <f aca="false">IF(AND(ISNUMBER(C147),ISNUMBER(D147),D147&gt;=C147),WORKDAY(D147,1),"")</f>
        <v/>
      </c>
      <c r="H147" s="55" t="str">
        <f aca="true">IF(A147="","",IF(NOT(AND(ISNUMBER(C147),ISNUMBER(D147))),"Sem data definida",IF(D147&lt;C147,"⚠ Datas invertidas",IF(TODAY()&lt;C147,IF(C147-TODAY()=1,"Começa amanhã","Começa em "&amp;(C147-TODAY())&amp;" dias"),IF(TODAY()&gt;D147,"Concluídas",IF(TODAY()=D147,"EM FÉRIAS (último dia)","EM FÉRIAS (faltam "&amp;(D147-TODAY())&amp;" dias)"))))))</f>
        <v/>
      </c>
      <c r="I147" s="55" t="str">
        <f aca="false">IF(OR(A147="",NOT(AND(ISNUMBER(C147),ISNUMBER(D147)))),"",IF(D147-C147+1&gt;30,"⚠ Período acima de 30 dias",IF(COUNTIFS($B$2:$B$301,B147,$C$2:$C$301,"&lt;="&amp;D147,$D$2:$D$301,"&gt;="&amp;C147)&gt;1,"⚠ Coincide com férias de outro do setor","")))</f>
        <v/>
      </c>
      <c r="K147" s="0" t="str">
        <f aca="true">IF(AND(ISNUMBER(C147),ISNUMBER(D147),C147&lt;=TODAY(),D147&gt;=TODAY()),D147+ROW()/100000,"")</f>
        <v/>
      </c>
      <c r="L147" s="0" t="str">
        <f aca="true">IF(AND(ISNUMBER(C147),C147&gt;TODAY(),C147&lt;=TODAY()+30),C147+ROW()/100000,"")</f>
        <v/>
      </c>
      <c r="M147" s="0" t="str">
        <f aca="false">IF(AND(ISNUMBER(C147),ISNUMBER(D147),C147&lt;=CALENDÁRIO!$L$4,D147&gt;=CALENDÁRIO!$L$4),ROW(),"")</f>
        <v/>
      </c>
    </row>
    <row r="148" customFormat="false" ht="15" hidden="false" customHeight="true" outlineLevel="0" collapsed="false">
      <c r="A148" s="54"/>
      <c r="B148" s="54"/>
      <c r="C148" s="53"/>
      <c r="D148" s="53"/>
      <c r="E148" s="64"/>
      <c r="F148" s="65" t="str">
        <f aca="false">IF(AND(ISNUMBER(C148),ISNUMBER(D148),D148&gt;=C148),D148-C148+1,"")</f>
        <v/>
      </c>
      <c r="G148" s="66" t="str">
        <f aca="false">IF(AND(ISNUMBER(C148),ISNUMBER(D148),D148&gt;=C148),WORKDAY(D148,1),"")</f>
        <v/>
      </c>
      <c r="H148" s="55" t="str">
        <f aca="true">IF(A148="","",IF(NOT(AND(ISNUMBER(C148),ISNUMBER(D148))),"Sem data definida",IF(D148&lt;C148,"⚠ Datas invertidas",IF(TODAY()&lt;C148,IF(C148-TODAY()=1,"Começa amanhã","Começa em "&amp;(C148-TODAY())&amp;" dias"),IF(TODAY()&gt;D148,"Concluídas",IF(TODAY()=D148,"EM FÉRIAS (último dia)","EM FÉRIAS (faltam "&amp;(D148-TODAY())&amp;" dias)"))))))</f>
        <v/>
      </c>
      <c r="I148" s="55" t="str">
        <f aca="false">IF(OR(A148="",NOT(AND(ISNUMBER(C148),ISNUMBER(D148)))),"",IF(D148-C148+1&gt;30,"⚠ Período acima de 30 dias",IF(COUNTIFS($B$2:$B$301,B148,$C$2:$C$301,"&lt;="&amp;D148,$D$2:$D$301,"&gt;="&amp;C148)&gt;1,"⚠ Coincide com férias de outro do setor","")))</f>
        <v/>
      </c>
      <c r="K148" s="0" t="str">
        <f aca="true">IF(AND(ISNUMBER(C148),ISNUMBER(D148),C148&lt;=TODAY(),D148&gt;=TODAY()),D148+ROW()/100000,"")</f>
        <v/>
      </c>
      <c r="L148" s="0" t="str">
        <f aca="true">IF(AND(ISNUMBER(C148),C148&gt;TODAY(),C148&lt;=TODAY()+30),C148+ROW()/100000,"")</f>
        <v/>
      </c>
      <c r="M148" s="0" t="str">
        <f aca="false">IF(AND(ISNUMBER(C148),ISNUMBER(D148),C148&lt;=CALENDÁRIO!$L$4,D148&gt;=CALENDÁRIO!$L$4),ROW(),"")</f>
        <v/>
      </c>
    </row>
    <row r="149" customFormat="false" ht="15" hidden="false" customHeight="true" outlineLevel="0" collapsed="false">
      <c r="A149" s="54"/>
      <c r="B149" s="54"/>
      <c r="C149" s="53"/>
      <c r="D149" s="53"/>
      <c r="E149" s="64"/>
      <c r="F149" s="65" t="str">
        <f aca="false">IF(AND(ISNUMBER(C149),ISNUMBER(D149),D149&gt;=C149),D149-C149+1,"")</f>
        <v/>
      </c>
      <c r="G149" s="66" t="str">
        <f aca="false">IF(AND(ISNUMBER(C149),ISNUMBER(D149),D149&gt;=C149),WORKDAY(D149,1),"")</f>
        <v/>
      </c>
      <c r="H149" s="55" t="str">
        <f aca="true">IF(A149="","",IF(NOT(AND(ISNUMBER(C149),ISNUMBER(D149))),"Sem data definida",IF(D149&lt;C149,"⚠ Datas invertidas",IF(TODAY()&lt;C149,IF(C149-TODAY()=1,"Começa amanhã","Começa em "&amp;(C149-TODAY())&amp;" dias"),IF(TODAY()&gt;D149,"Concluídas",IF(TODAY()=D149,"EM FÉRIAS (último dia)","EM FÉRIAS (faltam "&amp;(D149-TODAY())&amp;" dias)"))))))</f>
        <v/>
      </c>
      <c r="I149" s="55" t="str">
        <f aca="false">IF(OR(A149="",NOT(AND(ISNUMBER(C149),ISNUMBER(D149)))),"",IF(D149-C149+1&gt;30,"⚠ Período acima de 30 dias",IF(COUNTIFS($B$2:$B$301,B149,$C$2:$C$301,"&lt;="&amp;D149,$D$2:$D$301,"&gt;="&amp;C149)&gt;1,"⚠ Coincide com férias de outro do setor","")))</f>
        <v/>
      </c>
      <c r="K149" s="0" t="str">
        <f aca="true">IF(AND(ISNUMBER(C149),ISNUMBER(D149),C149&lt;=TODAY(),D149&gt;=TODAY()),D149+ROW()/100000,"")</f>
        <v/>
      </c>
      <c r="L149" s="0" t="str">
        <f aca="true">IF(AND(ISNUMBER(C149),C149&gt;TODAY(),C149&lt;=TODAY()+30),C149+ROW()/100000,"")</f>
        <v/>
      </c>
      <c r="M149" s="0" t="str">
        <f aca="false">IF(AND(ISNUMBER(C149),ISNUMBER(D149),C149&lt;=CALENDÁRIO!$L$4,D149&gt;=CALENDÁRIO!$L$4),ROW(),"")</f>
        <v/>
      </c>
    </row>
    <row r="150" customFormat="false" ht="15" hidden="false" customHeight="true" outlineLevel="0" collapsed="false">
      <c r="A150" s="54"/>
      <c r="B150" s="54"/>
      <c r="C150" s="53"/>
      <c r="D150" s="53"/>
      <c r="E150" s="64"/>
      <c r="F150" s="65" t="str">
        <f aca="false">IF(AND(ISNUMBER(C150),ISNUMBER(D150),D150&gt;=C150),D150-C150+1,"")</f>
        <v/>
      </c>
      <c r="G150" s="66" t="str">
        <f aca="false">IF(AND(ISNUMBER(C150),ISNUMBER(D150),D150&gt;=C150),WORKDAY(D150,1),"")</f>
        <v/>
      </c>
      <c r="H150" s="55" t="str">
        <f aca="true">IF(A150="","",IF(NOT(AND(ISNUMBER(C150),ISNUMBER(D150))),"Sem data definida",IF(D150&lt;C150,"⚠ Datas invertidas",IF(TODAY()&lt;C150,IF(C150-TODAY()=1,"Começa amanhã","Começa em "&amp;(C150-TODAY())&amp;" dias"),IF(TODAY()&gt;D150,"Concluídas",IF(TODAY()=D150,"EM FÉRIAS (último dia)","EM FÉRIAS (faltam "&amp;(D150-TODAY())&amp;" dias)"))))))</f>
        <v/>
      </c>
      <c r="I150" s="55" t="str">
        <f aca="false">IF(OR(A150="",NOT(AND(ISNUMBER(C150),ISNUMBER(D150)))),"",IF(D150-C150+1&gt;30,"⚠ Período acima de 30 dias",IF(COUNTIFS($B$2:$B$301,B150,$C$2:$C$301,"&lt;="&amp;D150,$D$2:$D$301,"&gt;="&amp;C150)&gt;1,"⚠ Coincide com férias de outro do setor","")))</f>
        <v/>
      </c>
      <c r="K150" s="0" t="str">
        <f aca="true">IF(AND(ISNUMBER(C150),ISNUMBER(D150),C150&lt;=TODAY(),D150&gt;=TODAY()),D150+ROW()/100000,"")</f>
        <v/>
      </c>
      <c r="L150" s="0" t="str">
        <f aca="true">IF(AND(ISNUMBER(C150),C150&gt;TODAY(),C150&lt;=TODAY()+30),C150+ROW()/100000,"")</f>
        <v/>
      </c>
      <c r="M150" s="0" t="str">
        <f aca="false">IF(AND(ISNUMBER(C150),ISNUMBER(D150),C150&lt;=CALENDÁRIO!$L$4,D150&gt;=CALENDÁRIO!$L$4),ROW(),"")</f>
        <v/>
      </c>
    </row>
    <row r="151" customFormat="false" ht="15" hidden="false" customHeight="true" outlineLevel="0" collapsed="false">
      <c r="A151" s="54"/>
      <c r="B151" s="54"/>
      <c r="C151" s="53"/>
      <c r="D151" s="53"/>
      <c r="E151" s="64"/>
      <c r="F151" s="65" t="str">
        <f aca="false">IF(AND(ISNUMBER(C151),ISNUMBER(D151),D151&gt;=C151),D151-C151+1,"")</f>
        <v/>
      </c>
      <c r="G151" s="66" t="str">
        <f aca="false">IF(AND(ISNUMBER(C151),ISNUMBER(D151),D151&gt;=C151),WORKDAY(D151,1),"")</f>
        <v/>
      </c>
      <c r="H151" s="55" t="str">
        <f aca="true">IF(A151="","",IF(NOT(AND(ISNUMBER(C151),ISNUMBER(D151))),"Sem data definida",IF(D151&lt;C151,"⚠ Datas invertidas",IF(TODAY()&lt;C151,IF(C151-TODAY()=1,"Começa amanhã","Começa em "&amp;(C151-TODAY())&amp;" dias"),IF(TODAY()&gt;D151,"Concluídas",IF(TODAY()=D151,"EM FÉRIAS (último dia)","EM FÉRIAS (faltam "&amp;(D151-TODAY())&amp;" dias)"))))))</f>
        <v/>
      </c>
      <c r="I151" s="55" t="str">
        <f aca="false">IF(OR(A151="",NOT(AND(ISNUMBER(C151),ISNUMBER(D151)))),"",IF(D151-C151+1&gt;30,"⚠ Período acima de 30 dias",IF(COUNTIFS($B$2:$B$301,B151,$C$2:$C$301,"&lt;="&amp;D151,$D$2:$D$301,"&gt;="&amp;C151)&gt;1,"⚠ Coincide com férias de outro do setor","")))</f>
        <v/>
      </c>
      <c r="K151" s="0" t="str">
        <f aca="true">IF(AND(ISNUMBER(C151),ISNUMBER(D151),C151&lt;=TODAY(),D151&gt;=TODAY()),D151+ROW()/100000,"")</f>
        <v/>
      </c>
      <c r="L151" s="0" t="str">
        <f aca="true">IF(AND(ISNUMBER(C151),C151&gt;TODAY(),C151&lt;=TODAY()+30),C151+ROW()/100000,"")</f>
        <v/>
      </c>
      <c r="M151" s="0" t="str">
        <f aca="false">IF(AND(ISNUMBER(C151),ISNUMBER(D151),C151&lt;=CALENDÁRIO!$L$4,D151&gt;=CALENDÁRIO!$L$4),ROW(),"")</f>
        <v/>
      </c>
    </row>
    <row r="152" customFormat="false" ht="15" hidden="false" customHeight="true" outlineLevel="0" collapsed="false">
      <c r="A152" s="54"/>
      <c r="B152" s="54"/>
      <c r="C152" s="53"/>
      <c r="D152" s="53"/>
      <c r="E152" s="64"/>
      <c r="F152" s="65" t="str">
        <f aca="false">IF(AND(ISNUMBER(C152),ISNUMBER(D152),D152&gt;=C152),D152-C152+1,"")</f>
        <v/>
      </c>
      <c r="G152" s="66" t="str">
        <f aca="false">IF(AND(ISNUMBER(C152),ISNUMBER(D152),D152&gt;=C152),WORKDAY(D152,1),"")</f>
        <v/>
      </c>
      <c r="H152" s="55" t="str">
        <f aca="true">IF(A152="","",IF(NOT(AND(ISNUMBER(C152),ISNUMBER(D152))),"Sem data definida",IF(D152&lt;C152,"⚠ Datas invertidas",IF(TODAY()&lt;C152,IF(C152-TODAY()=1,"Começa amanhã","Começa em "&amp;(C152-TODAY())&amp;" dias"),IF(TODAY()&gt;D152,"Concluídas",IF(TODAY()=D152,"EM FÉRIAS (último dia)","EM FÉRIAS (faltam "&amp;(D152-TODAY())&amp;" dias)"))))))</f>
        <v/>
      </c>
      <c r="I152" s="55" t="str">
        <f aca="false">IF(OR(A152="",NOT(AND(ISNUMBER(C152),ISNUMBER(D152)))),"",IF(D152-C152+1&gt;30,"⚠ Período acima de 30 dias",IF(COUNTIFS($B$2:$B$301,B152,$C$2:$C$301,"&lt;="&amp;D152,$D$2:$D$301,"&gt;="&amp;C152)&gt;1,"⚠ Coincide com férias de outro do setor","")))</f>
        <v/>
      </c>
      <c r="K152" s="0" t="str">
        <f aca="true">IF(AND(ISNUMBER(C152),ISNUMBER(D152),C152&lt;=TODAY(),D152&gt;=TODAY()),D152+ROW()/100000,"")</f>
        <v/>
      </c>
      <c r="L152" s="0" t="str">
        <f aca="true">IF(AND(ISNUMBER(C152),C152&gt;TODAY(),C152&lt;=TODAY()+30),C152+ROW()/100000,"")</f>
        <v/>
      </c>
      <c r="M152" s="0" t="str">
        <f aca="false">IF(AND(ISNUMBER(C152),ISNUMBER(D152),C152&lt;=CALENDÁRIO!$L$4,D152&gt;=CALENDÁRIO!$L$4),ROW(),"")</f>
        <v/>
      </c>
    </row>
    <row r="153" customFormat="false" ht="15" hidden="false" customHeight="true" outlineLevel="0" collapsed="false">
      <c r="A153" s="54"/>
      <c r="B153" s="54"/>
      <c r="C153" s="53"/>
      <c r="D153" s="53"/>
      <c r="E153" s="64"/>
      <c r="F153" s="65" t="str">
        <f aca="false">IF(AND(ISNUMBER(C153),ISNUMBER(D153),D153&gt;=C153),D153-C153+1,"")</f>
        <v/>
      </c>
      <c r="G153" s="66" t="str">
        <f aca="false">IF(AND(ISNUMBER(C153),ISNUMBER(D153),D153&gt;=C153),WORKDAY(D153,1),"")</f>
        <v/>
      </c>
      <c r="H153" s="55" t="str">
        <f aca="true">IF(A153="","",IF(NOT(AND(ISNUMBER(C153),ISNUMBER(D153))),"Sem data definida",IF(D153&lt;C153,"⚠ Datas invertidas",IF(TODAY()&lt;C153,IF(C153-TODAY()=1,"Começa amanhã","Começa em "&amp;(C153-TODAY())&amp;" dias"),IF(TODAY()&gt;D153,"Concluídas",IF(TODAY()=D153,"EM FÉRIAS (último dia)","EM FÉRIAS (faltam "&amp;(D153-TODAY())&amp;" dias)"))))))</f>
        <v/>
      </c>
      <c r="I153" s="55" t="str">
        <f aca="false">IF(OR(A153="",NOT(AND(ISNUMBER(C153),ISNUMBER(D153)))),"",IF(D153-C153+1&gt;30,"⚠ Período acima de 30 dias",IF(COUNTIFS($B$2:$B$301,B153,$C$2:$C$301,"&lt;="&amp;D153,$D$2:$D$301,"&gt;="&amp;C153)&gt;1,"⚠ Coincide com férias de outro do setor","")))</f>
        <v/>
      </c>
      <c r="K153" s="0" t="str">
        <f aca="true">IF(AND(ISNUMBER(C153),ISNUMBER(D153),C153&lt;=TODAY(),D153&gt;=TODAY()),D153+ROW()/100000,"")</f>
        <v/>
      </c>
      <c r="L153" s="0" t="str">
        <f aca="true">IF(AND(ISNUMBER(C153),C153&gt;TODAY(),C153&lt;=TODAY()+30),C153+ROW()/100000,"")</f>
        <v/>
      </c>
      <c r="M153" s="0" t="str">
        <f aca="false">IF(AND(ISNUMBER(C153),ISNUMBER(D153),C153&lt;=CALENDÁRIO!$L$4,D153&gt;=CALENDÁRIO!$L$4),ROW(),"")</f>
        <v/>
      </c>
    </row>
    <row r="154" customFormat="false" ht="15" hidden="false" customHeight="true" outlineLevel="0" collapsed="false">
      <c r="A154" s="54"/>
      <c r="B154" s="54"/>
      <c r="C154" s="53"/>
      <c r="D154" s="53"/>
      <c r="E154" s="64"/>
      <c r="F154" s="65" t="str">
        <f aca="false">IF(AND(ISNUMBER(C154),ISNUMBER(D154),D154&gt;=C154),D154-C154+1,"")</f>
        <v/>
      </c>
      <c r="G154" s="66" t="str">
        <f aca="false">IF(AND(ISNUMBER(C154),ISNUMBER(D154),D154&gt;=C154),WORKDAY(D154,1),"")</f>
        <v/>
      </c>
      <c r="H154" s="55" t="str">
        <f aca="true">IF(A154="","",IF(NOT(AND(ISNUMBER(C154),ISNUMBER(D154))),"Sem data definida",IF(D154&lt;C154,"⚠ Datas invertidas",IF(TODAY()&lt;C154,IF(C154-TODAY()=1,"Começa amanhã","Começa em "&amp;(C154-TODAY())&amp;" dias"),IF(TODAY()&gt;D154,"Concluídas",IF(TODAY()=D154,"EM FÉRIAS (último dia)","EM FÉRIAS (faltam "&amp;(D154-TODAY())&amp;" dias)"))))))</f>
        <v/>
      </c>
      <c r="I154" s="55" t="str">
        <f aca="false">IF(OR(A154="",NOT(AND(ISNUMBER(C154),ISNUMBER(D154)))),"",IF(D154-C154+1&gt;30,"⚠ Período acima de 30 dias",IF(COUNTIFS($B$2:$B$301,B154,$C$2:$C$301,"&lt;="&amp;D154,$D$2:$D$301,"&gt;="&amp;C154)&gt;1,"⚠ Coincide com férias de outro do setor","")))</f>
        <v/>
      </c>
      <c r="K154" s="0" t="str">
        <f aca="true">IF(AND(ISNUMBER(C154),ISNUMBER(D154),C154&lt;=TODAY(),D154&gt;=TODAY()),D154+ROW()/100000,"")</f>
        <v/>
      </c>
      <c r="L154" s="0" t="str">
        <f aca="true">IF(AND(ISNUMBER(C154),C154&gt;TODAY(),C154&lt;=TODAY()+30),C154+ROW()/100000,"")</f>
        <v/>
      </c>
      <c r="M154" s="0" t="str">
        <f aca="false">IF(AND(ISNUMBER(C154),ISNUMBER(D154),C154&lt;=CALENDÁRIO!$L$4,D154&gt;=CALENDÁRIO!$L$4),ROW(),"")</f>
        <v/>
      </c>
    </row>
    <row r="155" customFormat="false" ht="15" hidden="false" customHeight="true" outlineLevel="0" collapsed="false">
      <c r="A155" s="54"/>
      <c r="B155" s="54"/>
      <c r="C155" s="53"/>
      <c r="D155" s="53"/>
      <c r="E155" s="64"/>
      <c r="F155" s="65" t="str">
        <f aca="false">IF(AND(ISNUMBER(C155),ISNUMBER(D155),D155&gt;=C155),D155-C155+1,"")</f>
        <v/>
      </c>
      <c r="G155" s="66" t="str">
        <f aca="false">IF(AND(ISNUMBER(C155),ISNUMBER(D155),D155&gt;=C155),WORKDAY(D155,1),"")</f>
        <v/>
      </c>
      <c r="H155" s="55" t="str">
        <f aca="true">IF(A155="","",IF(NOT(AND(ISNUMBER(C155),ISNUMBER(D155))),"Sem data definida",IF(D155&lt;C155,"⚠ Datas invertidas",IF(TODAY()&lt;C155,IF(C155-TODAY()=1,"Começa amanhã","Começa em "&amp;(C155-TODAY())&amp;" dias"),IF(TODAY()&gt;D155,"Concluídas",IF(TODAY()=D155,"EM FÉRIAS (último dia)","EM FÉRIAS (faltam "&amp;(D155-TODAY())&amp;" dias)"))))))</f>
        <v/>
      </c>
      <c r="I155" s="55" t="str">
        <f aca="false">IF(OR(A155="",NOT(AND(ISNUMBER(C155),ISNUMBER(D155)))),"",IF(D155-C155+1&gt;30,"⚠ Período acima de 30 dias",IF(COUNTIFS($B$2:$B$301,B155,$C$2:$C$301,"&lt;="&amp;D155,$D$2:$D$301,"&gt;="&amp;C155)&gt;1,"⚠ Coincide com férias de outro do setor","")))</f>
        <v/>
      </c>
      <c r="K155" s="0" t="str">
        <f aca="true">IF(AND(ISNUMBER(C155),ISNUMBER(D155),C155&lt;=TODAY(),D155&gt;=TODAY()),D155+ROW()/100000,"")</f>
        <v/>
      </c>
      <c r="L155" s="0" t="str">
        <f aca="true">IF(AND(ISNUMBER(C155),C155&gt;TODAY(),C155&lt;=TODAY()+30),C155+ROW()/100000,"")</f>
        <v/>
      </c>
      <c r="M155" s="0" t="str">
        <f aca="false">IF(AND(ISNUMBER(C155),ISNUMBER(D155),C155&lt;=CALENDÁRIO!$L$4,D155&gt;=CALENDÁRIO!$L$4),ROW(),"")</f>
        <v/>
      </c>
    </row>
    <row r="156" customFormat="false" ht="15" hidden="false" customHeight="true" outlineLevel="0" collapsed="false">
      <c r="A156" s="54"/>
      <c r="B156" s="54"/>
      <c r="C156" s="53"/>
      <c r="D156" s="53"/>
      <c r="E156" s="64"/>
      <c r="F156" s="65" t="str">
        <f aca="false">IF(AND(ISNUMBER(C156),ISNUMBER(D156),D156&gt;=C156),D156-C156+1,"")</f>
        <v/>
      </c>
      <c r="G156" s="66" t="str">
        <f aca="false">IF(AND(ISNUMBER(C156),ISNUMBER(D156),D156&gt;=C156),WORKDAY(D156,1),"")</f>
        <v/>
      </c>
      <c r="H156" s="55" t="str">
        <f aca="true">IF(A156="","",IF(NOT(AND(ISNUMBER(C156),ISNUMBER(D156))),"Sem data definida",IF(D156&lt;C156,"⚠ Datas invertidas",IF(TODAY()&lt;C156,IF(C156-TODAY()=1,"Começa amanhã","Começa em "&amp;(C156-TODAY())&amp;" dias"),IF(TODAY()&gt;D156,"Concluídas",IF(TODAY()=D156,"EM FÉRIAS (último dia)","EM FÉRIAS (faltam "&amp;(D156-TODAY())&amp;" dias)"))))))</f>
        <v/>
      </c>
      <c r="I156" s="55" t="str">
        <f aca="false">IF(OR(A156="",NOT(AND(ISNUMBER(C156),ISNUMBER(D156)))),"",IF(D156-C156+1&gt;30,"⚠ Período acima de 30 dias",IF(COUNTIFS($B$2:$B$301,B156,$C$2:$C$301,"&lt;="&amp;D156,$D$2:$D$301,"&gt;="&amp;C156)&gt;1,"⚠ Coincide com férias de outro do setor","")))</f>
        <v/>
      </c>
      <c r="K156" s="0" t="str">
        <f aca="true">IF(AND(ISNUMBER(C156),ISNUMBER(D156),C156&lt;=TODAY(),D156&gt;=TODAY()),D156+ROW()/100000,"")</f>
        <v/>
      </c>
      <c r="L156" s="0" t="str">
        <f aca="true">IF(AND(ISNUMBER(C156),C156&gt;TODAY(),C156&lt;=TODAY()+30),C156+ROW()/100000,"")</f>
        <v/>
      </c>
      <c r="M156" s="0" t="str">
        <f aca="false">IF(AND(ISNUMBER(C156),ISNUMBER(D156),C156&lt;=CALENDÁRIO!$L$4,D156&gt;=CALENDÁRIO!$L$4),ROW(),"")</f>
        <v/>
      </c>
    </row>
    <row r="157" customFormat="false" ht="15" hidden="false" customHeight="true" outlineLevel="0" collapsed="false">
      <c r="A157" s="54"/>
      <c r="B157" s="54"/>
      <c r="C157" s="53"/>
      <c r="D157" s="53"/>
      <c r="E157" s="64"/>
      <c r="F157" s="65" t="str">
        <f aca="false">IF(AND(ISNUMBER(C157),ISNUMBER(D157),D157&gt;=C157),D157-C157+1,"")</f>
        <v/>
      </c>
      <c r="G157" s="66" t="str">
        <f aca="false">IF(AND(ISNUMBER(C157),ISNUMBER(D157),D157&gt;=C157),WORKDAY(D157,1),"")</f>
        <v/>
      </c>
      <c r="H157" s="55" t="str">
        <f aca="true">IF(A157="","",IF(NOT(AND(ISNUMBER(C157),ISNUMBER(D157))),"Sem data definida",IF(D157&lt;C157,"⚠ Datas invertidas",IF(TODAY()&lt;C157,IF(C157-TODAY()=1,"Começa amanhã","Começa em "&amp;(C157-TODAY())&amp;" dias"),IF(TODAY()&gt;D157,"Concluídas",IF(TODAY()=D157,"EM FÉRIAS (último dia)","EM FÉRIAS (faltam "&amp;(D157-TODAY())&amp;" dias)"))))))</f>
        <v/>
      </c>
      <c r="I157" s="55" t="str">
        <f aca="false">IF(OR(A157="",NOT(AND(ISNUMBER(C157),ISNUMBER(D157)))),"",IF(D157-C157+1&gt;30,"⚠ Período acima de 30 dias",IF(COUNTIFS($B$2:$B$301,B157,$C$2:$C$301,"&lt;="&amp;D157,$D$2:$D$301,"&gt;="&amp;C157)&gt;1,"⚠ Coincide com férias de outro do setor","")))</f>
        <v/>
      </c>
      <c r="K157" s="0" t="str">
        <f aca="true">IF(AND(ISNUMBER(C157),ISNUMBER(D157),C157&lt;=TODAY(),D157&gt;=TODAY()),D157+ROW()/100000,"")</f>
        <v/>
      </c>
      <c r="L157" s="0" t="str">
        <f aca="true">IF(AND(ISNUMBER(C157),C157&gt;TODAY(),C157&lt;=TODAY()+30),C157+ROW()/100000,"")</f>
        <v/>
      </c>
      <c r="M157" s="0" t="str">
        <f aca="false">IF(AND(ISNUMBER(C157),ISNUMBER(D157),C157&lt;=CALENDÁRIO!$L$4,D157&gt;=CALENDÁRIO!$L$4),ROW(),"")</f>
        <v/>
      </c>
    </row>
    <row r="158" customFormat="false" ht="15" hidden="false" customHeight="true" outlineLevel="0" collapsed="false">
      <c r="A158" s="54"/>
      <c r="B158" s="54"/>
      <c r="C158" s="53"/>
      <c r="D158" s="53"/>
      <c r="E158" s="64"/>
      <c r="F158" s="65" t="str">
        <f aca="false">IF(AND(ISNUMBER(C158),ISNUMBER(D158),D158&gt;=C158),D158-C158+1,"")</f>
        <v/>
      </c>
      <c r="G158" s="66" t="str">
        <f aca="false">IF(AND(ISNUMBER(C158),ISNUMBER(D158),D158&gt;=C158),WORKDAY(D158,1),"")</f>
        <v/>
      </c>
      <c r="H158" s="55" t="str">
        <f aca="true">IF(A158="","",IF(NOT(AND(ISNUMBER(C158),ISNUMBER(D158))),"Sem data definida",IF(D158&lt;C158,"⚠ Datas invertidas",IF(TODAY()&lt;C158,IF(C158-TODAY()=1,"Começa amanhã","Começa em "&amp;(C158-TODAY())&amp;" dias"),IF(TODAY()&gt;D158,"Concluídas",IF(TODAY()=D158,"EM FÉRIAS (último dia)","EM FÉRIAS (faltam "&amp;(D158-TODAY())&amp;" dias)"))))))</f>
        <v/>
      </c>
      <c r="I158" s="55" t="str">
        <f aca="false">IF(OR(A158="",NOT(AND(ISNUMBER(C158),ISNUMBER(D158)))),"",IF(D158-C158+1&gt;30,"⚠ Período acima de 30 dias",IF(COUNTIFS($B$2:$B$301,B158,$C$2:$C$301,"&lt;="&amp;D158,$D$2:$D$301,"&gt;="&amp;C158)&gt;1,"⚠ Coincide com férias de outro do setor","")))</f>
        <v/>
      </c>
      <c r="K158" s="0" t="str">
        <f aca="true">IF(AND(ISNUMBER(C158),ISNUMBER(D158),C158&lt;=TODAY(),D158&gt;=TODAY()),D158+ROW()/100000,"")</f>
        <v/>
      </c>
      <c r="L158" s="0" t="str">
        <f aca="true">IF(AND(ISNUMBER(C158),C158&gt;TODAY(),C158&lt;=TODAY()+30),C158+ROW()/100000,"")</f>
        <v/>
      </c>
      <c r="M158" s="0" t="str">
        <f aca="false">IF(AND(ISNUMBER(C158),ISNUMBER(D158),C158&lt;=CALENDÁRIO!$L$4,D158&gt;=CALENDÁRIO!$L$4),ROW(),"")</f>
        <v/>
      </c>
    </row>
    <row r="159" customFormat="false" ht="15" hidden="false" customHeight="true" outlineLevel="0" collapsed="false">
      <c r="A159" s="54"/>
      <c r="B159" s="54"/>
      <c r="C159" s="53"/>
      <c r="D159" s="53"/>
      <c r="E159" s="64"/>
      <c r="F159" s="65" t="str">
        <f aca="false">IF(AND(ISNUMBER(C159),ISNUMBER(D159),D159&gt;=C159),D159-C159+1,"")</f>
        <v/>
      </c>
      <c r="G159" s="66" t="str">
        <f aca="false">IF(AND(ISNUMBER(C159),ISNUMBER(D159),D159&gt;=C159),WORKDAY(D159,1),"")</f>
        <v/>
      </c>
      <c r="H159" s="55" t="str">
        <f aca="true">IF(A159="","",IF(NOT(AND(ISNUMBER(C159),ISNUMBER(D159))),"Sem data definida",IF(D159&lt;C159,"⚠ Datas invertidas",IF(TODAY()&lt;C159,IF(C159-TODAY()=1,"Começa amanhã","Começa em "&amp;(C159-TODAY())&amp;" dias"),IF(TODAY()&gt;D159,"Concluídas",IF(TODAY()=D159,"EM FÉRIAS (último dia)","EM FÉRIAS (faltam "&amp;(D159-TODAY())&amp;" dias)"))))))</f>
        <v/>
      </c>
      <c r="I159" s="55" t="str">
        <f aca="false">IF(OR(A159="",NOT(AND(ISNUMBER(C159),ISNUMBER(D159)))),"",IF(D159-C159+1&gt;30,"⚠ Período acima de 30 dias",IF(COUNTIFS($B$2:$B$301,B159,$C$2:$C$301,"&lt;="&amp;D159,$D$2:$D$301,"&gt;="&amp;C159)&gt;1,"⚠ Coincide com férias de outro do setor","")))</f>
        <v/>
      </c>
      <c r="K159" s="0" t="str">
        <f aca="true">IF(AND(ISNUMBER(C159),ISNUMBER(D159),C159&lt;=TODAY(),D159&gt;=TODAY()),D159+ROW()/100000,"")</f>
        <v/>
      </c>
      <c r="L159" s="0" t="str">
        <f aca="true">IF(AND(ISNUMBER(C159),C159&gt;TODAY(),C159&lt;=TODAY()+30),C159+ROW()/100000,"")</f>
        <v/>
      </c>
      <c r="M159" s="0" t="str">
        <f aca="false">IF(AND(ISNUMBER(C159),ISNUMBER(D159),C159&lt;=CALENDÁRIO!$L$4,D159&gt;=CALENDÁRIO!$L$4),ROW(),"")</f>
        <v/>
      </c>
    </row>
    <row r="160" customFormat="false" ht="15" hidden="false" customHeight="true" outlineLevel="0" collapsed="false">
      <c r="A160" s="54"/>
      <c r="B160" s="54"/>
      <c r="C160" s="53"/>
      <c r="D160" s="53"/>
      <c r="E160" s="64"/>
      <c r="F160" s="65" t="str">
        <f aca="false">IF(AND(ISNUMBER(C160),ISNUMBER(D160),D160&gt;=C160),D160-C160+1,"")</f>
        <v/>
      </c>
      <c r="G160" s="66" t="str">
        <f aca="false">IF(AND(ISNUMBER(C160),ISNUMBER(D160),D160&gt;=C160),WORKDAY(D160,1),"")</f>
        <v/>
      </c>
      <c r="H160" s="55" t="str">
        <f aca="true">IF(A160="","",IF(NOT(AND(ISNUMBER(C160),ISNUMBER(D160))),"Sem data definida",IF(D160&lt;C160,"⚠ Datas invertidas",IF(TODAY()&lt;C160,IF(C160-TODAY()=1,"Começa amanhã","Começa em "&amp;(C160-TODAY())&amp;" dias"),IF(TODAY()&gt;D160,"Concluídas",IF(TODAY()=D160,"EM FÉRIAS (último dia)","EM FÉRIAS (faltam "&amp;(D160-TODAY())&amp;" dias)"))))))</f>
        <v/>
      </c>
      <c r="I160" s="55" t="str">
        <f aca="false">IF(OR(A160="",NOT(AND(ISNUMBER(C160),ISNUMBER(D160)))),"",IF(D160-C160+1&gt;30,"⚠ Período acima de 30 dias",IF(COUNTIFS($B$2:$B$301,B160,$C$2:$C$301,"&lt;="&amp;D160,$D$2:$D$301,"&gt;="&amp;C160)&gt;1,"⚠ Coincide com férias de outro do setor","")))</f>
        <v/>
      </c>
      <c r="K160" s="0" t="str">
        <f aca="true">IF(AND(ISNUMBER(C160),ISNUMBER(D160),C160&lt;=TODAY(),D160&gt;=TODAY()),D160+ROW()/100000,"")</f>
        <v/>
      </c>
      <c r="L160" s="0" t="str">
        <f aca="true">IF(AND(ISNUMBER(C160),C160&gt;TODAY(),C160&lt;=TODAY()+30),C160+ROW()/100000,"")</f>
        <v/>
      </c>
      <c r="M160" s="0" t="str">
        <f aca="false">IF(AND(ISNUMBER(C160),ISNUMBER(D160),C160&lt;=CALENDÁRIO!$L$4,D160&gt;=CALENDÁRIO!$L$4),ROW(),"")</f>
        <v/>
      </c>
    </row>
    <row r="161" customFormat="false" ht="15" hidden="false" customHeight="true" outlineLevel="0" collapsed="false">
      <c r="A161" s="54"/>
      <c r="B161" s="54"/>
      <c r="C161" s="53"/>
      <c r="D161" s="53"/>
      <c r="E161" s="64"/>
      <c r="F161" s="65" t="str">
        <f aca="false">IF(AND(ISNUMBER(C161),ISNUMBER(D161),D161&gt;=C161),D161-C161+1,"")</f>
        <v/>
      </c>
      <c r="G161" s="66" t="str">
        <f aca="false">IF(AND(ISNUMBER(C161),ISNUMBER(D161),D161&gt;=C161),WORKDAY(D161,1),"")</f>
        <v/>
      </c>
      <c r="H161" s="55" t="str">
        <f aca="true">IF(A161="","",IF(NOT(AND(ISNUMBER(C161),ISNUMBER(D161))),"Sem data definida",IF(D161&lt;C161,"⚠ Datas invertidas",IF(TODAY()&lt;C161,IF(C161-TODAY()=1,"Começa amanhã","Começa em "&amp;(C161-TODAY())&amp;" dias"),IF(TODAY()&gt;D161,"Concluídas",IF(TODAY()=D161,"EM FÉRIAS (último dia)","EM FÉRIAS (faltam "&amp;(D161-TODAY())&amp;" dias)"))))))</f>
        <v/>
      </c>
      <c r="I161" s="55" t="str">
        <f aca="false">IF(OR(A161="",NOT(AND(ISNUMBER(C161),ISNUMBER(D161)))),"",IF(D161-C161+1&gt;30,"⚠ Período acima de 30 dias",IF(COUNTIFS($B$2:$B$301,B161,$C$2:$C$301,"&lt;="&amp;D161,$D$2:$D$301,"&gt;="&amp;C161)&gt;1,"⚠ Coincide com férias de outro do setor","")))</f>
        <v/>
      </c>
      <c r="K161" s="0" t="str">
        <f aca="true">IF(AND(ISNUMBER(C161),ISNUMBER(D161),C161&lt;=TODAY(),D161&gt;=TODAY()),D161+ROW()/100000,"")</f>
        <v/>
      </c>
      <c r="L161" s="0" t="str">
        <f aca="true">IF(AND(ISNUMBER(C161),C161&gt;TODAY(),C161&lt;=TODAY()+30),C161+ROW()/100000,"")</f>
        <v/>
      </c>
      <c r="M161" s="0" t="str">
        <f aca="false">IF(AND(ISNUMBER(C161),ISNUMBER(D161),C161&lt;=CALENDÁRIO!$L$4,D161&gt;=CALENDÁRIO!$L$4),ROW(),"")</f>
        <v/>
      </c>
    </row>
    <row r="162" customFormat="false" ht="15" hidden="false" customHeight="true" outlineLevel="0" collapsed="false">
      <c r="A162" s="54"/>
      <c r="B162" s="54"/>
      <c r="C162" s="53"/>
      <c r="D162" s="53"/>
      <c r="E162" s="64"/>
      <c r="F162" s="65" t="str">
        <f aca="false">IF(AND(ISNUMBER(C162),ISNUMBER(D162),D162&gt;=C162),D162-C162+1,"")</f>
        <v/>
      </c>
      <c r="G162" s="66" t="str">
        <f aca="false">IF(AND(ISNUMBER(C162),ISNUMBER(D162),D162&gt;=C162),WORKDAY(D162,1),"")</f>
        <v/>
      </c>
      <c r="H162" s="55" t="str">
        <f aca="true">IF(A162="","",IF(NOT(AND(ISNUMBER(C162),ISNUMBER(D162))),"Sem data definida",IF(D162&lt;C162,"⚠ Datas invertidas",IF(TODAY()&lt;C162,IF(C162-TODAY()=1,"Começa amanhã","Começa em "&amp;(C162-TODAY())&amp;" dias"),IF(TODAY()&gt;D162,"Concluídas",IF(TODAY()=D162,"EM FÉRIAS (último dia)","EM FÉRIAS (faltam "&amp;(D162-TODAY())&amp;" dias)"))))))</f>
        <v/>
      </c>
      <c r="I162" s="55" t="str">
        <f aca="false">IF(OR(A162="",NOT(AND(ISNUMBER(C162),ISNUMBER(D162)))),"",IF(D162-C162+1&gt;30,"⚠ Período acima de 30 dias",IF(COUNTIFS($B$2:$B$301,B162,$C$2:$C$301,"&lt;="&amp;D162,$D$2:$D$301,"&gt;="&amp;C162)&gt;1,"⚠ Coincide com férias de outro do setor","")))</f>
        <v/>
      </c>
      <c r="K162" s="0" t="str">
        <f aca="true">IF(AND(ISNUMBER(C162),ISNUMBER(D162),C162&lt;=TODAY(),D162&gt;=TODAY()),D162+ROW()/100000,"")</f>
        <v/>
      </c>
      <c r="L162" s="0" t="str">
        <f aca="true">IF(AND(ISNUMBER(C162),C162&gt;TODAY(),C162&lt;=TODAY()+30),C162+ROW()/100000,"")</f>
        <v/>
      </c>
      <c r="M162" s="0" t="str">
        <f aca="false">IF(AND(ISNUMBER(C162),ISNUMBER(D162),C162&lt;=CALENDÁRIO!$L$4,D162&gt;=CALENDÁRIO!$L$4),ROW(),"")</f>
        <v/>
      </c>
    </row>
    <row r="163" customFormat="false" ht="15" hidden="false" customHeight="true" outlineLevel="0" collapsed="false">
      <c r="A163" s="54"/>
      <c r="B163" s="54"/>
      <c r="C163" s="53"/>
      <c r="D163" s="53"/>
      <c r="E163" s="64"/>
      <c r="F163" s="65" t="str">
        <f aca="false">IF(AND(ISNUMBER(C163),ISNUMBER(D163),D163&gt;=C163),D163-C163+1,"")</f>
        <v/>
      </c>
      <c r="G163" s="66" t="str">
        <f aca="false">IF(AND(ISNUMBER(C163),ISNUMBER(D163),D163&gt;=C163),WORKDAY(D163,1),"")</f>
        <v/>
      </c>
      <c r="H163" s="55" t="str">
        <f aca="true">IF(A163="","",IF(NOT(AND(ISNUMBER(C163),ISNUMBER(D163))),"Sem data definida",IF(D163&lt;C163,"⚠ Datas invertidas",IF(TODAY()&lt;C163,IF(C163-TODAY()=1,"Começa amanhã","Começa em "&amp;(C163-TODAY())&amp;" dias"),IF(TODAY()&gt;D163,"Concluídas",IF(TODAY()=D163,"EM FÉRIAS (último dia)","EM FÉRIAS (faltam "&amp;(D163-TODAY())&amp;" dias)"))))))</f>
        <v/>
      </c>
      <c r="I163" s="55" t="str">
        <f aca="false">IF(OR(A163="",NOT(AND(ISNUMBER(C163),ISNUMBER(D163)))),"",IF(D163-C163+1&gt;30,"⚠ Período acima de 30 dias",IF(COUNTIFS($B$2:$B$301,B163,$C$2:$C$301,"&lt;="&amp;D163,$D$2:$D$301,"&gt;="&amp;C163)&gt;1,"⚠ Coincide com férias de outro do setor","")))</f>
        <v/>
      </c>
      <c r="K163" s="0" t="str">
        <f aca="true">IF(AND(ISNUMBER(C163),ISNUMBER(D163),C163&lt;=TODAY(),D163&gt;=TODAY()),D163+ROW()/100000,"")</f>
        <v/>
      </c>
      <c r="L163" s="0" t="str">
        <f aca="true">IF(AND(ISNUMBER(C163),C163&gt;TODAY(),C163&lt;=TODAY()+30),C163+ROW()/100000,"")</f>
        <v/>
      </c>
      <c r="M163" s="0" t="str">
        <f aca="false">IF(AND(ISNUMBER(C163),ISNUMBER(D163),C163&lt;=CALENDÁRIO!$L$4,D163&gt;=CALENDÁRIO!$L$4),ROW(),"")</f>
        <v/>
      </c>
    </row>
    <row r="164" customFormat="false" ht="15" hidden="false" customHeight="true" outlineLevel="0" collapsed="false">
      <c r="A164" s="54"/>
      <c r="B164" s="54"/>
      <c r="C164" s="53"/>
      <c r="D164" s="53"/>
      <c r="E164" s="64"/>
      <c r="F164" s="65" t="str">
        <f aca="false">IF(AND(ISNUMBER(C164),ISNUMBER(D164),D164&gt;=C164),D164-C164+1,"")</f>
        <v/>
      </c>
      <c r="G164" s="66" t="str">
        <f aca="false">IF(AND(ISNUMBER(C164),ISNUMBER(D164),D164&gt;=C164),WORKDAY(D164,1),"")</f>
        <v/>
      </c>
      <c r="H164" s="55" t="str">
        <f aca="true">IF(A164="","",IF(NOT(AND(ISNUMBER(C164),ISNUMBER(D164))),"Sem data definida",IF(D164&lt;C164,"⚠ Datas invertidas",IF(TODAY()&lt;C164,IF(C164-TODAY()=1,"Começa amanhã","Começa em "&amp;(C164-TODAY())&amp;" dias"),IF(TODAY()&gt;D164,"Concluídas",IF(TODAY()=D164,"EM FÉRIAS (último dia)","EM FÉRIAS (faltam "&amp;(D164-TODAY())&amp;" dias)"))))))</f>
        <v/>
      </c>
      <c r="I164" s="55" t="str">
        <f aca="false">IF(OR(A164="",NOT(AND(ISNUMBER(C164),ISNUMBER(D164)))),"",IF(D164-C164+1&gt;30,"⚠ Período acima de 30 dias",IF(COUNTIFS($B$2:$B$301,B164,$C$2:$C$301,"&lt;="&amp;D164,$D$2:$D$301,"&gt;="&amp;C164)&gt;1,"⚠ Coincide com férias de outro do setor","")))</f>
        <v/>
      </c>
      <c r="K164" s="0" t="str">
        <f aca="true">IF(AND(ISNUMBER(C164),ISNUMBER(D164),C164&lt;=TODAY(),D164&gt;=TODAY()),D164+ROW()/100000,"")</f>
        <v/>
      </c>
      <c r="L164" s="0" t="str">
        <f aca="true">IF(AND(ISNUMBER(C164),C164&gt;TODAY(),C164&lt;=TODAY()+30),C164+ROW()/100000,"")</f>
        <v/>
      </c>
      <c r="M164" s="0" t="str">
        <f aca="false">IF(AND(ISNUMBER(C164),ISNUMBER(D164),C164&lt;=CALENDÁRIO!$L$4,D164&gt;=CALENDÁRIO!$L$4),ROW(),"")</f>
        <v/>
      </c>
    </row>
    <row r="165" customFormat="false" ht="15" hidden="false" customHeight="true" outlineLevel="0" collapsed="false">
      <c r="A165" s="54"/>
      <c r="B165" s="54"/>
      <c r="C165" s="53"/>
      <c r="D165" s="53"/>
      <c r="E165" s="64"/>
      <c r="F165" s="65" t="str">
        <f aca="false">IF(AND(ISNUMBER(C165),ISNUMBER(D165),D165&gt;=C165),D165-C165+1,"")</f>
        <v/>
      </c>
      <c r="G165" s="66" t="str">
        <f aca="false">IF(AND(ISNUMBER(C165),ISNUMBER(D165),D165&gt;=C165),WORKDAY(D165,1),"")</f>
        <v/>
      </c>
      <c r="H165" s="55" t="str">
        <f aca="true">IF(A165="","",IF(NOT(AND(ISNUMBER(C165),ISNUMBER(D165))),"Sem data definida",IF(D165&lt;C165,"⚠ Datas invertidas",IF(TODAY()&lt;C165,IF(C165-TODAY()=1,"Começa amanhã","Começa em "&amp;(C165-TODAY())&amp;" dias"),IF(TODAY()&gt;D165,"Concluídas",IF(TODAY()=D165,"EM FÉRIAS (último dia)","EM FÉRIAS (faltam "&amp;(D165-TODAY())&amp;" dias)"))))))</f>
        <v/>
      </c>
      <c r="I165" s="55" t="str">
        <f aca="false">IF(OR(A165="",NOT(AND(ISNUMBER(C165),ISNUMBER(D165)))),"",IF(D165-C165+1&gt;30,"⚠ Período acima de 30 dias",IF(COUNTIFS($B$2:$B$301,B165,$C$2:$C$301,"&lt;="&amp;D165,$D$2:$D$301,"&gt;="&amp;C165)&gt;1,"⚠ Coincide com férias de outro do setor","")))</f>
        <v/>
      </c>
      <c r="K165" s="0" t="str">
        <f aca="true">IF(AND(ISNUMBER(C165),ISNUMBER(D165),C165&lt;=TODAY(),D165&gt;=TODAY()),D165+ROW()/100000,"")</f>
        <v/>
      </c>
      <c r="L165" s="0" t="str">
        <f aca="true">IF(AND(ISNUMBER(C165),C165&gt;TODAY(),C165&lt;=TODAY()+30),C165+ROW()/100000,"")</f>
        <v/>
      </c>
      <c r="M165" s="0" t="str">
        <f aca="false">IF(AND(ISNUMBER(C165),ISNUMBER(D165),C165&lt;=CALENDÁRIO!$L$4,D165&gt;=CALENDÁRIO!$L$4),ROW(),"")</f>
        <v/>
      </c>
    </row>
    <row r="166" customFormat="false" ht="15" hidden="false" customHeight="true" outlineLevel="0" collapsed="false">
      <c r="A166" s="54"/>
      <c r="B166" s="54"/>
      <c r="C166" s="53"/>
      <c r="D166" s="53"/>
      <c r="E166" s="64"/>
      <c r="F166" s="65" t="str">
        <f aca="false">IF(AND(ISNUMBER(C166),ISNUMBER(D166),D166&gt;=C166),D166-C166+1,"")</f>
        <v/>
      </c>
      <c r="G166" s="66" t="str">
        <f aca="false">IF(AND(ISNUMBER(C166),ISNUMBER(D166),D166&gt;=C166),WORKDAY(D166,1),"")</f>
        <v/>
      </c>
      <c r="H166" s="55" t="str">
        <f aca="true">IF(A166="","",IF(NOT(AND(ISNUMBER(C166),ISNUMBER(D166))),"Sem data definida",IF(D166&lt;C166,"⚠ Datas invertidas",IF(TODAY()&lt;C166,IF(C166-TODAY()=1,"Começa amanhã","Começa em "&amp;(C166-TODAY())&amp;" dias"),IF(TODAY()&gt;D166,"Concluídas",IF(TODAY()=D166,"EM FÉRIAS (último dia)","EM FÉRIAS (faltam "&amp;(D166-TODAY())&amp;" dias)"))))))</f>
        <v/>
      </c>
      <c r="I166" s="55" t="str">
        <f aca="false">IF(OR(A166="",NOT(AND(ISNUMBER(C166),ISNUMBER(D166)))),"",IF(D166-C166+1&gt;30,"⚠ Período acima de 30 dias",IF(COUNTIFS($B$2:$B$301,B166,$C$2:$C$301,"&lt;="&amp;D166,$D$2:$D$301,"&gt;="&amp;C166)&gt;1,"⚠ Coincide com férias de outro do setor","")))</f>
        <v/>
      </c>
      <c r="K166" s="0" t="str">
        <f aca="true">IF(AND(ISNUMBER(C166),ISNUMBER(D166),C166&lt;=TODAY(),D166&gt;=TODAY()),D166+ROW()/100000,"")</f>
        <v/>
      </c>
      <c r="L166" s="0" t="str">
        <f aca="true">IF(AND(ISNUMBER(C166),C166&gt;TODAY(),C166&lt;=TODAY()+30),C166+ROW()/100000,"")</f>
        <v/>
      </c>
      <c r="M166" s="0" t="str">
        <f aca="false">IF(AND(ISNUMBER(C166),ISNUMBER(D166),C166&lt;=CALENDÁRIO!$L$4,D166&gt;=CALENDÁRIO!$L$4),ROW(),"")</f>
        <v/>
      </c>
    </row>
    <row r="167" customFormat="false" ht="15" hidden="false" customHeight="true" outlineLevel="0" collapsed="false">
      <c r="A167" s="54"/>
      <c r="B167" s="54"/>
      <c r="C167" s="53"/>
      <c r="D167" s="53"/>
      <c r="E167" s="64"/>
      <c r="F167" s="65" t="str">
        <f aca="false">IF(AND(ISNUMBER(C167),ISNUMBER(D167),D167&gt;=C167),D167-C167+1,"")</f>
        <v/>
      </c>
      <c r="G167" s="66" t="str">
        <f aca="false">IF(AND(ISNUMBER(C167),ISNUMBER(D167),D167&gt;=C167),WORKDAY(D167,1),"")</f>
        <v/>
      </c>
      <c r="H167" s="55" t="str">
        <f aca="true">IF(A167="","",IF(NOT(AND(ISNUMBER(C167),ISNUMBER(D167))),"Sem data definida",IF(D167&lt;C167,"⚠ Datas invertidas",IF(TODAY()&lt;C167,IF(C167-TODAY()=1,"Começa amanhã","Começa em "&amp;(C167-TODAY())&amp;" dias"),IF(TODAY()&gt;D167,"Concluídas",IF(TODAY()=D167,"EM FÉRIAS (último dia)","EM FÉRIAS (faltam "&amp;(D167-TODAY())&amp;" dias)"))))))</f>
        <v/>
      </c>
      <c r="I167" s="55" t="str">
        <f aca="false">IF(OR(A167="",NOT(AND(ISNUMBER(C167),ISNUMBER(D167)))),"",IF(D167-C167+1&gt;30,"⚠ Período acima de 30 dias",IF(COUNTIFS($B$2:$B$301,B167,$C$2:$C$301,"&lt;="&amp;D167,$D$2:$D$301,"&gt;="&amp;C167)&gt;1,"⚠ Coincide com férias de outro do setor","")))</f>
        <v/>
      </c>
      <c r="K167" s="0" t="str">
        <f aca="true">IF(AND(ISNUMBER(C167),ISNUMBER(D167),C167&lt;=TODAY(),D167&gt;=TODAY()),D167+ROW()/100000,"")</f>
        <v/>
      </c>
      <c r="L167" s="0" t="str">
        <f aca="true">IF(AND(ISNUMBER(C167),C167&gt;TODAY(),C167&lt;=TODAY()+30),C167+ROW()/100000,"")</f>
        <v/>
      </c>
      <c r="M167" s="0" t="str">
        <f aca="false">IF(AND(ISNUMBER(C167),ISNUMBER(D167),C167&lt;=CALENDÁRIO!$L$4,D167&gt;=CALENDÁRIO!$L$4),ROW(),"")</f>
        <v/>
      </c>
    </row>
    <row r="168" customFormat="false" ht="15" hidden="false" customHeight="true" outlineLevel="0" collapsed="false">
      <c r="A168" s="54"/>
      <c r="B168" s="54"/>
      <c r="C168" s="53"/>
      <c r="D168" s="53"/>
      <c r="E168" s="64"/>
      <c r="F168" s="65" t="str">
        <f aca="false">IF(AND(ISNUMBER(C168),ISNUMBER(D168),D168&gt;=C168),D168-C168+1,"")</f>
        <v/>
      </c>
      <c r="G168" s="66" t="str">
        <f aca="false">IF(AND(ISNUMBER(C168),ISNUMBER(D168),D168&gt;=C168),WORKDAY(D168,1),"")</f>
        <v/>
      </c>
      <c r="H168" s="55" t="str">
        <f aca="true">IF(A168="","",IF(NOT(AND(ISNUMBER(C168),ISNUMBER(D168))),"Sem data definida",IF(D168&lt;C168,"⚠ Datas invertidas",IF(TODAY()&lt;C168,IF(C168-TODAY()=1,"Começa amanhã","Começa em "&amp;(C168-TODAY())&amp;" dias"),IF(TODAY()&gt;D168,"Concluídas",IF(TODAY()=D168,"EM FÉRIAS (último dia)","EM FÉRIAS (faltam "&amp;(D168-TODAY())&amp;" dias)"))))))</f>
        <v/>
      </c>
      <c r="I168" s="55" t="str">
        <f aca="false">IF(OR(A168="",NOT(AND(ISNUMBER(C168),ISNUMBER(D168)))),"",IF(D168-C168+1&gt;30,"⚠ Período acima de 30 dias",IF(COUNTIFS($B$2:$B$301,B168,$C$2:$C$301,"&lt;="&amp;D168,$D$2:$D$301,"&gt;="&amp;C168)&gt;1,"⚠ Coincide com férias de outro do setor","")))</f>
        <v/>
      </c>
      <c r="K168" s="0" t="str">
        <f aca="true">IF(AND(ISNUMBER(C168),ISNUMBER(D168),C168&lt;=TODAY(),D168&gt;=TODAY()),D168+ROW()/100000,"")</f>
        <v/>
      </c>
      <c r="L168" s="0" t="str">
        <f aca="true">IF(AND(ISNUMBER(C168),C168&gt;TODAY(),C168&lt;=TODAY()+30),C168+ROW()/100000,"")</f>
        <v/>
      </c>
      <c r="M168" s="0" t="str">
        <f aca="false">IF(AND(ISNUMBER(C168),ISNUMBER(D168),C168&lt;=CALENDÁRIO!$L$4,D168&gt;=CALENDÁRIO!$L$4),ROW(),"")</f>
        <v/>
      </c>
    </row>
    <row r="169" customFormat="false" ht="15" hidden="false" customHeight="true" outlineLevel="0" collapsed="false">
      <c r="A169" s="54"/>
      <c r="B169" s="54"/>
      <c r="C169" s="53"/>
      <c r="D169" s="53"/>
      <c r="E169" s="64"/>
      <c r="F169" s="65" t="str">
        <f aca="false">IF(AND(ISNUMBER(C169),ISNUMBER(D169),D169&gt;=C169),D169-C169+1,"")</f>
        <v/>
      </c>
      <c r="G169" s="66" t="str">
        <f aca="false">IF(AND(ISNUMBER(C169),ISNUMBER(D169),D169&gt;=C169),WORKDAY(D169,1),"")</f>
        <v/>
      </c>
      <c r="H169" s="55" t="str">
        <f aca="true">IF(A169="","",IF(NOT(AND(ISNUMBER(C169),ISNUMBER(D169))),"Sem data definida",IF(D169&lt;C169,"⚠ Datas invertidas",IF(TODAY()&lt;C169,IF(C169-TODAY()=1,"Começa amanhã","Começa em "&amp;(C169-TODAY())&amp;" dias"),IF(TODAY()&gt;D169,"Concluídas",IF(TODAY()=D169,"EM FÉRIAS (último dia)","EM FÉRIAS (faltam "&amp;(D169-TODAY())&amp;" dias)"))))))</f>
        <v/>
      </c>
      <c r="I169" s="55" t="str">
        <f aca="false">IF(OR(A169="",NOT(AND(ISNUMBER(C169),ISNUMBER(D169)))),"",IF(D169-C169+1&gt;30,"⚠ Período acima de 30 dias",IF(COUNTIFS($B$2:$B$301,B169,$C$2:$C$301,"&lt;="&amp;D169,$D$2:$D$301,"&gt;="&amp;C169)&gt;1,"⚠ Coincide com férias de outro do setor","")))</f>
        <v/>
      </c>
      <c r="K169" s="0" t="str">
        <f aca="true">IF(AND(ISNUMBER(C169),ISNUMBER(D169),C169&lt;=TODAY(),D169&gt;=TODAY()),D169+ROW()/100000,"")</f>
        <v/>
      </c>
      <c r="L169" s="0" t="str">
        <f aca="true">IF(AND(ISNUMBER(C169),C169&gt;TODAY(),C169&lt;=TODAY()+30),C169+ROW()/100000,"")</f>
        <v/>
      </c>
      <c r="M169" s="0" t="str">
        <f aca="false">IF(AND(ISNUMBER(C169),ISNUMBER(D169),C169&lt;=CALENDÁRIO!$L$4,D169&gt;=CALENDÁRIO!$L$4),ROW(),"")</f>
        <v/>
      </c>
    </row>
    <row r="170" customFormat="false" ht="15" hidden="false" customHeight="true" outlineLevel="0" collapsed="false">
      <c r="A170" s="54"/>
      <c r="B170" s="54"/>
      <c r="C170" s="53"/>
      <c r="D170" s="53"/>
      <c r="E170" s="64"/>
      <c r="F170" s="65" t="str">
        <f aca="false">IF(AND(ISNUMBER(C170),ISNUMBER(D170),D170&gt;=C170),D170-C170+1,"")</f>
        <v/>
      </c>
      <c r="G170" s="66" t="str">
        <f aca="false">IF(AND(ISNUMBER(C170),ISNUMBER(D170),D170&gt;=C170),WORKDAY(D170,1),"")</f>
        <v/>
      </c>
      <c r="H170" s="55" t="str">
        <f aca="true">IF(A170="","",IF(NOT(AND(ISNUMBER(C170),ISNUMBER(D170))),"Sem data definida",IF(D170&lt;C170,"⚠ Datas invertidas",IF(TODAY()&lt;C170,IF(C170-TODAY()=1,"Começa amanhã","Começa em "&amp;(C170-TODAY())&amp;" dias"),IF(TODAY()&gt;D170,"Concluídas",IF(TODAY()=D170,"EM FÉRIAS (último dia)","EM FÉRIAS (faltam "&amp;(D170-TODAY())&amp;" dias)"))))))</f>
        <v/>
      </c>
      <c r="I170" s="55" t="str">
        <f aca="false">IF(OR(A170="",NOT(AND(ISNUMBER(C170),ISNUMBER(D170)))),"",IF(D170-C170+1&gt;30,"⚠ Período acima de 30 dias",IF(COUNTIFS($B$2:$B$301,B170,$C$2:$C$301,"&lt;="&amp;D170,$D$2:$D$301,"&gt;="&amp;C170)&gt;1,"⚠ Coincide com férias de outro do setor","")))</f>
        <v/>
      </c>
      <c r="K170" s="0" t="str">
        <f aca="true">IF(AND(ISNUMBER(C170),ISNUMBER(D170),C170&lt;=TODAY(),D170&gt;=TODAY()),D170+ROW()/100000,"")</f>
        <v/>
      </c>
      <c r="L170" s="0" t="str">
        <f aca="true">IF(AND(ISNUMBER(C170),C170&gt;TODAY(),C170&lt;=TODAY()+30),C170+ROW()/100000,"")</f>
        <v/>
      </c>
      <c r="M170" s="0" t="str">
        <f aca="false">IF(AND(ISNUMBER(C170),ISNUMBER(D170),C170&lt;=CALENDÁRIO!$L$4,D170&gt;=CALENDÁRIO!$L$4),ROW(),"")</f>
        <v/>
      </c>
    </row>
    <row r="171" customFormat="false" ht="15" hidden="false" customHeight="true" outlineLevel="0" collapsed="false">
      <c r="A171" s="54"/>
      <c r="B171" s="54"/>
      <c r="C171" s="53"/>
      <c r="D171" s="53"/>
      <c r="E171" s="64"/>
      <c r="F171" s="65" t="str">
        <f aca="false">IF(AND(ISNUMBER(C171),ISNUMBER(D171),D171&gt;=C171),D171-C171+1,"")</f>
        <v/>
      </c>
      <c r="G171" s="66" t="str">
        <f aca="false">IF(AND(ISNUMBER(C171),ISNUMBER(D171),D171&gt;=C171),WORKDAY(D171,1),"")</f>
        <v/>
      </c>
      <c r="H171" s="55" t="str">
        <f aca="true">IF(A171="","",IF(NOT(AND(ISNUMBER(C171),ISNUMBER(D171))),"Sem data definida",IF(D171&lt;C171,"⚠ Datas invertidas",IF(TODAY()&lt;C171,IF(C171-TODAY()=1,"Começa amanhã","Começa em "&amp;(C171-TODAY())&amp;" dias"),IF(TODAY()&gt;D171,"Concluídas",IF(TODAY()=D171,"EM FÉRIAS (último dia)","EM FÉRIAS (faltam "&amp;(D171-TODAY())&amp;" dias)"))))))</f>
        <v/>
      </c>
      <c r="I171" s="55" t="str">
        <f aca="false">IF(OR(A171="",NOT(AND(ISNUMBER(C171),ISNUMBER(D171)))),"",IF(D171-C171+1&gt;30,"⚠ Período acima de 30 dias",IF(COUNTIFS($B$2:$B$301,B171,$C$2:$C$301,"&lt;="&amp;D171,$D$2:$D$301,"&gt;="&amp;C171)&gt;1,"⚠ Coincide com férias de outro do setor","")))</f>
        <v/>
      </c>
      <c r="K171" s="0" t="str">
        <f aca="true">IF(AND(ISNUMBER(C171),ISNUMBER(D171),C171&lt;=TODAY(),D171&gt;=TODAY()),D171+ROW()/100000,"")</f>
        <v/>
      </c>
      <c r="L171" s="0" t="str">
        <f aca="true">IF(AND(ISNUMBER(C171),C171&gt;TODAY(),C171&lt;=TODAY()+30),C171+ROW()/100000,"")</f>
        <v/>
      </c>
      <c r="M171" s="0" t="str">
        <f aca="false">IF(AND(ISNUMBER(C171),ISNUMBER(D171),C171&lt;=CALENDÁRIO!$L$4,D171&gt;=CALENDÁRIO!$L$4),ROW(),"")</f>
        <v/>
      </c>
    </row>
    <row r="172" customFormat="false" ht="15" hidden="false" customHeight="true" outlineLevel="0" collapsed="false">
      <c r="A172" s="54"/>
      <c r="B172" s="54"/>
      <c r="C172" s="53"/>
      <c r="D172" s="53"/>
      <c r="E172" s="64"/>
      <c r="F172" s="65" t="str">
        <f aca="false">IF(AND(ISNUMBER(C172),ISNUMBER(D172),D172&gt;=C172),D172-C172+1,"")</f>
        <v/>
      </c>
      <c r="G172" s="66" t="str">
        <f aca="false">IF(AND(ISNUMBER(C172),ISNUMBER(D172),D172&gt;=C172),WORKDAY(D172,1),"")</f>
        <v/>
      </c>
      <c r="H172" s="55" t="str">
        <f aca="true">IF(A172="","",IF(NOT(AND(ISNUMBER(C172),ISNUMBER(D172))),"Sem data definida",IF(D172&lt;C172,"⚠ Datas invertidas",IF(TODAY()&lt;C172,IF(C172-TODAY()=1,"Começa amanhã","Começa em "&amp;(C172-TODAY())&amp;" dias"),IF(TODAY()&gt;D172,"Concluídas",IF(TODAY()=D172,"EM FÉRIAS (último dia)","EM FÉRIAS (faltam "&amp;(D172-TODAY())&amp;" dias)"))))))</f>
        <v/>
      </c>
      <c r="I172" s="55" t="str">
        <f aca="false">IF(OR(A172="",NOT(AND(ISNUMBER(C172),ISNUMBER(D172)))),"",IF(D172-C172+1&gt;30,"⚠ Período acima de 30 dias",IF(COUNTIFS($B$2:$B$301,B172,$C$2:$C$301,"&lt;="&amp;D172,$D$2:$D$301,"&gt;="&amp;C172)&gt;1,"⚠ Coincide com férias de outro do setor","")))</f>
        <v/>
      </c>
      <c r="K172" s="0" t="str">
        <f aca="true">IF(AND(ISNUMBER(C172),ISNUMBER(D172),C172&lt;=TODAY(),D172&gt;=TODAY()),D172+ROW()/100000,"")</f>
        <v/>
      </c>
      <c r="L172" s="0" t="str">
        <f aca="true">IF(AND(ISNUMBER(C172),C172&gt;TODAY(),C172&lt;=TODAY()+30),C172+ROW()/100000,"")</f>
        <v/>
      </c>
      <c r="M172" s="0" t="str">
        <f aca="false">IF(AND(ISNUMBER(C172),ISNUMBER(D172),C172&lt;=CALENDÁRIO!$L$4,D172&gt;=CALENDÁRIO!$L$4),ROW(),"")</f>
        <v/>
      </c>
    </row>
    <row r="173" customFormat="false" ht="15" hidden="false" customHeight="true" outlineLevel="0" collapsed="false">
      <c r="A173" s="54"/>
      <c r="B173" s="54"/>
      <c r="C173" s="53"/>
      <c r="D173" s="53"/>
      <c r="E173" s="64"/>
      <c r="F173" s="65" t="str">
        <f aca="false">IF(AND(ISNUMBER(C173),ISNUMBER(D173),D173&gt;=C173),D173-C173+1,"")</f>
        <v/>
      </c>
      <c r="G173" s="66" t="str">
        <f aca="false">IF(AND(ISNUMBER(C173),ISNUMBER(D173),D173&gt;=C173),WORKDAY(D173,1),"")</f>
        <v/>
      </c>
      <c r="H173" s="55" t="str">
        <f aca="true">IF(A173="","",IF(NOT(AND(ISNUMBER(C173),ISNUMBER(D173))),"Sem data definida",IF(D173&lt;C173,"⚠ Datas invertidas",IF(TODAY()&lt;C173,IF(C173-TODAY()=1,"Começa amanhã","Começa em "&amp;(C173-TODAY())&amp;" dias"),IF(TODAY()&gt;D173,"Concluídas",IF(TODAY()=D173,"EM FÉRIAS (último dia)","EM FÉRIAS (faltam "&amp;(D173-TODAY())&amp;" dias)"))))))</f>
        <v/>
      </c>
      <c r="I173" s="55" t="str">
        <f aca="false">IF(OR(A173="",NOT(AND(ISNUMBER(C173),ISNUMBER(D173)))),"",IF(D173-C173+1&gt;30,"⚠ Período acima de 30 dias",IF(COUNTIFS($B$2:$B$301,B173,$C$2:$C$301,"&lt;="&amp;D173,$D$2:$D$301,"&gt;="&amp;C173)&gt;1,"⚠ Coincide com férias de outro do setor","")))</f>
        <v/>
      </c>
      <c r="K173" s="0" t="str">
        <f aca="true">IF(AND(ISNUMBER(C173),ISNUMBER(D173),C173&lt;=TODAY(),D173&gt;=TODAY()),D173+ROW()/100000,"")</f>
        <v/>
      </c>
      <c r="L173" s="0" t="str">
        <f aca="true">IF(AND(ISNUMBER(C173),C173&gt;TODAY(),C173&lt;=TODAY()+30),C173+ROW()/100000,"")</f>
        <v/>
      </c>
      <c r="M173" s="0" t="str">
        <f aca="false">IF(AND(ISNUMBER(C173),ISNUMBER(D173),C173&lt;=CALENDÁRIO!$L$4,D173&gt;=CALENDÁRIO!$L$4),ROW(),"")</f>
        <v/>
      </c>
    </row>
    <row r="174" customFormat="false" ht="15" hidden="false" customHeight="true" outlineLevel="0" collapsed="false">
      <c r="A174" s="54"/>
      <c r="B174" s="54"/>
      <c r="C174" s="53"/>
      <c r="D174" s="53"/>
      <c r="E174" s="64"/>
      <c r="F174" s="65" t="str">
        <f aca="false">IF(AND(ISNUMBER(C174),ISNUMBER(D174),D174&gt;=C174),D174-C174+1,"")</f>
        <v/>
      </c>
      <c r="G174" s="66" t="str">
        <f aca="false">IF(AND(ISNUMBER(C174),ISNUMBER(D174),D174&gt;=C174),WORKDAY(D174,1),"")</f>
        <v/>
      </c>
      <c r="H174" s="55" t="str">
        <f aca="true">IF(A174="","",IF(NOT(AND(ISNUMBER(C174),ISNUMBER(D174))),"Sem data definida",IF(D174&lt;C174,"⚠ Datas invertidas",IF(TODAY()&lt;C174,IF(C174-TODAY()=1,"Começa amanhã","Começa em "&amp;(C174-TODAY())&amp;" dias"),IF(TODAY()&gt;D174,"Concluídas",IF(TODAY()=D174,"EM FÉRIAS (último dia)","EM FÉRIAS (faltam "&amp;(D174-TODAY())&amp;" dias)"))))))</f>
        <v/>
      </c>
      <c r="I174" s="55" t="str">
        <f aca="false">IF(OR(A174="",NOT(AND(ISNUMBER(C174),ISNUMBER(D174)))),"",IF(D174-C174+1&gt;30,"⚠ Período acima de 30 dias",IF(COUNTIFS($B$2:$B$301,B174,$C$2:$C$301,"&lt;="&amp;D174,$D$2:$D$301,"&gt;="&amp;C174)&gt;1,"⚠ Coincide com férias de outro do setor","")))</f>
        <v/>
      </c>
      <c r="K174" s="0" t="str">
        <f aca="true">IF(AND(ISNUMBER(C174),ISNUMBER(D174),C174&lt;=TODAY(),D174&gt;=TODAY()),D174+ROW()/100000,"")</f>
        <v/>
      </c>
      <c r="L174" s="0" t="str">
        <f aca="true">IF(AND(ISNUMBER(C174),C174&gt;TODAY(),C174&lt;=TODAY()+30),C174+ROW()/100000,"")</f>
        <v/>
      </c>
      <c r="M174" s="0" t="str">
        <f aca="false">IF(AND(ISNUMBER(C174),ISNUMBER(D174),C174&lt;=CALENDÁRIO!$L$4,D174&gt;=CALENDÁRIO!$L$4),ROW(),"")</f>
        <v/>
      </c>
    </row>
    <row r="175" customFormat="false" ht="15" hidden="false" customHeight="true" outlineLevel="0" collapsed="false">
      <c r="A175" s="54"/>
      <c r="B175" s="54"/>
      <c r="C175" s="53"/>
      <c r="D175" s="53"/>
      <c r="E175" s="64"/>
      <c r="F175" s="65" t="str">
        <f aca="false">IF(AND(ISNUMBER(C175),ISNUMBER(D175),D175&gt;=C175),D175-C175+1,"")</f>
        <v/>
      </c>
      <c r="G175" s="66" t="str">
        <f aca="false">IF(AND(ISNUMBER(C175),ISNUMBER(D175),D175&gt;=C175),WORKDAY(D175,1),"")</f>
        <v/>
      </c>
      <c r="H175" s="55" t="str">
        <f aca="true">IF(A175="","",IF(NOT(AND(ISNUMBER(C175),ISNUMBER(D175))),"Sem data definida",IF(D175&lt;C175,"⚠ Datas invertidas",IF(TODAY()&lt;C175,IF(C175-TODAY()=1,"Começa amanhã","Começa em "&amp;(C175-TODAY())&amp;" dias"),IF(TODAY()&gt;D175,"Concluídas",IF(TODAY()=D175,"EM FÉRIAS (último dia)","EM FÉRIAS (faltam "&amp;(D175-TODAY())&amp;" dias)"))))))</f>
        <v/>
      </c>
      <c r="I175" s="55" t="str">
        <f aca="false">IF(OR(A175="",NOT(AND(ISNUMBER(C175),ISNUMBER(D175)))),"",IF(D175-C175+1&gt;30,"⚠ Período acima de 30 dias",IF(COUNTIFS($B$2:$B$301,B175,$C$2:$C$301,"&lt;="&amp;D175,$D$2:$D$301,"&gt;="&amp;C175)&gt;1,"⚠ Coincide com férias de outro do setor","")))</f>
        <v/>
      </c>
      <c r="K175" s="0" t="str">
        <f aca="true">IF(AND(ISNUMBER(C175),ISNUMBER(D175),C175&lt;=TODAY(),D175&gt;=TODAY()),D175+ROW()/100000,"")</f>
        <v/>
      </c>
      <c r="L175" s="0" t="str">
        <f aca="true">IF(AND(ISNUMBER(C175),C175&gt;TODAY(),C175&lt;=TODAY()+30),C175+ROW()/100000,"")</f>
        <v/>
      </c>
      <c r="M175" s="0" t="str">
        <f aca="false">IF(AND(ISNUMBER(C175),ISNUMBER(D175),C175&lt;=CALENDÁRIO!$L$4,D175&gt;=CALENDÁRIO!$L$4),ROW(),"")</f>
        <v/>
      </c>
    </row>
    <row r="176" customFormat="false" ht="15" hidden="false" customHeight="true" outlineLevel="0" collapsed="false">
      <c r="A176" s="54"/>
      <c r="B176" s="54"/>
      <c r="C176" s="53"/>
      <c r="D176" s="53"/>
      <c r="E176" s="64"/>
      <c r="F176" s="65" t="str">
        <f aca="false">IF(AND(ISNUMBER(C176),ISNUMBER(D176),D176&gt;=C176),D176-C176+1,"")</f>
        <v/>
      </c>
      <c r="G176" s="66" t="str">
        <f aca="false">IF(AND(ISNUMBER(C176),ISNUMBER(D176),D176&gt;=C176),WORKDAY(D176,1),"")</f>
        <v/>
      </c>
      <c r="H176" s="55" t="str">
        <f aca="true">IF(A176="","",IF(NOT(AND(ISNUMBER(C176),ISNUMBER(D176))),"Sem data definida",IF(D176&lt;C176,"⚠ Datas invertidas",IF(TODAY()&lt;C176,IF(C176-TODAY()=1,"Começa amanhã","Começa em "&amp;(C176-TODAY())&amp;" dias"),IF(TODAY()&gt;D176,"Concluídas",IF(TODAY()=D176,"EM FÉRIAS (último dia)","EM FÉRIAS (faltam "&amp;(D176-TODAY())&amp;" dias)"))))))</f>
        <v/>
      </c>
      <c r="I176" s="55" t="str">
        <f aca="false">IF(OR(A176="",NOT(AND(ISNUMBER(C176),ISNUMBER(D176)))),"",IF(D176-C176+1&gt;30,"⚠ Período acima de 30 dias",IF(COUNTIFS($B$2:$B$301,B176,$C$2:$C$301,"&lt;="&amp;D176,$D$2:$D$301,"&gt;="&amp;C176)&gt;1,"⚠ Coincide com férias de outro do setor","")))</f>
        <v/>
      </c>
      <c r="K176" s="0" t="str">
        <f aca="true">IF(AND(ISNUMBER(C176),ISNUMBER(D176),C176&lt;=TODAY(),D176&gt;=TODAY()),D176+ROW()/100000,"")</f>
        <v/>
      </c>
      <c r="L176" s="0" t="str">
        <f aca="true">IF(AND(ISNUMBER(C176),C176&gt;TODAY(),C176&lt;=TODAY()+30),C176+ROW()/100000,"")</f>
        <v/>
      </c>
      <c r="M176" s="0" t="str">
        <f aca="false">IF(AND(ISNUMBER(C176),ISNUMBER(D176),C176&lt;=CALENDÁRIO!$L$4,D176&gt;=CALENDÁRIO!$L$4),ROW(),"")</f>
        <v/>
      </c>
    </row>
    <row r="177" customFormat="false" ht="15" hidden="false" customHeight="true" outlineLevel="0" collapsed="false">
      <c r="A177" s="54"/>
      <c r="B177" s="54"/>
      <c r="C177" s="53"/>
      <c r="D177" s="53"/>
      <c r="E177" s="64"/>
      <c r="F177" s="65" t="str">
        <f aca="false">IF(AND(ISNUMBER(C177),ISNUMBER(D177),D177&gt;=C177),D177-C177+1,"")</f>
        <v/>
      </c>
      <c r="G177" s="66" t="str">
        <f aca="false">IF(AND(ISNUMBER(C177),ISNUMBER(D177),D177&gt;=C177),WORKDAY(D177,1),"")</f>
        <v/>
      </c>
      <c r="H177" s="55" t="str">
        <f aca="true">IF(A177="","",IF(NOT(AND(ISNUMBER(C177),ISNUMBER(D177))),"Sem data definida",IF(D177&lt;C177,"⚠ Datas invertidas",IF(TODAY()&lt;C177,IF(C177-TODAY()=1,"Começa amanhã","Começa em "&amp;(C177-TODAY())&amp;" dias"),IF(TODAY()&gt;D177,"Concluídas",IF(TODAY()=D177,"EM FÉRIAS (último dia)","EM FÉRIAS (faltam "&amp;(D177-TODAY())&amp;" dias)"))))))</f>
        <v/>
      </c>
      <c r="I177" s="55" t="str">
        <f aca="false">IF(OR(A177="",NOT(AND(ISNUMBER(C177),ISNUMBER(D177)))),"",IF(D177-C177+1&gt;30,"⚠ Período acima de 30 dias",IF(COUNTIFS($B$2:$B$301,B177,$C$2:$C$301,"&lt;="&amp;D177,$D$2:$D$301,"&gt;="&amp;C177)&gt;1,"⚠ Coincide com férias de outro do setor","")))</f>
        <v/>
      </c>
      <c r="K177" s="0" t="str">
        <f aca="true">IF(AND(ISNUMBER(C177),ISNUMBER(D177),C177&lt;=TODAY(),D177&gt;=TODAY()),D177+ROW()/100000,"")</f>
        <v/>
      </c>
      <c r="L177" s="0" t="str">
        <f aca="true">IF(AND(ISNUMBER(C177),C177&gt;TODAY(),C177&lt;=TODAY()+30),C177+ROW()/100000,"")</f>
        <v/>
      </c>
      <c r="M177" s="0" t="str">
        <f aca="false">IF(AND(ISNUMBER(C177),ISNUMBER(D177),C177&lt;=CALENDÁRIO!$L$4,D177&gt;=CALENDÁRIO!$L$4),ROW(),"")</f>
        <v/>
      </c>
    </row>
    <row r="178" customFormat="false" ht="15" hidden="false" customHeight="true" outlineLevel="0" collapsed="false">
      <c r="A178" s="54"/>
      <c r="B178" s="54"/>
      <c r="C178" s="53"/>
      <c r="D178" s="53"/>
      <c r="E178" s="64"/>
      <c r="F178" s="65" t="str">
        <f aca="false">IF(AND(ISNUMBER(C178),ISNUMBER(D178),D178&gt;=C178),D178-C178+1,"")</f>
        <v/>
      </c>
      <c r="G178" s="66" t="str">
        <f aca="false">IF(AND(ISNUMBER(C178),ISNUMBER(D178),D178&gt;=C178),WORKDAY(D178,1),"")</f>
        <v/>
      </c>
      <c r="H178" s="55" t="str">
        <f aca="true">IF(A178="","",IF(NOT(AND(ISNUMBER(C178),ISNUMBER(D178))),"Sem data definida",IF(D178&lt;C178,"⚠ Datas invertidas",IF(TODAY()&lt;C178,IF(C178-TODAY()=1,"Começa amanhã","Começa em "&amp;(C178-TODAY())&amp;" dias"),IF(TODAY()&gt;D178,"Concluídas",IF(TODAY()=D178,"EM FÉRIAS (último dia)","EM FÉRIAS (faltam "&amp;(D178-TODAY())&amp;" dias)"))))))</f>
        <v/>
      </c>
      <c r="I178" s="55" t="str">
        <f aca="false">IF(OR(A178="",NOT(AND(ISNUMBER(C178),ISNUMBER(D178)))),"",IF(D178-C178+1&gt;30,"⚠ Período acima de 30 dias",IF(COUNTIFS($B$2:$B$301,B178,$C$2:$C$301,"&lt;="&amp;D178,$D$2:$D$301,"&gt;="&amp;C178)&gt;1,"⚠ Coincide com férias de outro do setor","")))</f>
        <v/>
      </c>
      <c r="K178" s="0" t="str">
        <f aca="true">IF(AND(ISNUMBER(C178),ISNUMBER(D178),C178&lt;=TODAY(),D178&gt;=TODAY()),D178+ROW()/100000,"")</f>
        <v/>
      </c>
      <c r="L178" s="0" t="str">
        <f aca="true">IF(AND(ISNUMBER(C178),C178&gt;TODAY(),C178&lt;=TODAY()+30),C178+ROW()/100000,"")</f>
        <v/>
      </c>
      <c r="M178" s="0" t="str">
        <f aca="false">IF(AND(ISNUMBER(C178),ISNUMBER(D178),C178&lt;=CALENDÁRIO!$L$4,D178&gt;=CALENDÁRIO!$L$4),ROW(),"")</f>
        <v/>
      </c>
    </row>
    <row r="179" customFormat="false" ht="15" hidden="false" customHeight="true" outlineLevel="0" collapsed="false">
      <c r="A179" s="54"/>
      <c r="B179" s="54"/>
      <c r="C179" s="53"/>
      <c r="D179" s="53"/>
      <c r="E179" s="64"/>
      <c r="F179" s="65" t="str">
        <f aca="false">IF(AND(ISNUMBER(C179),ISNUMBER(D179),D179&gt;=C179),D179-C179+1,"")</f>
        <v/>
      </c>
      <c r="G179" s="66" t="str">
        <f aca="false">IF(AND(ISNUMBER(C179),ISNUMBER(D179),D179&gt;=C179),WORKDAY(D179,1),"")</f>
        <v/>
      </c>
      <c r="H179" s="55" t="str">
        <f aca="true">IF(A179="","",IF(NOT(AND(ISNUMBER(C179),ISNUMBER(D179))),"Sem data definida",IF(D179&lt;C179,"⚠ Datas invertidas",IF(TODAY()&lt;C179,IF(C179-TODAY()=1,"Começa amanhã","Começa em "&amp;(C179-TODAY())&amp;" dias"),IF(TODAY()&gt;D179,"Concluídas",IF(TODAY()=D179,"EM FÉRIAS (último dia)","EM FÉRIAS (faltam "&amp;(D179-TODAY())&amp;" dias)"))))))</f>
        <v/>
      </c>
      <c r="I179" s="55" t="str">
        <f aca="false">IF(OR(A179="",NOT(AND(ISNUMBER(C179),ISNUMBER(D179)))),"",IF(D179-C179+1&gt;30,"⚠ Período acima de 30 dias",IF(COUNTIFS($B$2:$B$301,B179,$C$2:$C$301,"&lt;="&amp;D179,$D$2:$D$301,"&gt;="&amp;C179)&gt;1,"⚠ Coincide com férias de outro do setor","")))</f>
        <v/>
      </c>
      <c r="K179" s="0" t="str">
        <f aca="true">IF(AND(ISNUMBER(C179),ISNUMBER(D179),C179&lt;=TODAY(),D179&gt;=TODAY()),D179+ROW()/100000,"")</f>
        <v/>
      </c>
      <c r="L179" s="0" t="str">
        <f aca="true">IF(AND(ISNUMBER(C179),C179&gt;TODAY(),C179&lt;=TODAY()+30),C179+ROW()/100000,"")</f>
        <v/>
      </c>
      <c r="M179" s="0" t="str">
        <f aca="false">IF(AND(ISNUMBER(C179),ISNUMBER(D179),C179&lt;=CALENDÁRIO!$L$4,D179&gt;=CALENDÁRIO!$L$4),ROW(),"")</f>
        <v/>
      </c>
    </row>
    <row r="180" customFormat="false" ht="15" hidden="false" customHeight="true" outlineLevel="0" collapsed="false">
      <c r="A180" s="54"/>
      <c r="B180" s="54"/>
      <c r="C180" s="53"/>
      <c r="D180" s="53"/>
      <c r="E180" s="64"/>
      <c r="F180" s="65" t="str">
        <f aca="false">IF(AND(ISNUMBER(C180),ISNUMBER(D180),D180&gt;=C180),D180-C180+1,"")</f>
        <v/>
      </c>
      <c r="G180" s="66" t="str">
        <f aca="false">IF(AND(ISNUMBER(C180),ISNUMBER(D180),D180&gt;=C180),WORKDAY(D180,1),"")</f>
        <v/>
      </c>
      <c r="H180" s="55" t="str">
        <f aca="true">IF(A180="","",IF(NOT(AND(ISNUMBER(C180),ISNUMBER(D180))),"Sem data definida",IF(D180&lt;C180,"⚠ Datas invertidas",IF(TODAY()&lt;C180,IF(C180-TODAY()=1,"Começa amanhã","Começa em "&amp;(C180-TODAY())&amp;" dias"),IF(TODAY()&gt;D180,"Concluídas",IF(TODAY()=D180,"EM FÉRIAS (último dia)","EM FÉRIAS (faltam "&amp;(D180-TODAY())&amp;" dias)"))))))</f>
        <v/>
      </c>
      <c r="I180" s="55" t="str">
        <f aca="false">IF(OR(A180="",NOT(AND(ISNUMBER(C180),ISNUMBER(D180)))),"",IF(D180-C180+1&gt;30,"⚠ Período acima de 30 dias",IF(COUNTIFS($B$2:$B$301,B180,$C$2:$C$301,"&lt;="&amp;D180,$D$2:$D$301,"&gt;="&amp;C180)&gt;1,"⚠ Coincide com férias de outro do setor","")))</f>
        <v/>
      </c>
      <c r="K180" s="0" t="str">
        <f aca="true">IF(AND(ISNUMBER(C180),ISNUMBER(D180),C180&lt;=TODAY(),D180&gt;=TODAY()),D180+ROW()/100000,"")</f>
        <v/>
      </c>
      <c r="L180" s="0" t="str">
        <f aca="true">IF(AND(ISNUMBER(C180),C180&gt;TODAY(),C180&lt;=TODAY()+30),C180+ROW()/100000,"")</f>
        <v/>
      </c>
      <c r="M180" s="0" t="str">
        <f aca="false">IF(AND(ISNUMBER(C180),ISNUMBER(D180),C180&lt;=CALENDÁRIO!$L$4,D180&gt;=CALENDÁRIO!$L$4),ROW(),"")</f>
        <v/>
      </c>
    </row>
    <row r="181" customFormat="false" ht="15" hidden="false" customHeight="true" outlineLevel="0" collapsed="false">
      <c r="A181" s="54"/>
      <c r="B181" s="54"/>
      <c r="C181" s="53"/>
      <c r="D181" s="53"/>
      <c r="E181" s="64"/>
      <c r="F181" s="65" t="str">
        <f aca="false">IF(AND(ISNUMBER(C181),ISNUMBER(D181),D181&gt;=C181),D181-C181+1,"")</f>
        <v/>
      </c>
      <c r="G181" s="66" t="str">
        <f aca="false">IF(AND(ISNUMBER(C181),ISNUMBER(D181),D181&gt;=C181),WORKDAY(D181,1),"")</f>
        <v/>
      </c>
      <c r="H181" s="55" t="str">
        <f aca="true">IF(A181="","",IF(NOT(AND(ISNUMBER(C181),ISNUMBER(D181))),"Sem data definida",IF(D181&lt;C181,"⚠ Datas invertidas",IF(TODAY()&lt;C181,IF(C181-TODAY()=1,"Começa amanhã","Começa em "&amp;(C181-TODAY())&amp;" dias"),IF(TODAY()&gt;D181,"Concluídas",IF(TODAY()=D181,"EM FÉRIAS (último dia)","EM FÉRIAS (faltam "&amp;(D181-TODAY())&amp;" dias)"))))))</f>
        <v/>
      </c>
      <c r="I181" s="55" t="str">
        <f aca="false">IF(OR(A181="",NOT(AND(ISNUMBER(C181),ISNUMBER(D181)))),"",IF(D181-C181+1&gt;30,"⚠ Período acima de 30 dias",IF(COUNTIFS($B$2:$B$301,B181,$C$2:$C$301,"&lt;="&amp;D181,$D$2:$D$301,"&gt;="&amp;C181)&gt;1,"⚠ Coincide com férias de outro do setor","")))</f>
        <v/>
      </c>
      <c r="K181" s="0" t="str">
        <f aca="true">IF(AND(ISNUMBER(C181),ISNUMBER(D181),C181&lt;=TODAY(),D181&gt;=TODAY()),D181+ROW()/100000,"")</f>
        <v/>
      </c>
      <c r="L181" s="0" t="str">
        <f aca="true">IF(AND(ISNUMBER(C181),C181&gt;TODAY(),C181&lt;=TODAY()+30),C181+ROW()/100000,"")</f>
        <v/>
      </c>
      <c r="M181" s="0" t="str">
        <f aca="false">IF(AND(ISNUMBER(C181),ISNUMBER(D181),C181&lt;=CALENDÁRIO!$L$4,D181&gt;=CALENDÁRIO!$L$4),ROW(),"")</f>
        <v/>
      </c>
    </row>
    <row r="182" customFormat="false" ht="15" hidden="false" customHeight="true" outlineLevel="0" collapsed="false">
      <c r="A182" s="54"/>
      <c r="B182" s="54"/>
      <c r="C182" s="53"/>
      <c r="D182" s="53"/>
      <c r="E182" s="64"/>
      <c r="F182" s="65" t="str">
        <f aca="false">IF(AND(ISNUMBER(C182),ISNUMBER(D182),D182&gt;=C182),D182-C182+1,"")</f>
        <v/>
      </c>
      <c r="G182" s="66" t="str">
        <f aca="false">IF(AND(ISNUMBER(C182),ISNUMBER(D182),D182&gt;=C182),WORKDAY(D182,1),"")</f>
        <v/>
      </c>
      <c r="H182" s="55" t="str">
        <f aca="true">IF(A182="","",IF(NOT(AND(ISNUMBER(C182),ISNUMBER(D182))),"Sem data definida",IF(D182&lt;C182,"⚠ Datas invertidas",IF(TODAY()&lt;C182,IF(C182-TODAY()=1,"Começa amanhã","Começa em "&amp;(C182-TODAY())&amp;" dias"),IF(TODAY()&gt;D182,"Concluídas",IF(TODAY()=D182,"EM FÉRIAS (último dia)","EM FÉRIAS (faltam "&amp;(D182-TODAY())&amp;" dias)"))))))</f>
        <v/>
      </c>
      <c r="I182" s="55" t="str">
        <f aca="false">IF(OR(A182="",NOT(AND(ISNUMBER(C182),ISNUMBER(D182)))),"",IF(D182-C182+1&gt;30,"⚠ Período acima de 30 dias",IF(COUNTIFS($B$2:$B$301,B182,$C$2:$C$301,"&lt;="&amp;D182,$D$2:$D$301,"&gt;="&amp;C182)&gt;1,"⚠ Coincide com férias de outro do setor","")))</f>
        <v/>
      </c>
      <c r="K182" s="0" t="str">
        <f aca="true">IF(AND(ISNUMBER(C182),ISNUMBER(D182),C182&lt;=TODAY(),D182&gt;=TODAY()),D182+ROW()/100000,"")</f>
        <v/>
      </c>
      <c r="L182" s="0" t="str">
        <f aca="true">IF(AND(ISNUMBER(C182),C182&gt;TODAY(),C182&lt;=TODAY()+30),C182+ROW()/100000,"")</f>
        <v/>
      </c>
      <c r="M182" s="0" t="str">
        <f aca="false">IF(AND(ISNUMBER(C182),ISNUMBER(D182),C182&lt;=CALENDÁRIO!$L$4,D182&gt;=CALENDÁRIO!$L$4),ROW(),"")</f>
        <v/>
      </c>
    </row>
    <row r="183" customFormat="false" ht="15" hidden="false" customHeight="true" outlineLevel="0" collapsed="false">
      <c r="A183" s="54"/>
      <c r="B183" s="54"/>
      <c r="C183" s="53"/>
      <c r="D183" s="53"/>
      <c r="E183" s="64"/>
      <c r="F183" s="65" t="str">
        <f aca="false">IF(AND(ISNUMBER(C183),ISNUMBER(D183),D183&gt;=C183),D183-C183+1,"")</f>
        <v/>
      </c>
      <c r="G183" s="66" t="str">
        <f aca="false">IF(AND(ISNUMBER(C183),ISNUMBER(D183),D183&gt;=C183),WORKDAY(D183,1),"")</f>
        <v/>
      </c>
      <c r="H183" s="55" t="str">
        <f aca="true">IF(A183="","",IF(NOT(AND(ISNUMBER(C183),ISNUMBER(D183))),"Sem data definida",IF(D183&lt;C183,"⚠ Datas invertidas",IF(TODAY()&lt;C183,IF(C183-TODAY()=1,"Começa amanhã","Começa em "&amp;(C183-TODAY())&amp;" dias"),IF(TODAY()&gt;D183,"Concluídas",IF(TODAY()=D183,"EM FÉRIAS (último dia)","EM FÉRIAS (faltam "&amp;(D183-TODAY())&amp;" dias)"))))))</f>
        <v/>
      </c>
      <c r="I183" s="55" t="str">
        <f aca="false">IF(OR(A183="",NOT(AND(ISNUMBER(C183),ISNUMBER(D183)))),"",IF(D183-C183+1&gt;30,"⚠ Período acima de 30 dias",IF(COUNTIFS($B$2:$B$301,B183,$C$2:$C$301,"&lt;="&amp;D183,$D$2:$D$301,"&gt;="&amp;C183)&gt;1,"⚠ Coincide com férias de outro do setor","")))</f>
        <v/>
      </c>
      <c r="K183" s="0" t="str">
        <f aca="true">IF(AND(ISNUMBER(C183),ISNUMBER(D183),C183&lt;=TODAY(),D183&gt;=TODAY()),D183+ROW()/100000,"")</f>
        <v/>
      </c>
      <c r="L183" s="0" t="str">
        <f aca="true">IF(AND(ISNUMBER(C183),C183&gt;TODAY(),C183&lt;=TODAY()+30),C183+ROW()/100000,"")</f>
        <v/>
      </c>
      <c r="M183" s="0" t="str">
        <f aca="false">IF(AND(ISNUMBER(C183),ISNUMBER(D183),C183&lt;=CALENDÁRIO!$L$4,D183&gt;=CALENDÁRIO!$L$4),ROW(),"")</f>
        <v/>
      </c>
    </row>
    <row r="184" customFormat="false" ht="15" hidden="false" customHeight="true" outlineLevel="0" collapsed="false">
      <c r="A184" s="54"/>
      <c r="B184" s="54"/>
      <c r="C184" s="53"/>
      <c r="D184" s="53"/>
      <c r="E184" s="64"/>
      <c r="F184" s="65" t="str">
        <f aca="false">IF(AND(ISNUMBER(C184),ISNUMBER(D184),D184&gt;=C184),D184-C184+1,"")</f>
        <v/>
      </c>
      <c r="G184" s="66" t="str">
        <f aca="false">IF(AND(ISNUMBER(C184),ISNUMBER(D184),D184&gt;=C184),WORKDAY(D184,1),"")</f>
        <v/>
      </c>
      <c r="H184" s="55" t="str">
        <f aca="true">IF(A184="","",IF(NOT(AND(ISNUMBER(C184),ISNUMBER(D184))),"Sem data definida",IF(D184&lt;C184,"⚠ Datas invertidas",IF(TODAY()&lt;C184,IF(C184-TODAY()=1,"Começa amanhã","Começa em "&amp;(C184-TODAY())&amp;" dias"),IF(TODAY()&gt;D184,"Concluídas",IF(TODAY()=D184,"EM FÉRIAS (último dia)","EM FÉRIAS (faltam "&amp;(D184-TODAY())&amp;" dias)"))))))</f>
        <v/>
      </c>
      <c r="I184" s="55" t="str">
        <f aca="false">IF(OR(A184="",NOT(AND(ISNUMBER(C184),ISNUMBER(D184)))),"",IF(D184-C184+1&gt;30,"⚠ Período acima de 30 dias",IF(COUNTIFS($B$2:$B$301,B184,$C$2:$C$301,"&lt;="&amp;D184,$D$2:$D$301,"&gt;="&amp;C184)&gt;1,"⚠ Coincide com férias de outro do setor","")))</f>
        <v/>
      </c>
      <c r="K184" s="0" t="str">
        <f aca="true">IF(AND(ISNUMBER(C184),ISNUMBER(D184),C184&lt;=TODAY(),D184&gt;=TODAY()),D184+ROW()/100000,"")</f>
        <v/>
      </c>
      <c r="L184" s="0" t="str">
        <f aca="true">IF(AND(ISNUMBER(C184),C184&gt;TODAY(),C184&lt;=TODAY()+30),C184+ROW()/100000,"")</f>
        <v/>
      </c>
      <c r="M184" s="0" t="str">
        <f aca="false">IF(AND(ISNUMBER(C184),ISNUMBER(D184),C184&lt;=CALENDÁRIO!$L$4,D184&gt;=CALENDÁRIO!$L$4),ROW(),"")</f>
        <v/>
      </c>
    </row>
    <row r="185" customFormat="false" ht="15" hidden="false" customHeight="true" outlineLevel="0" collapsed="false">
      <c r="A185" s="54"/>
      <c r="B185" s="54"/>
      <c r="C185" s="53"/>
      <c r="D185" s="53"/>
      <c r="E185" s="64"/>
      <c r="F185" s="65" t="str">
        <f aca="false">IF(AND(ISNUMBER(C185),ISNUMBER(D185),D185&gt;=C185),D185-C185+1,"")</f>
        <v/>
      </c>
      <c r="G185" s="66" t="str">
        <f aca="false">IF(AND(ISNUMBER(C185),ISNUMBER(D185),D185&gt;=C185),WORKDAY(D185,1),"")</f>
        <v/>
      </c>
      <c r="H185" s="55" t="str">
        <f aca="true">IF(A185="","",IF(NOT(AND(ISNUMBER(C185),ISNUMBER(D185))),"Sem data definida",IF(D185&lt;C185,"⚠ Datas invertidas",IF(TODAY()&lt;C185,IF(C185-TODAY()=1,"Começa amanhã","Começa em "&amp;(C185-TODAY())&amp;" dias"),IF(TODAY()&gt;D185,"Concluídas",IF(TODAY()=D185,"EM FÉRIAS (último dia)","EM FÉRIAS (faltam "&amp;(D185-TODAY())&amp;" dias)"))))))</f>
        <v/>
      </c>
      <c r="I185" s="55" t="str">
        <f aca="false">IF(OR(A185="",NOT(AND(ISNUMBER(C185),ISNUMBER(D185)))),"",IF(D185-C185+1&gt;30,"⚠ Período acima de 30 dias",IF(COUNTIFS($B$2:$B$301,B185,$C$2:$C$301,"&lt;="&amp;D185,$D$2:$D$301,"&gt;="&amp;C185)&gt;1,"⚠ Coincide com férias de outro do setor","")))</f>
        <v/>
      </c>
      <c r="K185" s="0" t="str">
        <f aca="true">IF(AND(ISNUMBER(C185),ISNUMBER(D185),C185&lt;=TODAY(),D185&gt;=TODAY()),D185+ROW()/100000,"")</f>
        <v/>
      </c>
      <c r="L185" s="0" t="str">
        <f aca="true">IF(AND(ISNUMBER(C185),C185&gt;TODAY(),C185&lt;=TODAY()+30),C185+ROW()/100000,"")</f>
        <v/>
      </c>
      <c r="M185" s="0" t="str">
        <f aca="false">IF(AND(ISNUMBER(C185),ISNUMBER(D185),C185&lt;=CALENDÁRIO!$L$4,D185&gt;=CALENDÁRIO!$L$4),ROW(),"")</f>
        <v/>
      </c>
    </row>
    <row r="186" customFormat="false" ht="15" hidden="false" customHeight="true" outlineLevel="0" collapsed="false">
      <c r="A186" s="54"/>
      <c r="B186" s="54"/>
      <c r="C186" s="53"/>
      <c r="D186" s="53"/>
      <c r="E186" s="64"/>
      <c r="F186" s="65" t="str">
        <f aca="false">IF(AND(ISNUMBER(C186),ISNUMBER(D186),D186&gt;=C186),D186-C186+1,"")</f>
        <v/>
      </c>
      <c r="G186" s="66" t="str">
        <f aca="false">IF(AND(ISNUMBER(C186),ISNUMBER(D186),D186&gt;=C186),WORKDAY(D186,1),"")</f>
        <v/>
      </c>
      <c r="H186" s="55" t="str">
        <f aca="true">IF(A186="","",IF(NOT(AND(ISNUMBER(C186),ISNUMBER(D186))),"Sem data definida",IF(D186&lt;C186,"⚠ Datas invertidas",IF(TODAY()&lt;C186,IF(C186-TODAY()=1,"Começa amanhã","Começa em "&amp;(C186-TODAY())&amp;" dias"),IF(TODAY()&gt;D186,"Concluídas",IF(TODAY()=D186,"EM FÉRIAS (último dia)","EM FÉRIAS (faltam "&amp;(D186-TODAY())&amp;" dias)"))))))</f>
        <v/>
      </c>
      <c r="I186" s="55" t="str">
        <f aca="false">IF(OR(A186="",NOT(AND(ISNUMBER(C186),ISNUMBER(D186)))),"",IF(D186-C186+1&gt;30,"⚠ Período acima de 30 dias",IF(COUNTIFS($B$2:$B$301,B186,$C$2:$C$301,"&lt;="&amp;D186,$D$2:$D$301,"&gt;="&amp;C186)&gt;1,"⚠ Coincide com férias de outro do setor","")))</f>
        <v/>
      </c>
      <c r="K186" s="0" t="str">
        <f aca="true">IF(AND(ISNUMBER(C186),ISNUMBER(D186),C186&lt;=TODAY(),D186&gt;=TODAY()),D186+ROW()/100000,"")</f>
        <v/>
      </c>
      <c r="L186" s="0" t="str">
        <f aca="true">IF(AND(ISNUMBER(C186),C186&gt;TODAY(),C186&lt;=TODAY()+30),C186+ROW()/100000,"")</f>
        <v/>
      </c>
      <c r="M186" s="0" t="str">
        <f aca="false">IF(AND(ISNUMBER(C186),ISNUMBER(D186),C186&lt;=CALENDÁRIO!$L$4,D186&gt;=CALENDÁRIO!$L$4),ROW(),"")</f>
        <v/>
      </c>
    </row>
    <row r="187" customFormat="false" ht="15" hidden="false" customHeight="true" outlineLevel="0" collapsed="false">
      <c r="A187" s="54"/>
      <c r="B187" s="54"/>
      <c r="C187" s="53"/>
      <c r="D187" s="53"/>
      <c r="E187" s="64"/>
      <c r="F187" s="65" t="str">
        <f aca="false">IF(AND(ISNUMBER(C187),ISNUMBER(D187),D187&gt;=C187),D187-C187+1,"")</f>
        <v/>
      </c>
      <c r="G187" s="66" t="str">
        <f aca="false">IF(AND(ISNUMBER(C187),ISNUMBER(D187),D187&gt;=C187),WORKDAY(D187,1),"")</f>
        <v/>
      </c>
      <c r="H187" s="55" t="str">
        <f aca="true">IF(A187="","",IF(NOT(AND(ISNUMBER(C187),ISNUMBER(D187))),"Sem data definida",IF(D187&lt;C187,"⚠ Datas invertidas",IF(TODAY()&lt;C187,IF(C187-TODAY()=1,"Começa amanhã","Começa em "&amp;(C187-TODAY())&amp;" dias"),IF(TODAY()&gt;D187,"Concluídas",IF(TODAY()=D187,"EM FÉRIAS (último dia)","EM FÉRIAS (faltam "&amp;(D187-TODAY())&amp;" dias)"))))))</f>
        <v/>
      </c>
      <c r="I187" s="55" t="str">
        <f aca="false">IF(OR(A187="",NOT(AND(ISNUMBER(C187),ISNUMBER(D187)))),"",IF(D187-C187+1&gt;30,"⚠ Período acima de 30 dias",IF(COUNTIFS($B$2:$B$301,B187,$C$2:$C$301,"&lt;="&amp;D187,$D$2:$D$301,"&gt;="&amp;C187)&gt;1,"⚠ Coincide com férias de outro do setor","")))</f>
        <v/>
      </c>
      <c r="K187" s="0" t="str">
        <f aca="true">IF(AND(ISNUMBER(C187),ISNUMBER(D187),C187&lt;=TODAY(),D187&gt;=TODAY()),D187+ROW()/100000,"")</f>
        <v/>
      </c>
      <c r="L187" s="0" t="str">
        <f aca="true">IF(AND(ISNUMBER(C187),C187&gt;TODAY(),C187&lt;=TODAY()+30),C187+ROW()/100000,"")</f>
        <v/>
      </c>
      <c r="M187" s="0" t="str">
        <f aca="false">IF(AND(ISNUMBER(C187),ISNUMBER(D187),C187&lt;=CALENDÁRIO!$L$4,D187&gt;=CALENDÁRIO!$L$4),ROW(),"")</f>
        <v/>
      </c>
    </row>
    <row r="188" customFormat="false" ht="15" hidden="false" customHeight="true" outlineLevel="0" collapsed="false">
      <c r="A188" s="54"/>
      <c r="B188" s="54"/>
      <c r="C188" s="53"/>
      <c r="D188" s="53"/>
      <c r="E188" s="64"/>
      <c r="F188" s="65" t="str">
        <f aca="false">IF(AND(ISNUMBER(C188),ISNUMBER(D188),D188&gt;=C188),D188-C188+1,"")</f>
        <v/>
      </c>
      <c r="G188" s="66" t="str">
        <f aca="false">IF(AND(ISNUMBER(C188),ISNUMBER(D188),D188&gt;=C188),WORKDAY(D188,1),"")</f>
        <v/>
      </c>
      <c r="H188" s="55" t="str">
        <f aca="true">IF(A188="","",IF(NOT(AND(ISNUMBER(C188),ISNUMBER(D188))),"Sem data definida",IF(D188&lt;C188,"⚠ Datas invertidas",IF(TODAY()&lt;C188,IF(C188-TODAY()=1,"Começa amanhã","Começa em "&amp;(C188-TODAY())&amp;" dias"),IF(TODAY()&gt;D188,"Concluídas",IF(TODAY()=D188,"EM FÉRIAS (último dia)","EM FÉRIAS (faltam "&amp;(D188-TODAY())&amp;" dias)"))))))</f>
        <v/>
      </c>
      <c r="I188" s="55" t="str">
        <f aca="false">IF(OR(A188="",NOT(AND(ISNUMBER(C188),ISNUMBER(D188)))),"",IF(D188-C188+1&gt;30,"⚠ Período acima de 30 dias",IF(COUNTIFS($B$2:$B$301,B188,$C$2:$C$301,"&lt;="&amp;D188,$D$2:$D$301,"&gt;="&amp;C188)&gt;1,"⚠ Coincide com férias de outro do setor","")))</f>
        <v/>
      </c>
      <c r="K188" s="0" t="str">
        <f aca="true">IF(AND(ISNUMBER(C188),ISNUMBER(D188),C188&lt;=TODAY(),D188&gt;=TODAY()),D188+ROW()/100000,"")</f>
        <v/>
      </c>
      <c r="L188" s="0" t="str">
        <f aca="true">IF(AND(ISNUMBER(C188),C188&gt;TODAY(),C188&lt;=TODAY()+30),C188+ROW()/100000,"")</f>
        <v/>
      </c>
      <c r="M188" s="0" t="str">
        <f aca="false">IF(AND(ISNUMBER(C188),ISNUMBER(D188),C188&lt;=CALENDÁRIO!$L$4,D188&gt;=CALENDÁRIO!$L$4),ROW(),"")</f>
        <v/>
      </c>
    </row>
    <row r="189" customFormat="false" ht="15" hidden="false" customHeight="true" outlineLevel="0" collapsed="false">
      <c r="A189" s="54"/>
      <c r="B189" s="54"/>
      <c r="C189" s="53"/>
      <c r="D189" s="53"/>
      <c r="E189" s="64"/>
      <c r="F189" s="65" t="str">
        <f aca="false">IF(AND(ISNUMBER(C189),ISNUMBER(D189),D189&gt;=C189),D189-C189+1,"")</f>
        <v/>
      </c>
      <c r="G189" s="66" t="str">
        <f aca="false">IF(AND(ISNUMBER(C189),ISNUMBER(D189),D189&gt;=C189),WORKDAY(D189,1),"")</f>
        <v/>
      </c>
      <c r="H189" s="55" t="str">
        <f aca="true">IF(A189="","",IF(NOT(AND(ISNUMBER(C189),ISNUMBER(D189))),"Sem data definida",IF(D189&lt;C189,"⚠ Datas invertidas",IF(TODAY()&lt;C189,IF(C189-TODAY()=1,"Começa amanhã","Começa em "&amp;(C189-TODAY())&amp;" dias"),IF(TODAY()&gt;D189,"Concluídas",IF(TODAY()=D189,"EM FÉRIAS (último dia)","EM FÉRIAS (faltam "&amp;(D189-TODAY())&amp;" dias)"))))))</f>
        <v/>
      </c>
      <c r="I189" s="55" t="str">
        <f aca="false">IF(OR(A189="",NOT(AND(ISNUMBER(C189),ISNUMBER(D189)))),"",IF(D189-C189+1&gt;30,"⚠ Período acima de 30 dias",IF(COUNTIFS($B$2:$B$301,B189,$C$2:$C$301,"&lt;="&amp;D189,$D$2:$D$301,"&gt;="&amp;C189)&gt;1,"⚠ Coincide com férias de outro do setor","")))</f>
        <v/>
      </c>
      <c r="K189" s="0" t="str">
        <f aca="true">IF(AND(ISNUMBER(C189),ISNUMBER(D189),C189&lt;=TODAY(),D189&gt;=TODAY()),D189+ROW()/100000,"")</f>
        <v/>
      </c>
      <c r="L189" s="0" t="str">
        <f aca="true">IF(AND(ISNUMBER(C189),C189&gt;TODAY(),C189&lt;=TODAY()+30),C189+ROW()/100000,"")</f>
        <v/>
      </c>
      <c r="M189" s="0" t="str">
        <f aca="false">IF(AND(ISNUMBER(C189),ISNUMBER(D189),C189&lt;=CALENDÁRIO!$L$4,D189&gt;=CALENDÁRIO!$L$4),ROW(),"")</f>
        <v/>
      </c>
    </row>
    <row r="190" customFormat="false" ht="15" hidden="false" customHeight="true" outlineLevel="0" collapsed="false">
      <c r="A190" s="54"/>
      <c r="B190" s="54"/>
      <c r="C190" s="53"/>
      <c r="D190" s="53"/>
      <c r="E190" s="64"/>
      <c r="F190" s="65" t="str">
        <f aca="false">IF(AND(ISNUMBER(C190),ISNUMBER(D190),D190&gt;=C190),D190-C190+1,"")</f>
        <v/>
      </c>
      <c r="G190" s="66" t="str">
        <f aca="false">IF(AND(ISNUMBER(C190),ISNUMBER(D190),D190&gt;=C190),WORKDAY(D190,1),"")</f>
        <v/>
      </c>
      <c r="H190" s="55" t="str">
        <f aca="true">IF(A190="","",IF(NOT(AND(ISNUMBER(C190),ISNUMBER(D190))),"Sem data definida",IF(D190&lt;C190,"⚠ Datas invertidas",IF(TODAY()&lt;C190,IF(C190-TODAY()=1,"Começa amanhã","Começa em "&amp;(C190-TODAY())&amp;" dias"),IF(TODAY()&gt;D190,"Concluídas",IF(TODAY()=D190,"EM FÉRIAS (último dia)","EM FÉRIAS (faltam "&amp;(D190-TODAY())&amp;" dias)"))))))</f>
        <v/>
      </c>
      <c r="I190" s="55" t="str">
        <f aca="false">IF(OR(A190="",NOT(AND(ISNUMBER(C190),ISNUMBER(D190)))),"",IF(D190-C190+1&gt;30,"⚠ Período acima de 30 dias",IF(COUNTIFS($B$2:$B$301,B190,$C$2:$C$301,"&lt;="&amp;D190,$D$2:$D$301,"&gt;="&amp;C190)&gt;1,"⚠ Coincide com férias de outro do setor","")))</f>
        <v/>
      </c>
      <c r="K190" s="0" t="str">
        <f aca="true">IF(AND(ISNUMBER(C190),ISNUMBER(D190),C190&lt;=TODAY(),D190&gt;=TODAY()),D190+ROW()/100000,"")</f>
        <v/>
      </c>
      <c r="L190" s="0" t="str">
        <f aca="true">IF(AND(ISNUMBER(C190),C190&gt;TODAY(),C190&lt;=TODAY()+30),C190+ROW()/100000,"")</f>
        <v/>
      </c>
      <c r="M190" s="0" t="str">
        <f aca="false">IF(AND(ISNUMBER(C190),ISNUMBER(D190),C190&lt;=CALENDÁRIO!$L$4,D190&gt;=CALENDÁRIO!$L$4),ROW(),"")</f>
        <v/>
      </c>
    </row>
    <row r="191" customFormat="false" ht="15" hidden="false" customHeight="true" outlineLevel="0" collapsed="false">
      <c r="A191" s="54"/>
      <c r="B191" s="54"/>
      <c r="C191" s="53"/>
      <c r="D191" s="53"/>
      <c r="E191" s="64"/>
      <c r="F191" s="65" t="str">
        <f aca="false">IF(AND(ISNUMBER(C191),ISNUMBER(D191),D191&gt;=C191),D191-C191+1,"")</f>
        <v/>
      </c>
      <c r="G191" s="66" t="str">
        <f aca="false">IF(AND(ISNUMBER(C191),ISNUMBER(D191),D191&gt;=C191),WORKDAY(D191,1),"")</f>
        <v/>
      </c>
      <c r="H191" s="55" t="str">
        <f aca="true">IF(A191="","",IF(NOT(AND(ISNUMBER(C191),ISNUMBER(D191))),"Sem data definida",IF(D191&lt;C191,"⚠ Datas invertidas",IF(TODAY()&lt;C191,IF(C191-TODAY()=1,"Começa amanhã","Começa em "&amp;(C191-TODAY())&amp;" dias"),IF(TODAY()&gt;D191,"Concluídas",IF(TODAY()=D191,"EM FÉRIAS (último dia)","EM FÉRIAS (faltam "&amp;(D191-TODAY())&amp;" dias)"))))))</f>
        <v/>
      </c>
      <c r="I191" s="55" t="str">
        <f aca="false">IF(OR(A191="",NOT(AND(ISNUMBER(C191),ISNUMBER(D191)))),"",IF(D191-C191+1&gt;30,"⚠ Período acima de 30 dias",IF(COUNTIFS($B$2:$B$301,B191,$C$2:$C$301,"&lt;="&amp;D191,$D$2:$D$301,"&gt;="&amp;C191)&gt;1,"⚠ Coincide com férias de outro do setor","")))</f>
        <v/>
      </c>
      <c r="K191" s="0" t="str">
        <f aca="true">IF(AND(ISNUMBER(C191),ISNUMBER(D191),C191&lt;=TODAY(),D191&gt;=TODAY()),D191+ROW()/100000,"")</f>
        <v/>
      </c>
      <c r="L191" s="0" t="str">
        <f aca="true">IF(AND(ISNUMBER(C191),C191&gt;TODAY(),C191&lt;=TODAY()+30),C191+ROW()/100000,"")</f>
        <v/>
      </c>
      <c r="M191" s="0" t="str">
        <f aca="false">IF(AND(ISNUMBER(C191),ISNUMBER(D191),C191&lt;=CALENDÁRIO!$L$4,D191&gt;=CALENDÁRIO!$L$4),ROW(),"")</f>
        <v/>
      </c>
    </row>
    <row r="192" customFormat="false" ht="15" hidden="false" customHeight="true" outlineLevel="0" collapsed="false">
      <c r="A192" s="54"/>
      <c r="B192" s="54"/>
      <c r="C192" s="53"/>
      <c r="D192" s="53"/>
      <c r="E192" s="64"/>
      <c r="F192" s="65" t="str">
        <f aca="false">IF(AND(ISNUMBER(C192),ISNUMBER(D192),D192&gt;=C192),D192-C192+1,"")</f>
        <v/>
      </c>
      <c r="G192" s="66" t="str">
        <f aca="false">IF(AND(ISNUMBER(C192),ISNUMBER(D192),D192&gt;=C192),WORKDAY(D192,1),"")</f>
        <v/>
      </c>
      <c r="H192" s="55" t="str">
        <f aca="true">IF(A192="","",IF(NOT(AND(ISNUMBER(C192),ISNUMBER(D192))),"Sem data definida",IF(D192&lt;C192,"⚠ Datas invertidas",IF(TODAY()&lt;C192,IF(C192-TODAY()=1,"Começa amanhã","Começa em "&amp;(C192-TODAY())&amp;" dias"),IF(TODAY()&gt;D192,"Concluídas",IF(TODAY()=D192,"EM FÉRIAS (último dia)","EM FÉRIAS (faltam "&amp;(D192-TODAY())&amp;" dias)"))))))</f>
        <v/>
      </c>
      <c r="I192" s="55" t="str">
        <f aca="false">IF(OR(A192="",NOT(AND(ISNUMBER(C192),ISNUMBER(D192)))),"",IF(D192-C192+1&gt;30,"⚠ Período acima de 30 dias",IF(COUNTIFS($B$2:$B$301,B192,$C$2:$C$301,"&lt;="&amp;D192,$D$2:$D$301,"&gt;="&amp;C192)&gt;1,"⚠ Coincide com férias de outro do setor","")))</f>
        <v/>
      </c>
      <c r="K192" s="0" t="str">
        <f aca="true">IF(AND(ISNUMBER(C192),ISNUMBER(D192),C192&lt;=TODAY(),D192&gt;=TODAY()),D192+ROW()/100000,"")</f>
        <v/>
      </c>
      <c r="L192" s="0" t="str">
        <f aca="true">IF(AND(ISNUMBER(C192),C192&gt;TODAY(),C192&lt;=TODAY()+30),C192+ROW()/100000,"")</f>
        <v/>
      </c>
      <c r="M192" s="0" t="str">
        <f aca="false">IF(AND(ISNUMBER(C192),ISNUMBER(D192),C192&lt;=CALENDÁRIO!$L$4,D192&gt;=CALENDÁRIO!$L$4),ROW(),"")</f>
        <v/>
      </c>
    </row>
    <row r="193" customFormat="false" ht="15" hidden="false" customHeight="true" outlineLevel="0" collapsed="false">
      <c r="A193" s="54"/>
      <c r="B193" s="54"/>
      <c r="C193" s="53"/>
      <c r="D193" s="53"/>
      <c r="E193" s="64"/>
      <c r="F193" s="65" t="str">
        <f aca="false">IF(AND(ISNUMBER(C193),ISNUMBER(D193),D193&gt;=C193),D193-C193+1,"")</f>
        <v/>
      </c>
      <c r="G193" s="66" t="str">
        <f aca="false">IF(AND(ISNUMBER(C193),ISNUMBER(D193),D193&gt;=C193),WORKDAY(D193,1),"")</f>
        <v/>
      </c>
      <c r="H193" s="55" t="str">
        <f aca="true">IF(A193="","",IF(NOT(AND(ISNUMBER(C193),ISNUMBER(D193))),"Sem data definida",IF(D193&lt;C193,"⚠ Datas invertidas",IF(TODAY()&lt;C193,IF(C193-TODAY()=1,"Começa amanhã","Começa em "&amp;(C193-TODAY())&amp;" dias"),IF(TODAY()&gt;D193,"Concluídas",IF(TODAY()=D193,"EM FÉRIAS (último dia)","EM FÉRIAS (faltam "&amp;(D193-TODAY())&amp;" dias)"))))))</f>
        <v/>
      </c>
      <c r="I193" s="55" t="str">
        <f aca="false">IF(OR(A193="",NOT(AND(ISNUMBER(C193),ISNUMBER(D193)))),"",IF(D193-C193+1&gt;30,"⚠ Período acima de 30 dias",IF(COUNTIFS($B$2:$B$301,B193,$C$2:$C$301,"&lt;="&amp;D193,$D$2:$D$301,"&gt;="&amp;C193)&gt;1,"⚠ Coincide com férias de outro do setor","")))</f>
        <v/>
      </c>
      <c r="K193" s="0" t="str">
        <f aca="true">IF(AND(ISNUMBER(C193),ISNUMBER(D193),C193&lt;=TODAY(),D193&gt;=TODAY()),D193+ROW()/100000,"")</f>
        <v/>
      </c>
      <c r="L193" s="0" t="str">
        <f aca="true">IF(AND(ISNUMBER(C193),C193&gt;TODAY(),C193&lt;=TODAY()+30),C193+ROW()/100000,"")</f>
        <v/>
      </c>
      <c r="M193" s="0" t="str">
        <f aca="false">IF(AND(ISNUMBER(C193),ISNUMBER(D193),C193&lt;=CALENDÁRIO!$L$4,D193&gt;=CALENDÁRIO!$L$4),ROW(),"")</f>
        <v/>
      </c>
    </row>
    <row r="194" customFormat="false" ht="15" hidden="false" customHeight="true" outlineLevel="0" collapsed="false">
      <c r="A194" s="54"/>
      <c r="B194" s="54"/>
      <c r="C194" s="53"/>
      <c r="D194" s="53"/>
      <c r="E194" s="64"/>
      <c r="F194" s="65" t="str">
        <f aca="false">IF(AND(ISNUMBER(C194),ISNUMBER(D194),D194&gt;=C194),D194-C194+1,"")</f>
        <v/>
      </c>
      <c r="G194" s="66" t="str">
        <f aca="false">IF(AND(ISNUMBER(C194),ISNUMBER(D194),D194&gt;=C194),WORKDAY(D194,1),"")</f>
        <v/>
      </c>
      <c r="H194" s="55" t="str">
        <f aca="true">IF(A194="","",IF(NOT(AND(ISNUMBER(C194),ISNUMBER(D194))),"Sem data definida",IF(D194&lt;C194,"⚠ Datas invertidas",IF(TODAY()&lt;C194,IF(C194-TODAY()=1,"Começa amanhã","Começa em "&amp;(C194-TODAY())&amp;" dias"),IF(TODAY()&gt;D194,"Concluídas",IF(TODAY()=D194,"EM FÉRIAS (último dia)","EM FÉRIAS (faltam "&amp;(D194-TODAY())&amp;" dias)"))))))</f>
        <v/>
      </c>
      <c r="I194" s="55" t="str">
        <f aca="false">IF(OR(A194="",NOT(AND(ISNUMBER(C194),ISNUMBER(D194)))),"",IF(D194-C194+1&gt;30,"⚠ Período acima de 30 dias",IF(COUNTIFS($B$2:$B$301,B194,$C$2:$C$301,"&lt;="&amp;D194,$D$2:$D$301,"&gt;="&amp;C194)&gt;1,"⚠ Coincide com férias de outro do setor","")))</f>
        <v/>
      </c>
      <c r="K194" s="0" t="str">
        <f aca="true">IF(AND(ISNUMBER(C194),ISNUMBER(D194),C194&lt;=TODAY(),D194&gt;=TODAY()),D194+ROW()/100000,"")</f>
        <v/>
      </c>
      <c r="L194" s="0" t="str">
        <f aca="true">IF(AND(ISNUMBER(C194),C194&gt;TODAY(),C194&lt;=TODAY()+30),C194+ROW()/100000,"")</f>
        <v/>
      </c>
      <c r="M194" s="0" t="str">
        <f aca="false">IF(AND(ISNUMBER(C194),ISNUMBER(D194),C194&lt;=CALENDÁRIO!$L$4,D194&gt;=CALENDÁRIO!$L$4),ROW(),"")</f>
        <v/>
      </c>
    </row>
    <row r="195" customFormat="false" ht="15" hidden="false" customHeight="true" outlineLevel="0" collapsed="false">
      <c r="A195" s="54"/>
      <c r="B195" s="54"/>
      <c r="C195" s="53"/>
      <c r="D195" s="53"/>
      <c r="E195" s="64"/>
      <c r="F195" s="65" t="str">
        <f aca="false">IF(AND(ISNUMBER(C195),ISNUMBER(D195),D195&gt;=C195),D195-C195+1,"")</f>
        <v/>
      </c>
      <c r="G195" s="66" t="str">
        <f aca="false">IF(AND(ISNUMBER(C195),ISNUMBER(D195),D195&gt;=C195),WORKDAY(D195,1),"")</f>
        <v/>
      </c>
      <c r="H195" s="55" t="str">
        <f aca="true">IF(A195="","",IF(NOT(AND(ISNUMBER(C195),ISNUMBER(D195))),"Sem data definida",IF(D195&lt;C195,"⚠ Datas invertidas",IF(TODAY()&lt;C195,IF(C195-TODAY()=1,"Começa amanhã","Começa em "&amp;(C195-TODAY())&amp;" dias"),IF(TODAY()&gt;D195,"Concluídas",IF(TODAY()=D195,"EM FÉRIAS (último dia)","EM FÉRIAS (faltam "&amp;(D195-TODAY())&amp;" dias)"))))))</f>
        <v/>
      </c>
      <c r="I195" s="55" t="str">
        <f aca="false">IF(OR(A195="",NOT(AND(ISNUMBER(C195),ISNUMBER(D195)))),"",IF(D195-C195+1&gt;30,"⚠ Período acima de 30 dias",IF(COUNTIFS($B$2:$B$301,B195,$C$2:$C$301,"&lt;="&amp;D195,$D$2:$D$301,"&gt;="&amp;C195)&gt;1,"⚠ Coincide com férias de outro do setor","")))</f>
        <v/>
      </c>
      <c r="K195" s="0" t="str">
        <f aca="true">IF(AND(ISNUMBER(C195),ISNUMBER(D195),C195&lt;=TODAY(),D195&gt;=TODAY()),D195+ROW()/100000,"")</f>
        <v/>
      </c>
      <c r="L195" s="0" t="str">
        <f aca="true">IF(AND(ISNUMBER(C195),C195&gt;TODAY(),C195&lt;=TODAY()+30),C195+ROW()/100000,"")</f>
        <v/>
      </c>
      <c r="M195" s="0" t="str">
        <f aca="false">IF(AND(ISNUMBER(C195),ISNUMBER(D195),C195&lt;=CALENDÁRIO!$L$4,D195&gt;=CALENDÁRIO!$L$4),ROW(),"")</f>
        <v/>
      </c>
    </row>
    <row r="196" customFormat="false" ht="15" hidden="false" customHeight="true" outlineLevel="0" collapsed="false">
      <c r="A196" s="54"/>
      <c r="B196" s="54"/>
      <c r="C196" s="53"/>
      <c r="D196" s="53"/>
      <c r="E196" s="64"/>
      <c r="F196" s="65" t="str">
        <f aca="false">IF(AND(ISNUMBER(C196),ISNUMBER(D196),D196&gt;=C196),D196-C196+1,"")</f>
        <v/>
      </c>
      <c r="G196" s="66" t="str">
        <f aca="false">IF(AND(ISNUMBER(C196),ISNUMBER(D196),D196&gt;=C196),WORKDAY(D196,1),"")</f>
        <v/>
      </c>
      <c r="H196" s="55" t="str">
        <f aca="true">IF(A196="","",IF(NOT(AND(ISNUMBER(C196),ISNUMBER(D196))),"Sem data definida",IF(D196&lt;C196,"⚠ Datas invertidas",IF(TODAY()&lt;C196,IF(C196-TODAY()=1,"Começa amanhã","Começa em "&amp;(C196-TODAY())&amp;" dias"),IF(TODAY()&gt;D196,"Concluídas",IF(TODAY()=D196,"EM FÉRIAS (último dia)","EM FÉRIAS (faltam "&amp;(D196-TODAY())&amp;" dias)"))))))</f>
        <v/>
      </c>
      <c r="I196" s="55" t="str">
        <f aca="false">IF(OR(A196="",NOT(AND(ISNUMBER(C196),ISNUMBER(D196)))),"",IF(D196-C196+1&gt;30,"⚠ Período acima de 30 dias",IF(COUNTIFS($B$2:$B$301,B196,$C$2:$C$301,"&lt;="&amp;D196,$D$2:$D$301,"&gt;="&amp;C196)&gt;1,"⚠ Coincide com férias de outro do setor","")))</f>
        <v/>
      </c>
      <c r="K196" s="0" t="str">
        <f aca="true">IF(AND(ISNUMBER(C196),ISNUMBER(D196),C196&lt;=TODAY(),D196&gt;=TODAY()),D196+ROW()/100000,"")</f>
        <v/>
      </c>
      <c r="L196" s="0" t="str">
        <f aca="true">IF(AND(ISNUMBER(C196),C196&gt;TODAY(),C196&lt;=TODAY()+30),C196+ROW()/100000,"")</f>
        <v/>
      </c>
      <c r="M196" s="0" t="str">
        <f aca="false">IF(AND(ISNUMBER(C196),ISNUMBER(D196),C196&lt;=CALENDÁRIO!$L$4,D196&gt;=CALENDÁRIO!$L$4),ROW(),"")</f>
        <v/>
      </c>
    </row>
    <row r="197" customFormat="false" ht="15" hidden="false" customHeight="true" outlineLevel="0" collapsed="false">
      <c r="A197" s="54"/>
      <c r="B197" s="54"/>
      <c r="C197" s="53"/>
      <c r="D197" s="53"/>
      <c r="E197" s="64"/>
      <c r="F197" s="65" t="str">
        <f aca="false">IF(AND(ISNUMBER(C197),ISNUMBER(D197),D197&gt;=C197),D197-C197+1,"")</f>
        <v/>
      </c>
      <c r="G197" s="66" t="str">
        <f aca="false">IF(AND(ISNUMBER(C197),ISNUMBER(D197),D197&gt;=C197),WORKDAY(D197,1),"")</f>
        <v/>
      </c>
      <c r="H197" s="55" t="str">
        <f aca="true">IF(A197="","",IF(NOT(AND(ISNUMBER(C197),ISNUMBER(D197))),"Sem data definida",IF(D197&lt;C197,"⚠ Datas invertidas",IF(TODAY()&lt;C197,IF(C197-TODAY()=1,"Começa amanhã","Começa em "&amp;(C197-TODAY())&amp;" dias"),IF(TODAY()&gt;D197,"Concluídas",IF(TODAY()=D197,"EM FÉRIAS (último dia)","EM FÉRIAS (faltam "&amp;(D197-TODAY())&amp;" dias)"))))))</f>
        <v/>
      </c>
      <c r="I197" s="55" t="str">
        <f aca="false">IF(OR(A197="",NOT(AND(ISNUMBER(C197),ISNUMBER(D197)))),"",IF(D197-C197+1&gt;30,"⚠ Período acima de 30 dias",IF(COUNTIFS($B$2:$B$301,B197,$C$2:$C$301,"&lt;="&amp;D197,$D$2:$D$301,"&gt;="&amp;C197)&gt;1,"⚠ Coincide com férias de outro do setor","")))</f>
        <v/>
      </c>
      <c r="K197" s="0" t="str">
        <f aca="true">IF(AND(ISNUMBER(C197),ISNUMBER(D197),C197&lt;=TODAY(),D197&gt;=TODAY()),D197+ROW()/100000,"")</f>
        <v/>
      </c>
      <c r="L197" s="0" t="str">
        <f aca="true">IF(AND(ISNUMBER(C197),C197&gt;TODAY(),C197&lt;=TODAY()+30),C197+ROW()/100000,"")</f>
        <v/>
      </c>
      <c r="M197" s="0" t="str">
        <f aca="false">IF(AND(ISNUMBER(C197),ISNUMBER(D197),C197&lt;=CALENDÁRIO!$L$4,D197&gt;=CALENDÁRIO!$L$4),ROW(),"")</f>
        <v/>
      </c>
    </row>
    <row r="198" customFormat="false" ht="15" hidden="false" customHeight="true" outlineLevel="0" collapsed="false">
      <c r="A198" s="54"/>
      <c r="B198" s="54"/>
      <c r="C198" s="53"/>
      <c r="D198" s="53"/>
      <c r="E198" s="64"/>
      <c r="F198" s="65" t="str">
        <f aca="false">IF(AND(ISNUMBER(C198),ISNUMBER(D198),D198&gt;=C198),D198-C198+1,"")</f>
        <v/>
      </c>
      <c r="G198" s="66" t="str">
        <f aca="false">IF(AND(ISNUMBER(C198),ISNUMBER(D198),D198&gt;=C198),WORKDAY(D198,1),"")</f>
        <v/>
      </c>
      <c r="H198" s="55" t="str">
        <f aca="true">IF(A198="","",IF(NOT(AND(ISNUMBER(C198),ISNUMBER(D198))),"Sem data definida",IF(D198&lt;C198,"⚠ Datas invertidas",IF(TODAY()&lt;C198,IF(C198-TODAY()=1,"Começa amanhã","Começa em "&amp;(C198-TODAY())&amp;" dias"),IF(TODAY()&gt;D198,"Concluídas",IF(TODAY()=D198,"EM FÉRIAS (último dia)","EM FÉRIAS (faltam "&amp;(D198-TODAY())&amp;" dias)"))))))</f>
        <v/>
      </c>
      <c r="I198" s="55" t="str">
        <f aca="false">IF(OR(A198="",NOT(AND(ISNUMBER(C198),ISNUMBER(D198)))),"",IF(D198-C198+1&gt;30,"⚠ Período acima de 30 dias",IF(COUNTIFS($B$2:$B$301,B198,$C$2:$C$301,"&lt;="&amp;D198,$D$2:$D$301,"&gt;="&amp;C198)&gt;1,"⚠ Coincide com férias de outro do setor","")))</f>
        <v/>
      </c>
      <c r="K198" s="0" t="str">
        <f aca="true">IF(AND(ISNUMBER(C198),ISNUMBER(D198),C198&lt;=TODAY(),D198&gt;=TODAY()),D198+ROW()/100000,"")</f>
        <v/>
      </c>
      <c r="L198" s="0" t="str">
        <f aca="true">IF(AND(ISNUMBER(C198),C198&gt;TODAY(),C198&lt;=TODAY()+30),C198+ROW()/100000,"")</f>
        <v/>
      </c>
      <c r="M198" s="0" t="str">
        <f aca="false">IF(AND(ISNUMBER(C198),ISNUMBER(D198),C198&lt;=CALENDÁRIO!$L$4,D198&gt;=CALENDÁRIO!$L$4),ROW(),"")</f>
        <v/>
      </c>
    </row>
    <row r="199" customFormat="false" ht="15" hidden="false" customHeight="true" outlineLevel="0" collapsed="false">
      <c r="A199" s="54"/>
      <c r="B199" s="54"/>
      <c r="C199" s="53"/>
      <c r="D199" s="53"/>
      <c r="E199" s="64"/>
      <c r="F199" s="65" t="str">
        <f aca="false">IF(AND(ISNUMBER(C199),ISNUMBER(D199),D199&gt;=C199),D199-C199+1,"")</f>
        <v/>
      </c>
      <c r="G199" s="66" t="str">
        <f aca="false">IF(AND(ISNUMBER(C199),ISNUMBER(D199),D199&gt;=C199),WORKDAY(D199,1),"")</f>
        <v/>
      </c>
      <c r="H199" s="55" t="str">
        <f aca="true">IF(A199="","",IF(NOT(AND(ISNUMBER(C199),ISNUMBER(D199))),"Sem data definida",IF(D199&lt;C199,"⚠ Datas invertidas",IF(TODAY()&lt;C199,IF(C199-TODAY()=1,"Começa amanhã","Começa em "&amp;(C199-TODAY())&amp;" dias"),IF(TODAY()&gt;D199,"Concluídas",IF(TODAY()=D199,"EM FÉRIAS (último dia)","EM FÉRIAS (faltam "&amp;(D199-TODAY())&amp;" dias)"))))))</f>
        <v/>
      </c>
      <c r="I199" s="55" t="str">
        <f aca="false">IF(OR(A199="",NOT(AND(ISNUMBER(C199),ISNUMBER(D199)))),"",IF(D199-C199+1&gt;30,"⚠ Período acima de 30 dias",IF(COUNTIFS($B$2:$B$301,B199,$C$2:$C$301,"&lt;="&amp;D199,$D$2:$D$301,"&gt;="&amp;C199)&gt;1,"⚠ Coincide com férias de outro do setor","")))</f>
        <v/>
      </c>
      <c r="K199" s="0" t="str">
        <f aca="true">IF(AND(ISNUMBER(C199),ISNUMBER(D199),C199&lt;=TODAY(),D199&gt;=TODAY()),D199+ROW()/100000,"")</f>
        <v/>
      </c>
      <c r="L199" s="0" t="str">
        <f aca="true">IF(AND(ISNUMBER(C199),C199&gt;TODAY(),C199&lt;=TODAY()+30),C199+ROW()/100000,"")</f>
        <v/>
      </c>
      <c r="M199" s="0" t="str">
        <f aca="false">IF(AND(ISNUMBER(C199),ISNUMBER(D199),C199&lt;=CALENDÁRIO!$L$4,D199&gt;=CALENDÁRIO!$L$4),ROW(),"")</f>
        <v/>
      </c>
    </row>
    <row r="200" customFormat="false" ht="15" hidden="false" customHeight="true" outlineLevel="0" collapsed="false">
      <c r="A200" s="54"/>
      <c r="B200" s="54"/>
      <c r="C200" s="53"/>
      <c r="D200" s="53"/>
      <c r="E200" s="64"/>
      <c r="F200" s="65" t="str">
        <f aca="false">IF(AND(ISNUMBER(C200),ISNUMBER(D200),D200&gt;=C200),D200-C200+1,"")</f>
        <v/>
      </c>
      <c r="G200" s="66" t="str">
        <f aca="false">IF(AND(ISNUMBER(C200),ISNUMBER(D200),D200&gt;=C200),WORKDAY(D200,1),"")</f>
        <v/>
      </c>
      <c r="H200" s="55" t="str">
        <f aca="true">IF(A200="","",IF(NOT(AND(ISNUMBER(C200),ISNUMBER(D200))),"Sem data definida",IF(D200&lt;C200,"⚠ Datas invertidas",IF(TODAY()&lt;C200,IF(C200-TODAY()=1,"Começa amanhã","Começa em "&amp;(C200-TODAY())&amp;" dias"),IF(TODAY()&gt;D200,"Concluídas",IF(TODAY()=D200,"EM FÉRIAS (último dia)","EM FÉRIAS (faltam "&amp;(D200-TODAY())&amp;" dias)"))))))</f>
        <v/>
      </c>
      <c r="I200" s="55" t="str">
        <f aca="false">IF(OR(A200="",NOT(AND(ISNUMBER(C200),ISNUMBER(D200)))),"",IF(D200-C200+1&gt;30,"⚠ Período acima de 30 dias",IF(COUNTIFS($B$2:$B$301,B200,$C$2:$C$301,"&lt;="&amp;D200,$D$2:$D$301,"&gt;="&amp;C200)&gt;1,"⚠ Coincide com férias de outro do setor","")))</f>
        <v/>
      </c>
      <c r="K200" s="0" t="str">
        <f aca="true">IF(AND(ISNUMBER(C200),ISNUMBER(D200),C200&lt;=TODAY(),D200&gt;=TODAY()),D200+ROW()/100000,"")</f>
        <v/>
      </c>
      <c r="L200" s="0" t="str">
        <f aca="true">IF(AND(ISNUMBER(C200),C200&gt;TODAY(),C200&lt;=TODAY()+30),C200+ROW()/100000,"")</f>
        <v/>
      </c>
      <c r="M200" s="0" t="str">
        <f aca="false">IF(AND(ISNUMBER(C200),ISNUMBER(D200),C200&lt;=CALENDÁRIO!$L$4,D200&gt;=CALENDÁRIO!$L$4),ROW(),"")</f>
        <v/>
      </c>
    </row>
    <row r="201" customFormat="false" ht="15" hidden="false" customHeight="true" outlineLevel="0" collapsed="false">
      <c r="A201" s="54"/>
      <c r="B201" s="54"/>
      <c r="C201" s="53"/>
      <c r="D201" s="53"/>
      <c r="E201" s="64"/>
      <c r="F201" s="65" t="str">
        <f aca="false">IF(AND(ISNUMBER(C201),ISNUMBER(D201),D201&gt;=C201),D201-C201+1,"")</f>
        <v/>
      </c>
      <c r="G201" s="66" t="str">
        <f aca="false">IF(AND(ISNUMBER(C201),ISNUMBER(D201),D201&gt;=C201),WORKDAY(D201,1),"")</f>
        <v/>
      </c>
      <c r="H201" s="55" t="str">
        <f aca="true">IF(A201="","",IF(NOT(AND(ISNUMBER(C201),ISNUMBER(D201))),"Sem data definida",IF(D201&lt;C201,"⚠ Datas invertidas",IF(TODAY()&lt;C201,IF(C201-TODAY()=1,"Começa amanhã","Começa em "&amp;(C201-TODAY())&amp;" dias"),IF(TODAY()&gt;D201,"Concluídas",IF(TODAY()=D201,"EM FÉRIAS (último dia)","EM FÉRIAS (faltam "&amp;(D201-TODAY())&amp;" dias)"))))))</f>
        <v/>
      </c>
      <c r="I201" s="55" t="str">
        <f aca="false">IF(OR(A201="",NOT(AND(ISNUMBER(C201),ISNUMBER(D201)))),"",IF(D201-C201+1&gt;30,"⚠ Período acima de 30 dias",IF(COUNTIFS($B$2:$B$301,B201,$C$2:$C$301,"&lt;="&amp;D201,$D$2:$D$301,"&gt;="&amp;C201)&gt;1,"⚠ Coincide com férias de outro do setor","")))</f>
        <v/>
      </c>
      <c r="K201" s="0" t="str">
        <f aca="true">IF(AND(ISNUMBER(C201),ISNUMBER(D201),C201&lt;=TODAY(),D201&gt;=TODAY()),D201+ROW()/100000,"")</f>
        <v/>
      </c>
      <c r="L201" s="0" t="str">
        <f aca="true">IF(AND(ISNUMBER(C201),C201&gt;TODAY(),C201&lt;=TODAY()+30),C201+ROW()/100000,"")</f>
        <v/>
      </c>
      <c r="M201" s="0" t="str">
        <f aca="false">IF(AND(ISNUMBER(C201),ISNUMBER(D201),C201&lt;=CALENDÁRIO!$L$4,D201&gt;=CALENDÁRIO!$L$4),ROW(),"")</f>
        <v/>
      </c>
    </row>
    <row r="202" customFormat="false" ht="15" hidden="false" customHeight="true" outlineLevel="0" collapsed="false">
      <c r="A202" s="54"/>
      <c r="B202" s="54"/>
      <c r="C202" s="53"/>
      <c r="D202" s="53"/>
      <c r="E202" s="64"/>
      <c r="F202" s="65" t="str">
        <f aca="false">IF(AND(ISNUMBER(C202),ISNUMBER(D202),D202&gt;=C202),D202-C202+1,"")</f>
        <v/>
      </c>
      <c r="G202" s="66" t="str">
        <f aca="false">IF(AND(ISNUMBER(C202),ISNUMBER(D202),D202&gt;=C202),WORKDAY(D202,1),"")</f>
        <v/>
      </c>
      <c r="H202" s="55" t="str">
        <f aca="true">IF(A202="","",IF(NOT(AND(ISNUMBER(C202),ISNUMBER(D202))),"Sem data definida",IF(D202&lt;C202,"⚠ Datas invertidas",IF(TODAY()&lt;C202,IF(C202-TODAY()=1,"Começa amanhã","Começa em "&amp;(C202-TODAY())&amp;" dias"),IF(TODAY()&gt;D202,"Concluídas",IF(TODAY()=D202,"EM FÉRIAS (último dia)","EM FÉRIAS (faltam "&amp;(D202-TODAY())&amp;" dias)"))))))</f>
        <v/>
      </c>
      <c r="I202" s="55" t="str">
        <f aca="false">IF(OR(A202="",NOT(AND(ISNUMBER(C202),ISNUMBER(D202)))),"",IF(D202-C202+1&gt;30,"⚠ Período acima de 30 dias",IF(COUNTIFS($B$2:$B$301,B202,$C$2:$C$301,"&lt;="&amp;D202,$D$2:$D$301,"&gt;="&amp;C202)&gt;1,"⚠ Coincide com férias de outro do setor","")))</f>
        <v/>
      </c>
      <c r="K202" s="0" t="str">
        <f aca="true">IF(AND(ISNUMBER(C202),ISNUMBER(D202),C202&lt;=TODAY(),D202&gt;=TODAY()),D202+ROW()/100000,"")</f>
        <v/>
      </c>
      <c r="L202" s="0" t="str">
        <f aca="true">IF(AND(ISNUMBER(C202),C202&gt;TODAY(),C202&lt;=TODAY()+30),C202+ROW()/100000,"")</f>
        <v/>
      </c>
      <c r="M202" s="0" t="str">
        <f aca="false">IF(AND(ISNUMBER(C202),ISNUMBER(D202),C202&lt;=CALENDÁRIO!$L$4,D202&gt;=CALENDÁRIO!$L$4),ROW(),"")</f>
        <v/>
      </c>
    </row>
    <row r="203" customFormat="false" ht="15" hidden="false" customHeight="true" outlineLevel="0" collapsed="false">
      <c r="A203" s="54"/>
      <c r="B203" s="54"/>
      <c r="C203" s="53"/>
      <c r="D203" s="53"/>
      <c r="E203" s="64"/>
      <c r="F203" s="65" t="str">
        <f aca="false">IF(AND(ISNUMBER(C203),ISNUMBER(D203),D203&gt;=C203),D203-C203+1,"")</f>
        <v/>
      </c>
      <c r="G203" s="66" t="str">
        <f aca="false">IF(AND(ISNUMBER(C203),ISNUMBER(D203),D203&gt;=C203),WORKDAY(D203,1),"")</f>
        <v/>
      </c>
      <c r="H203" s="55" t="str">
        <f aca="true">IF(A203="","",IF(NOT(AND(ISNUMBER(C203),ISNUMBER(D203))),"Sem data definida",IF(D203&lt;C203,"⚠ Datas invertidas",IF(TODAY()&lt;C203,IF(C203-TODAY()=1,"Começa amanhã","Começa em "&amp;(C203-TODAY())&amp;" dias"),IF(TODAY()&gt;D203,"Concluídas",IF(TODAY()=D203,"EM FÉRIAS (último dia)","EM FÉRIAS (faltam "&amp;(D203-TODAY())&amp;" dias)"))))))</f>
        <v/>
      </c>
      <c r="I203" s="55" t="str">
        <f aca="false">IF(OR(A203="",NOT(AND(ISNUMBER(C203),ISNUMBER(D203)))),"",IF(D203-C203+1&gt;30,"⚠ Período acima de 30 dias",IF(COUNTIFS($B$2:$B$301,B203,$C$2:$C$301,"&lt;="&amp;D203,$D$2:$D$301,"&gt;="&amp;C203)&gt;1,"⚠ Coincide com férias de outro do setor","")))</f>
        <v/>
      </c>
      <c r="K203" s="0" t="str">
        <f aca="true">IF(AND(ISNUMBER(C203),ISNUMBER(D203),C203&lt;=TODAY(),D203&gt;=TODAY()),D203+ROW()/100000,"")</f>
        <v/>
      </c>
      <c r="L203" s="0" t="str">
        <f aca="true">IF(AND(ISNUMBER(C203),C203&gt;TODAY(),C203&lt;=TODAY()+30),C203+ROW()/100000,"")</f>
        <v/>
      </c>
      <c r="M203" s="0" t="str">
        <f aca="false">IF(AND(ISNUMBER(C203),ISNUMBER(D203),C203&lt;=CALENDÁRIO!$L$4,D203&gt;=CALENDÁRIO!$L$4),ROW(),"")</f>
        <v/>
      </c>
    </row>
    <row r="204" customFormat="false" ht="15" hidden="false" customHeight="true" outlineLevel="0" collapsed="false">
      <c r="A204" s="54"/>
      <c r="B204" s="54"/>
      <c r="C204" s="53"/>
      <c r="D204" s="53"/>
      <c r="E204" s="64"/>
      <c r="F204" s="65" t="str">
        <f aca="false">IF(AND(ISNUMBER(C204),ISNUMBER(D204),D204&gt;=C204),D204-C204+1,"")</f>
        <v/>
      </c>
      <c r="G204" s="66" t="str">
        <f aca="false">IF(AND(ISNUMBER(C204),ISNUMBER(D204),D204&gt;=C204),WORKDAY(D204,1),"")</f>
        <v/>
      </c>
      <c r="H204" s="55" t="str">
        <f aca="true">IF(A204="","",IF(NOT(AND(ISNUMBER(C204),ISNUMBER(D204))),"Sem data definida",IF(D204&lt;C204,"⚠ Datas invertidas",IF(TODAY()&lt;C204,IF(C204-TODAY()=1,"Começa amanhã","Começa em "&amp;(C204-TODAY())&amp;" dias"),IF(TODAY()&gt;D204,"Concluídas",IF(TODAY()=D204,"EM FÉRIAS (último dia)","EM FÉRIAS (faltam "&amp;(D204-TODAY())&amp;" dias)"))))))</f>
        <v/>
      </c>
      <c r="I204" s="55" t="str">
        <f aca="false">IF(OR(A204="",NOT(AND(ISNUMBER(C204),ISNUMBER(D204)))),"",IF(D204-C204+1&gt;30,"⚠ Período acima de 30 dias",IF(COUNTIFS($B$2:$B$301,B204,$C$2:$C$301,"&lt;="&amp;D204,$D$2:$D$301,"&gt;="&amp;C204)&gt;1,"⚠ Coincide com férias de outro do setor","")))</f>
        <v/>
      </c>
      <c r="K204" s="0" t="str">
        <f aca="true">IF(AND(ISNUMBER(C204),ISNUMBER(D204),C204&lt;=TODAY(),D204&gt;=TODAY()),D204+ROW()/100000,"")</f>
        <v/>
      </c>
      <c r="L204" s="0" t="str">
        <f aca="true">IF(AND(ISNUMBER(C204),C204&gt;TODAY(),C204&lt;=TODAY()+30),C204+ROW()/100000,"")</f>
        <v/>
      </c>
      <c r="M204" s="0" t="str">
        <f aca="false">IF(AND(ISNUMBER(C204),ISNUMBER(D204),C204&lt;=CALENDÁRIO!$L$4,D204&gt;=CALENDÁRIO!$L$4),ROW(),"")</f>
        <v/>
      </c>
    </row>
    <row r="205" customFormat="false" ht="15" hidden="false" customHeight="true" outlineLevel="0" collapsed="false">
      <c r="A205" s="54"/>
      <c r="B205" s="54"/>
      <c r="C205" s="53"/>
      <c r="D205" s="53"/>
      <c r="E205" s="64"/>
      <c r="F205" s="65" t="str">
        <f aca="false">IF(AND(ISNUMBER(C205),ISNUMBER(D205),D205&gt;=C205),D205-C205+1,"")</f>
        <v/>
      </c>
      <c r="G205" s="66" t="str">
        <f aca="false">IF(AND(ISNUMBER(C205),ISNUMBER(D205),D205&gt;=C205),WORKDAY(D205,1),"")</f>
        <v/>
      </c>
      <c r="H205" s="55" t="str">
        <f aca="true">IF(A205="","",IF(NOT(AND(ISNUMBER(C205),ISNUMBER(D205))),"Sem data definida",IF(D205&lt;C205,"⚠ Datas invertidas",IF(TODAY()&lt;C205,IF(C205-TODAY()=1,"Começa amanhã","Começa em "&amp;(C205-TODAY())&amp;" dias"),IF(TODAY()&gt;D205,"Concluídas",IF(TODAY()=D205,"EM FÉRIAS (último dia)","EM FÉRIAS (faltam "&amp;(D205-TODAY())&amp;" dias)"))))))</f>
        <v/>
      </c>
      <c r="I205" s="55" t="str">
        <f aca="false">IF(OR(A205="",NOT(AND(ISNUMBER(C205),ISNUMBER(D205)))),"",IF(D205-C205+1&gt;30,"⚠ Período acima de 30 dias",IF(COUNTIFS($B$2:$B$301,B205,$C$2:$C$301,"&lt;="&amp;D205,$D$2:$D$301,"&gt;="&amp;C205)&gt;1,"⚠ Coincide com férias de outro do setor","")))</f>
        <v/>
      </c>
      <c r="K205" s="0" t="str">
        <f aca="true">IF(AND(ISNUMBER(C205),ISNUMBER(D205),C205&lt;=TODAY(),D205&gt;=TODAY()),D205+ROW()/100000,"")</f>
        <v/>
      </c>
      <c r="L205" s="0" t="str">
        <f aca="true">IF(AND(ISNUMBER(C205),C205&gt;TODAY(),C205&lt;=TODAY()+30),C205+ROW()/100000,"")</f>
        <v/>
      </c>
      <c r="M205" s="0" t="str">
        <f aca="false">IF(AND(ISNUMBER(C205),ISNUMBER(D205),C205&lt;=CALENDÁRIO!$L$4,D205&gt;=CALENDÁRIO!$L$4),ROW(),"")</f>
        <v/>
      </c>
    </row>
    <row r="206" customFormat="false" ht="15" hidden="false" customHeight="true" outlineLevel="0" collapsed="false">
      <c r="A206" s="54"/>
      <c r="B206" s="54"/>
      <c r="C206" s="53"/>
      <c r="D206" s="53"/>
      <c r="E206" s="64"/>
      <c r="F206" s="65" t="str">
        <f aca="false">IF(AND(ISNUMBER(C206),ISNUMBER(D206),D206&gt;=C206),D206-C206+1,"")</f>
        <v/>
      </c>
      <c r="G206" s="66" t="str">
        <f aca="false">IF(AND(ISNUMBER(C206),ISNUMBER(D206),D206&gt;=C206),WORKDAY(D206,1),"")</f>
        <v/>
      </c>
      <c r="H206" s="55" t="str">
        <f aca="true">IF(A206="","",IF(NOT(AND(ISNUMBER(C206),ISNUMBER(D206))),"Sem data definida",IF(D206&lt;C206,"⚠ Datas invertidas",IF(TODAY()&lt;C206,IF(C206-TODAY()=1,"Começa amanhã","Começa em "&amp;(C206-TODAY())&amp;" dias"),IF(TODAY()&gt;D206,"Concluídas",IF(TODAY()=D206,"EM FÉRIAS (último dia)","EM FÉRIAS (faltam "&amp;(D206-TODAY())&amp;" dias)"))))))</f>
        <v/>
      </c>
      <c r="I206" s="55" t="str">
        <f aca="false">IF(OR(A206="",NOT(AND(ISNUMBER(C206),ISNUMBER(D206)))),"",IF(D206-C206+1&gt;30,"⚠ Período acima de 30 dias",IF(COUNTIFS($B$2:$B$301,B206,$C$2:$C$301,"&lt;="&amp;D206,$D$2:$D$301,"&gt;="&amp;C206)&gt;1,"⚠ Coincide com férias de outro do setor","")))</f>
        <v/>
      </c>
      <c r="K206" s="0" t="str">
        <f aca="true">IF(AND(ISNUMBER(C206),ISNUMBER(D206),C206&lt;=TODAY(),D206&gt;=TODAY()),D206+ROW()/100000,"")</f>
        <v/>
      </c>
      <c r="L206" s="0" t="str">
        <f aca="true">IF(AND(ISNUMBER(C206),C206&gt;TODAY(),C206&lt;=TODAY()+30),C206+ROW()/100000,"")</f>
        <v/>
      </c>
      <c r="M206" s="0" t="str">
        <f aca="false">IF(AND(ISNUMBER(C206),ISNUMBER(D206),C206&lt;=CALENDÁRIO!$L$4,D206&gt;=CALENDÁRIO!$L$4),ROW(),"")</f>
        <v/>
      </c>
    </row>
    <row r="207" customFormat="false" ht="15" hidden="false" customHeight="true" outlineLevel="0" collapsed="false">
      <c r="A207" s="54"/>
      <c r="B207" s="54"/>
      <c r="C207" s="53"/>
      <c r="D207" s="53"/>
      <c r="E207" s="64"/>
      <c r="F207" s="65" t="str">
        <f aca="false">IF(AND(ISNUMBER(C207),ISNUMBER(D207),D207&gt;=C207),D207-C207+1,"")</f>
        <v/>
      </c>
      <c r="G207" s="66" t="str">
        <f aca="false">IF(AND(ISNUMBER(C207),ISNUMBER(D207),D207&gt;=C207),WORKDAY(D207,1),"")</f>
        <v/>
      </c>
      <c r="H207" s="55" t="str">
        <f aca="true">IF(A207="","",IF(NOT(AND(ISNUMBER(C207),ISNUMBER(D207))),"Sem data definida",IF(D207&lt;C207,"⚠ Datas invertidas",IF(TODAY()&lt;C207,IF(C207-TODAY()=1,"Começa amanhã","Começa em "&amp;(C207-TODAY())&amp;" dias"),IF(TODAY()&gt;D207,"Concluídas",IF(TODAY()=D207,"EM FÉRIAS (último dia)","EM FÉRIAS (faltam "&amp;(D207-TODAY())&amp;" dias)"))))))</f>
        <v/>
      </c>
      <c r="I207" s="55" t="str">
        <f aca="false">IF(OR(A207="",NOT(AND(ISNUMBER(C207),ISNUMBER(D207)))),"",IF(D207-C207+1&gt;30,"⚠ Período acima de 30 dias",IF(COUNTIFS($B$2:$B$301,B207,$C$2:$C$301,"&lt;="&amp;D207,$D$2:$D$301,"&gt;="&amp;C207)&gt;1,"⚠ Coincide com férias de outro do setor","")))</f>
        <v/>
      </c>
      <c r="K207" s="0" t="str">
        <f aca="true">IF(AND(ISNUMBER(C207),ISNUMBER(D207),C207&lt;=TODAY(),D207&gt;=TODAY()),D207+ROW()/100000,"")</f>
        <v/>
      </c>
      <c r="L207" s="0" t="str">
        <f aca="true">IF(AND(ISNUMBER(C207),C207&gt;TODAY(),C207&lt;=TODAY()+30),C207+ROW()/100000,"")</f>
        <v/>
      </c>
      <c r="M207" s="0" t="str">
        <f aca="false">IF(AND(ISNUMBER(C207),ISNUMBER(D207),C207&lt;=CALENDÁRIO!$L$4,D207&gt;=CALENDÁRIO!$L$4),ROW(),"")</f>
        <v/>
      </c>
    </row>
    <row r="208" customFormat="false" ht="15" hidden="false" customHeight="true" outlineLevel="0" collapsed="false">
      <c r="A208" s="54"/>
      <c r="B208" s="54"/>
      <c r="C208" s="53"/>
      <c r="D208" s="53"/>
      <c r="E208" s="64"/>
      <c r="F208" s="65" t="str">
        <f aca="false">IF(AND(ISNUMBER(C208),ISNUMBER(D208),D208&gt;=C208),D208-C208+1,"")</f>
        <v/>
      </c>
      <c r="G208" s="66" t="str">
        <f aca="false">IF(AND(ISNUMBER(C208),ISNUMBER(D208),D208&gt;=C208),WORKDAY(D208,1),"")</f>
        <v/>
      </c>
      <c r="H208" s="55" t="str">
        <f aca="true">IF(A208="","",IF(NOT(AND(ISNUMBER(C208),ISNUMBER(D208))),"Sem data definida",IF(D208&lt;C208,"⚠ Datas invertidas",IF(TODAY()&lt;C208,IF(C208-TODAY()=1,"Começa amanhã","Começa em "&amp;(C208-TODAY())&amp;" dias"),IF(TODAY()&gt;D208,"Concluídas",IF(TODAY()=D208,"EM FÉRIAS (último dia)","EM FÉRIAS (faltam "&amp;(D208-TODAY())&amp;" dias)"))))))</f>
        <v/>
      </c>
      <c r="I208" s="55" t="str">
        <f aca="false">IF(OR(A208="",NOT(AND(ISNUMBER(C208),ISNUMBER(D208)))),"",IF(D208-C208+1&gt;30,"⚠ Período acima de 30 dias",IF(COUNTIFS($B$2:$B$301,B208,$C$2:$C$301,"&lt;="&amp;D208,$D$2:$D$301,"&gt;="&amp;C208)&gt;1,"⚠ Coincide com férias de outro do setor","")))</f>
        <v/>
      </c>
      <c r="K208" s="0" t="str">
        <f aca="true">IF(AND(ISNUMBER(C208),ISNUMBER(D208),C208&lt;=TODAY(),D208&gt;=TODAY()),D208+ROW()/100000,"")</f>
        <v/>
      </c>
      <c r="L208" s="0" t="str">
        <f aca="true">IF(AND(ISNUMBER(C208),C208&gt;TODAY(),C208&lt;=TODAY()+30),C208+ROW()/100000,"")</f>
        <v/>
      </c>
      <c r="M208" s="0" t="str">
        <f aca="false">IF(AND(ISNUMBER(C208),ISNUMBER(D208),C208&lt;=CALENDÁRIO!$L$4,D208&gt;=CALENDÁRIO!$L$4),ROW(),"")</f>
        <v/>
      </c>
    </row>
    <row r="209" customFormat="false" ht="15" hidden="false" customHeight="true" outlineLevel="0" collapsed="false">
      <c r="A209" s="54"/>
      <c r="B209" s="54"/>
      <c r="C209" s="53"/>
      <c r="D209" s="53"/>
      <c r="E209" s="64"/>
      <c r="F209" s="65" t="str">
        <f aca="false">IF(AND(ISNUMBER(C209),ISNUMBER(D209),D209&gt;=C209),D209-C209+1,"")</f>
        <v/>
      </c>
      <c r="G209" s="66" t="str">
        <f aca="false">IF(AND(ISNUMBER(C209),ISNUMBER(D209),D209&gt;=C209),WORKDAY(D209,1),"")</f>
        <v/>
      </c>
      <c r="H209" s="55" t="str">
        <f aca="true">IF(A209="","",IF(NOT(AND(ISNUMBER(C209),ISNUMBER(D209))),"Sem data definida",IF(D209&lt;C209,"⚠ Datas invertidas",IF(TODAY()&lt;C209,IF(C209-TODAY()=1,"Começa amanhã","Começa em "&amp;(C209-TODAY())&amp;" dias"),IF(TODAY()&gt;D209,"Concluídas",IF(TODAY()=D209,"EM FÉRIAS (último dia)","EM FÉRIAS (faltam "&amp;(D209-TODAY())&amp;" dias)"))))))</f>
        <v/>
      </c>
      <c r="I209" s="55" t="str">
        <f aca="false">IF(OR(A209="",NOT(AND(ISNUMBER(C209),ISNUMBER(D209)))),"",IF(D209-C209+1&gt;30,"⚠ Período acima de 30 dias",IF(COUNTIFS($B$2:$B$301,B209,$C$2:$C$301,"&lt;="&amp;D209,$D$2:$D$301,"&gt;="&amp;C209)&gt;1,"⚠ Coincide com férias de outro do setor","")))</f>
        <v/>
      </c>
      <c r="K209" s="0" t="str">
        <f aca="true">IF(AND(ISNUMBER(C209),ISNUMBER(D209),C209&lt;=TODAY(),D209&gt;=TODAY()),D209+ROW()/100000,"")</f>
        <v/>
      </c>
      <c r="L209" s="0" t="str">
        <f aca="true">IF(AND(ISNUMBER(C209),C209&gt;TODAY(),C209&lt;=TODAY()+30),C209+ROW()/100000,"")</f>
        <v/>
      </c>
      <c r="M209" s="0" t="str">
        <f aca="false">IF(AND(ISNUMBER(C209),ISNUMBER(D209),C209&lt;=CALENDÁRIO!$L$4,D209&gt;=CALENDÁRIO!$L$4),ROW(),"")</f>
        <v/>
      </c>
    </row>
    <row r="210" customFormat="false" ht="15" hidden="false" customHeight="true" outlineLevel="0" collapsed="false">
      <c r="A210" s="54"/>
      <c r="B210" s="54"/>
      <c r="C210" s="53"/>
      <c r="D210" s="53"/>
      <c r="E210" s="64"/>
      <c r="F210" s="65" t="str">
        <f aca="false">IF(AND(ISNUMBER(C210),ISNUMBER(D210),D210&gt;=C210),D210-C210+1,"")</f>
        <v/>
      </c>
      <c r="G210" s="66" t="str">
        <f aca="false">IF(AND(ISNUMBER(C210),ISNUMBER(D210),D210&gt;=C210),WORKDAY(D210,1),"")</f>
        <v/>
      </c>
      <c r="H210" s="55" t="str">
        <f aca="true">IF(A210="","",IF(NOT(AND(ISNUMBER(C210),ISNUMBER(D210))),"Sem data definida",IF(D210&lt;C210,"⚠ Datas invertidas",IF(TODAY()&lt;C210,IF(C210-TODAY()=1,"Começa amanhã","Começa em "&amp;(C210-TODAY())&amp;" dias"),IF(TODAY()&gt;D210,"Concluídas",IF(TODAY()=D210,"EM FÉRIAS (último dia)","EM FÉRIAS (faltam "&amp;(D210-TODAY())&amp;" dias)"))))))</f>
        <v/>
      </c>
      <c r="I210" s="55" t="str">
        <f aca="false">IF(OR(A210="",NOT(AND(ISNUMBER(C210),ISNUMBER(D210)))),"",IF(D210-C210+1&gt;30,"⚠ Período acima de 30 dias",IF(COUNTIFS($B$2:$B$301,B210,$C$2:$C$301,"&lt;="&amp;D210,$D$2:$D$301,"&gt;="&amp;C210)&gt;1,"⚠ Coincide com férias de outro do setor","")))</f>
        <v/>
      </c>
      <c r="K210" s="0" t="str">
        <f aca="true">IF(AND(ISNUMBER(C210),ISNUMBER(D210),C210&lt;=TODAY(),D210&gt;=TODAY()),D210+ROW()/100000,"")</f>
        <v/>
      </c>
      <c r="L210" s="0" t="str">
        <f aca="true">IF(AND(ISNUMBER(C210),C210&gt;TODAY(),C210&lt;=TODAY()+30),C210+ROW()/100000,"")</f>
        <v/>
      </c>
      <c r="M210" s="0" t="str">
        <f aca="false">IF(AND(ISNUMBER(C210),ISNUMBER(D210),C210&lt;=CALENDÁRIO!$L$4,D210&gt;=CALENDÁRIO!$L$4),ROW(),"")</f>
        <v/>
      </c>
    </row>
    <row r="211" customFormat="false" ht="15" hidden="false" customHeight="true" outlineLevel="0" collapsed="false">
      <c r="A211" s="54"/>
      <c r="B211" s="54"/>
      <c r="C211" s="53"/>
      <c r="D211" s="53"/>
      <c r="E211" s="64"/>
      <c r="F211" s="65" t="str">
        <f aca="false">IF(AND(ISNUMBER(C211),ISNUMBER(D211),D211&gt;=C211),D211-C211+1,"")</f>
        <v/>
      </c>
      <c r="G211" s="66" t="str">
        <f aca="false">IF(AND(ISNUMBER(C211),ISNUMBER(D211),D211&gt;=C211),WORKDAY(D211,1),"")</f>
        <v/>
      </c>
      <c r="H211" s="55" t="str">
        <f aca="true">IF(A211="","",IF(NOT(AND(ISNUMBER(C211),ISNUMBER(D211))),"Sem data definida",IF(D211&lt;C211,"⚠ Datas invertidas",IF(TODAY()&lt;C211,IF(C211-TODAY()=1,"Começa amanhã","Começa em "&amp;(C211-TODAY())&amp;" dias"),IF(TODAY()&gt;D211,"Concluídas",IF(TODAY()=D211,"EM FÉRIAS (último dia)","EM FÉRIAS (faltam "&amp;(D211-TODAY())&amp;" dias)"))))))</f>
        <v/>
      </c>
      <c r="I211" s="55" t="str">
        <f aca="false">IF(OR(A211="",NOT(AND(ISNUMBER(C211),ISNUMBER(D211)))),"",IF(D211-C211+1&gt;30,"⚠ Período acima de 30 dias",IF(COUNTIFS($B$2:$B$301,B211,$C$2:$C$301,"&lt;="&amp;D211,$D$2:$D$301,"&gt;="&amp;C211)&gt;1,"⚠ Coincide com férias de outro do setor","")))</f>
        <v/>
      </c>
      <c r="K211" s="0" t="str">
        <f aca="true">IF(AND(ISNUMBER(C211),ISNUMBER(D211),C211&lt;=TODAY(),D211&gt;=TODAY()),D211+ROW()/100000,"")</f>
        <v/>
      </c>
      <c r="L211" s="0" t="str">
        <f aca="true">IF(AND(ISNUMBER(C211),C211&gt;TODAY(),C211&lt;=TODAY()+30),C211+ROW()/100000,"")</f>
        <v/>
      </c>
      <c r="M211" s="0" t="str">
        <f aca="false">IF(AND(ISNUMBER(C211),ISNUMBER(D211),C211&lt;=CALENDÁRIO!$L$4,D211&gt;=CALENDÁRIO!$L$4),ROW(),"")</f>
        <v/>
      </c>
    </row>
    <row r="212" customFormat="false" ht="15" hidden="false" customHeight="true" outlineLevel="0" collapsed="false">
      <c r="A212" s="54"/>
      <c r="B212" s="54"/>
      <c r="C212" s="53"/>
      <c r="D212" s="53"/>
      <c r="E212" s="64"/>
      <c r="F212" s="65" t="str">
        <f aca="false">IF(AND(ISNUMBER(C212),ISNUMBER(D212),D212&gt;=C212),D212-C212+1,"")</f>
        <v/>
      </c>
      <c r="G212" s="66" t="str">
        <f aca="false">IF(AND(ISNUMBER(C212),ISNUMBER(D212),D212&gt;=C212),WORKDAY(D212,1),"")</f>
        <v/>
      </c>
      <c r="H212" s="55" t="str">
        <f aca="true">IF(A212="","",IF(NOT(AND(ISNUMBER(C212),ISNUMBER(D212))),"Sem data definida",IF(D212&lt;C212,"⚠ Datas invertidas",IF(TODAY()&lt;C212,IF(C212-TODAY()=1,"Começa amanhã","Começa em "&amp;(C212-TODAY())&amp;" dias"),IF(TODAY()&gt;D212,"Concluídas",IF(TODAY()=D212,"EM FÉRIAS (último dia)","EM FÉRIAS (faltam "&amp;(D212-TODAY())&amp;" dias)"))))))</f>
        <v/>
      </c>
      <c r="I212" s="55" t="str">
        <f aca="false">IF(OR(A212="",NOT(AND(ISNUMBER(C212),ISNUMBER(D212)))),"",IF(D212-C212+1&gt;30,"⚠ Período acima de 30 dias",IF(COUNTIFS($B$2:$B$301,B212,$C$2:$C$301,"&lt;="&amp;D212,$D$2:$D$301,"&gt;="&amp;C212)&gt;1,"⚠ Coincide com férias de outro do setor","")))</f>
        <v/>
      </c>
      <c r="K212" s="0" t="str">
        <f aca="true">IF(AND(ISNUMBER(C212),ISNUMBER(D212),C212&lt;=TODAY(),D212&gt;=TODAY()),D212+ROW()/100000,"")</f>
        <v/>
      </c>
      <c r="L212" s="0" t="str">
        <f aca="true">IF(AND(ISNUMBER(C212),C212&gt;TODAY(),C212&lt;=TODAY()+30),C212+ROW()/100000,"")</f>
        <v/>
      </c>
      <c r="M212" s="0" t="str">
        <f aca="false">IF(AND(ISNUMBER(C212),ISNUMBER(D212),C212&lt;=CALENDÁRIO!$L$4,D212&gt;=CALENDÁRIO!$L$4),ROW(),"")</f>
        <v/>
      </c>
    </row>
    <row r="213" customFormat="false" ht="15" hidden="false" customHeight="true" outlineLevel="0" collapsed="false">
      <c r="A213" s="54"/>
      <c r="B213" s="54"/>
      <c r="C213" s="53"/>
      <c r="D213" s="53"/>
      <c r="E213" s="64"/>
      <c r="F213" s="65" t="str">
        <f aca="false">IF(AND(ISNUMBER(C213),ISNUMBER(D213),D213&gt;=C213),D213-C213+1,"")</f>
        <v/>
      </c>
      <c r="G213" s="66" t="str">
        <f aca="false">IF(AND(ISNUMBER(C213),ISNUMBER(D213),D213&gt;=C213),WORKDAY(D213,1),"")</f>
        <v/>
      </c>
      <c r="H213" s="55" t="str">
        <f aca="true">IF(A213="","",IF(NOT(AND(ISNUMBER(C213),ISNUMBER(D213))),"Sem data definida",IF(D213&lt;C213,"⚠ Datas invertidas",IF(TODAY()&lt;C213,IF(C213-TODAY()=1,"Começa amanhã","Começa em "&amp;(C213-TODAY())&amp;" dias"),IF(TODAY()&gt;D213,"Concluídas",IF(TODAY()=D213,"EM FÉRIAS (último dia)","EM FÉRIAS (faltam "&amp;(D213-TODAY())&amp;" dias)"))))))</f>
        <v/>
      </c>
      <c r="I213" s="55" t="str">
        <f aca="false">IF(OR(A213="",NOT(AND(ISNUMBER(C213),ISNUMBER(D213)))),"",IF(D213-C213+1&gt;30,"⚠ Período acima de 30 dias",IF(COUNTIFS($B$2:$B$301,B213,$C$2:$C$301,"&lt;="&amp;D213,$D$2:$D$301,"&gt;="&amp;C213)&gt;1,"⚠ Coincide com férias de outro do setor","")))</f>
        <v/>
      </c>
      <c r="K213" s="0" t="str">
        <f aca="true">IF(AND(ISNUMBER(C213),ISNUMBER(D213),C213&lt;=TODAY(),D213&gt;=TODAY()),D213+ROW()/100000,"")</f>
        <v/>
      </c>
      <c r="L213" s="0" t="str">
        <f aca="true">IF(AND(ISNUMBER(C213),C213&gt;TODAY(),C213&lt;=TODAY()+30),C213+ROW()/100000,"")</f>
        <v/>
      </c>
      <c r="M213" s="0" t="str">
        <f aca="false">IF(AND(ISNUMBER(C213),ISNUMBER(D213),C213&lt;=CALENDÁRIO!$L$4,D213&gt;=CALENDÁRIO!$L$4),ROW(),"")</f>
        <v/>
      </c>
    </row>
    <row r="214" customFormat="false" ht="15" hidden="false" customHeight="true" outlineLevel="0" collapsed="false">
      <c r="A214" s="54"/>
      <c r="B214" s="54"/>
      <c r="C214" s="53"/>
      <c r="D214" s="53"/>
      <c r="E214" s="64"/>
      <c r="F214" s="65" t="str">
        <f aca="false">IF(AND(ISNUMBER(C214),ISNUMBER(D214),D214&gt;=C214),D214-C214+1,"")</f>
        <v/>
      </c>
      <c r="G214" s="66" t="str">
        <f aca="false">IF(AND(ISNUMBER(C214),ISNUMBER(D214),D214&gt;=C214),WORKDAY(D214,1),"")</f>
        <v/>
      </c>
      <c r="H214" s="55" t="str">
        <f aca="true">IF(A214="","",IF(NOT(AND(ISNUMBER(C214),ISNUMBER(D214))),"Sem data definida",IF(D214&lt;C214,"⚠ Datas invertidas",IF(TODAY()&lt;C214,IF(C214-TODAY()=1,"Começa amanhã","Começa em "&amp;(C214-TODAY())&amp;" dias"),IF(TODAY()&gt;D214,"Concluídas",IF(TODAY()=D214,"EM FÉRIAS (último dia)","EM FÉRIAS (faltam "&amp;(D214-TODAY())&amp;" dias)"))))))</f>
        <v/>
      </c>
      <c r="I214" s="55" t="str">
        <f aca="false">IF(OR(A214="",NOT(AND(ISNUMBER(C214),ISNUMBER(D214)))),"",IF(D214-C214+1&gt;30,"⚠ Período acima de 30 dias",IF(COUNTIFS($B$2:$B$301,B214,$C$2:$C$301,"&lt;="&amp;D214,$D$2:$D$301,"&gt;="&amp;C214)&gt;1,"⚠ Coincide com férias de outro do setor","")))</f>
        <v/>
      </c>
      <c r="K214" s="0" t="str">
        <f aca="true">IF(AND(ISNUMBER(C214),ISNUMBER(D214),C214&lt;=TODAY(),D214&gt;=TODAY()),D214+ROW()/100000,"")</f>
        <v/>
      </c>
      <c r="L214" s="0" t="str">
        <f aca="true">IF(AND(ISNUMBER(C214),C214&gt;TODAY(),C214&lt;=TODAY()+30),C214+ROW()/100000,"")</f>
        <v/>
      </c>
      <c r="M214" s="0" t="str">
        <f aca="false">IF(AND(ISNUMBER(C214),ISNUMBER(D214),C214&lt;=CALENDÁRIO!$L$4,D214&gt;=CALENDÁRIO!$L$4),ROW(),"")</f>
        <v/>
      </c>
    </row>
    <row r="215" customFormat="false" ht="15" hidden="false" customHeight="true" outlineLevel="0" collapsed="false">
      <c r="A215" s="54"/>
      <c r="B215" s="54"/>
      <c r="C215" s="53"/>
      <c r="D215" s="53"/>
      <c r="E215" s="64"/>
      <c r="F215" s="65" t="str">
        <f aca="false">IF(AND(ISNUMBER(C215),ISNUMBER(D215),D215&gt;=C215),D215-C215+1,"")</f>
        <v/>
      </c>
      <c r="G215" s="66" t="str">
        <f aca="false">IF(AND(ISNUMBER(C215),ISNUMBER(D215),D215&gt;=C215),WORKDAY(D215,1),"")</f>
        <v/>
      </c>
      <c r="H215" s="55" t="str">
        <f aca="true">IF(A215="","",IF(NOT(AND(ISNUMBER(C215),ISNUMBER(D215))),"Sem data definida",IF(D215&lt;C215,"⚠ Datas invertidas",IF(TODAY()&lt;C215,IF(C215-TODAY()=1,"Começa amanhã","Começa em "&amp;(C215-TODAY())&amp;" dias"),IF(TODAY()&gt;D215,"Concluídas",IF(TODAY()=D215,"EM FÉRIAS (último dia)","EM FÉRIAS (faltam "&amp;(D215-TODAY())&amp;" dias)"))))))</f>
        <v/>
      </c>
      <c r="I215" s="55" t="str">
        <f aca="false">IF(OR(A215="",NOT(AND(ISNUMBER(C215),ISNUMBER(D215)))),"",IF(D215-C215+1&gt;30,"⚠ Período acima de 30 dias",IF(COUNTIFS($B$2:$B$301,B215,$C$2:$C$301,"&lt;="&amp;D215,$D$2:$D$301,"&gt;="&amp;C215)&gt;1,"⚠ Coincide com férias de outro do setor","")))</f>
        <v/>
      </c>
      <c r="K215" s="0" t="str">
        <f aca="true">IF(AND(ISNUMBER(C215),ISNUMBER(D215),C215&lt;=TODAY(),D215&gt;=TODAY()),D215+ROW()/100000,"")</f>
        <v/>
      </c>
      <c r="L215" s="0" t="str">
        <f aca="true">IF(AND(ISNUMBER(C215),C215&gt;TODAY(),C215&lt;=TODAY()+30),C215+ROW()/100000,"")</f>
        <v/>
      </c>
      <c r="M215" s="0" t="str">
        <f aca="false">IF(AND(ISNUMBER(C215),ISNUMBER(D215),C215&lt;=CALENDÁRIO!$L$4,D215&gt;=CALENDÁRIO!$L$4),ROW(),"")</f>
        <v/>
      </c>
    </row>
    <row r="216" customFormat="false" ht="15" hidden="false" customHeight="true" outlineLevel="0" collapsed="false">
      <c r="A216" s="54"/>
      <c r="B216" s="54"/>
      <c r="C216" s="53"/>
      <c r="D216" s="53"/>
      <c r="E216" s="64"/>
      <c r="F216" s="65" t="str">
        <f aca="false">IF(AND(ISNUMBER(C216),ISNUMBER(D216),D216&gt;=C216),D216-C216+1,"")</f>
        <v/>
      </c>
      <c r="G216" s="66" t="str">
        <f aca="false">IF(AND(ISNUMBER(C216),ISNUMBER(D216),D216&gt;=C216),WORKDAY(D216,1),"")</f>
        <v/>
      </c>
      <c r="H216" s="55" t="str">
        <f aca="true">IF(A216="","",IF(NOT(AND(ISNUMBER(C216),ISNUMBER(D216))),"Sem data definida",IF(D216&lt;C216,"⚠ Datas invertidas",IF(TODAY()&lt;C216,IF(C216-TODAY()=1,"Começa amanhã","Começa em "&amp;(C216-TODAY())&amp;" dias"),IF(TODAY()&gt;D216,"Concluídas",IF(TODAY()=D216,"EM FÉRIAS (último dia)","EM FÉRIAS (faltam "&amp;(D216-TODAY())&amp;" dias)"))))))</f>
        <v/>
      </c>
      <c r="I216" s="55" t="str">
        <f aca="false">IF(OR(A216="",NOT(AND(ISNUMBER(C216),ISNUMBER(D216)))),"",IF(D216-C216+1&gt;30,"⚠ Período acima de 30 dias",IF(COUNTIFS($B$2:$B$301,B216,$C$2:$C$301,"&lt;="&amp;D216,$D$2:$D$301,"&gt;="&amp;C216)&gt;1,"⚠ Coincide com férias de outro do setor","")))</f>
        <v/>
      </c>
      <c r="K216" s="0" t="str">
        <f aca="true">IF(AND(ISNUMBER(C216),ISNUMBER(D216),C216&lt;=TODAY(),D216&gt;=TODAY()),D216+ROW()/100000,"")</f>
        <v/>
      </c>
      <c r="L216" s="0" t="str">
        <f aca="true">IF(AND(ISNUMBER(C216),C216&gt;TODAY(),C216&lt;=TODAY()+30),C216+ROW()/100000,"")</f>
        <v/>
      </c>
      <c r="M216" s="0" t="str">
        <f aca="false">IF(AND(ISNUMBER(C216),ISNUMBER(D216),C216&lt;=CALENDÁRIO!$L$4,D216&gt;=CALENDÁRIO!$L$4),ROW(),"")</f>
        <v/>
      </c>
    </row>
    <row r="217" customFormat="false" ht="15" hidden="false" customHeight="true" outlineLevel="0" collapsed="false">
      <c r="A217" s="54"/>
      <c r="B217" s="54"/>
      <c r="C217" s="53"/>
      <c r="D217" s="53"/>
      <c r="E217" s="64"/>
      <c r="F217" s="65" t="str">
        <f aca="false">IF(AND(ISNUMBER(C217),ISNUMBER(D217),D217&gt;=C217),D217-C217+1,"")</f>
        <v/>
      </c>
      <c r="G217" s="66" t="str">
        <f aca="false">IF(AND(ISNUMBER(C217),ISNUMBER(D217),D217&gt;=C217),WORKDAY(D217,1),"")</f>
        <v/>
      </c>
      <c r="H217" s="55" t="str">
        <f aca="true">IF(A217="","",IF(NOT(AND(ISNUMBER(C217),ISNUMBER(D217))),"Sem data definida",IF(D217&lt;C217,"⚠ Datas invertidas",IF(TODAY()&lt;C217,IF(C217-TODAY()=1,"Começa amanhã","Começa em "&amp;(C217-TODAY())&amp;" dias"),IF(TODAY()&gt;D217,"Concluídas",IF(TODAY()=D217,"EM FÉRIAS (último dia)","EM FÉRIAS (faltam "&amp;(D217-TODAY())&amp;" dias)"))))))</f>
        <v/>
      </c>
      <c r="I217" s="55" t="str">
        <f aca="false">IF(OR(A217="",NOT(AND(ISNUMBER(C217),ISNUMBER(D217)))),"",IF(D217-C217+1&gt;30,"⚠ Período acima de 30 dias",IF(COUNTIFS($B$2:$B$301,B217,$C$2:$C$301,"&lt;="&amp;D217,$D$2:$D$301,"&gt;="&amp;C217)&gt;1,"⚠ Coincide com férias de outro do setor","")))</f>
        <v/>
      </c>
      <c r="K217" s="0" t="str">
        <f aca="true">IF(AND(ISNUMBER(C217),ISNUMBER(D217),C217&lt;=TODAY(),D217&gt;=TODAY()),D217+ROW()/100000,"")</f>
        <v/>
      </c>
      <c r="L217" s="0" t="str">
        <f aca="true">IF(AND(ISNUMBER(C217),C217&gt;TODAY(),C217&lt;=TODAY()+30),C217+ROW()/100000,"")</f>
        <v/>
      </c>
      <c r="M217" s="0" t="str">
        <f aca="false">IF(AND(ISNUMBER(C217),ISNUMBER(D217),C217&lt;=CALENDÁRIO!$L$4,D217&gt;=CALENDÁRIO!$L$4),ROW(),"")</f>
        <v/>
      </c>
    </row>
    <row r="218" customFormat="false" ht="15" hidden="false" customHeight="true" outlineLevel="0" collapsed="false">
      <c r="A218" s="54"/>
      <c r="B218" s="54"/>
      <c r="C218" s="53"/>
      <c r="D218" s="53"/>
      <c r="E218" s="64"/>
      <c r="F218" s="65" t="str">
        <f aca="false">IF(AND(ISNUMBER(C218),ISNUMBER(D218),D218&gt;=C218),D218-C218+1,"")</f>
        <v/>
      </c>
      <c r="G218" s="66" t="str">
        <f aca="false">IF(AND(ISNUMBER(C218),ISNUMBER(D218),D218&gt;=C218),WORKDAY(D218,1),"")</f>
        <v/>
      </c>
      <c r="H218" s="55" t="str">
        <f aca="true">IF(A218="","",IF(NOT(AND(ISNUMBER(C218),ISNUMBER(D218))),"Sem data definida",IF(D218&lt;C218,"⚠ Datas invertidas",IF(TODAY()&lt;C218,IF(C218-TODAY()=1,"Começa amanhã","Começa em "&amp;(C218-TODAY())&amp;" dias"),IF(TODAY()&gt;D218,"Concluídas",IF(TODAY()=D218,"EM FÉRIAS (último dia)","EM FÉRIAS (faltam "&amp;(D218-TODAY())&amp;" dias)"))))))</f>
        <v/>
      </c>
      <c r="I218" s="55" t="str">
        <f aca="false">IF(OR(A218="",NOT(AND(ISNUMBER(C218),ISNUMBER(D218)))),"",IF(D218-C218+1&gt;30,"⚠ Período acima de 30 dias",IF(COUNTIFS($B$2:$B$301,B218,$C$2:$C$301,"&lt;="&amp;D218,$D$2:$D$301,"&gt;="&amp;C218)&gt;1,"⚠ Coincide com férias de outro do setor","")))</f>
        <v/>
      </c>
      <c r="K218" s="0" t="str">
        <f aca="true">IF(AND(ISNUMBER(C218),ISNUMBER(D218),C218&lt;=TODAY(),D218&gt;=TODAY()),D218+ROW()/100000,"")</f>
        <v/>
      </c>
      <c r="L218" s="0" t="str">
        <f aca="true">IF(AND(ISNUMBER(C218),C218&gt;TODAY(),C218&lt;=TODAY()+30),C218+ROW()/100000,"")</f>
        <v/>
      </c>
      <c r="M218" s="0" t="str">
        <f aca="false">IF(AND(ISNUMBER(C218),ISNUMBER(D218),C218&lt;=CALENDÁRIO!$L$4,D218&gt;=CALENDÁRIO!$L$4),ROW(),"")</f>
        <v/>
      </c>
    </row>
    <row r="219" customFormat="false" ht="15" hidden="false" customHeight="true" outlineLevel="0" collapsed="false">
      <c r="A219" s="54"/>
      <c r="B219" s="54"/>
      <c r="C219" s="53"/>
      <c r="D219" s="53"/>
      <c r="E219" s="64"/>
      <c r="F219" s="65" t="str">
        <f aca="false">IF(AND(ISNUMBER(C219),ISNUMBER(D219),D219&gt;=C219),D219-C219+1,"")</f>
        <v/>
      </c>
      <c r="G219" s="66" t="str">
        <f aca="false">IF(AND(ISNUMBER(C219),ISNUMBER(D219),D219&gt;=C219),WORKDAY(D219,1),"")</f>
        <v/>
      </c>
      <c r="H219" s="55" t="str">
        <f aca="true">IF(A219="","",IF(NOT(AND(ISNUMBER(C219),ISNUMBER(D219))),"Sem data definida",IF(D219&lt;C219,"⚠ Datas invertidas",IF(TODAY()&lt;C219,IF(C219-TODAY()=1,"Começa amanhã","Começa em "&amp;(C219-TODAY())&amp;" dias"),IF(TODAY()&gt;D219,"Concluídas",IF(TODAY()=D219,"EM FÉRIAS (último dia)","EM FÉRIAS (faltam "&amp;(D219-TODAY())&amp;" dias)"))))))</f>
        <v/>
      </c>
      <c r="I219" s="55" t="str">
        <f aca="false">IF(OR(A219="",NOT(AND(ISNUMBER(C219),ISNUMBER(D219)))),"",IF(D219-C219+1&gt;30,"⚠ Período acima de 30 dias",IF(COUNTIFS($B$2:$B$301,B219,$C$2:$C$301,"&lt;="&amp;D219,$D$2:$D$301,"&gt;="&amp;C219)&gt;1,"⚠ Coincide com férias de outro do setor","")))</f>
        <v/>
      </c>
      <c r="K219" s="0" t="str">
        <f aca="true">IF(AND(ISNUMBER(C219),ISNUMBER(D219),C219&lt;=TODAY(),D219&gt;=TODAY()),D219+ROW()/100000,"")</f>
        <v/>
      </c>
      <c r="L219" s="0" t="str">
        <f aca="true">IF(AND(ISNUMBER(C219),C219&gt;TODAY(),C219&lt;=TODAY()+30),C219+ROW()/100000,"")</f>
        <v/>
      </c>
      <c r="M219" s="0" t="str">
        <f aca="false">IF(AND(ISNUMBER(C219),ISNUMBER(D219),C219&lt;=CALENDÁRIO!$L$4,D219&gt;=CALENDÁRIO!$L$4),ROW(),"")</f>
        <v/>
      </c>
    </row>
    <row r="220" customFormat="false" ht="15" hidden="false" customHeight="true" outlineLevel="0" collapsed="false">
      <c r="A220" s="54"/>
      <c r="B220" s="54"/>
      <c r="C220" s="53"/>
      <c r="D220" s="53"/>
      <c r="E220" s="64"/>
      <c r="F220" s="65" t="str">
        <f aca="false">IF(AND(ISNUMBER(C220),ISNUMBER(D220),D220&gt;=C220),D220-C220+1,"")</f>
        <v/>
      </c>
      <c r="G220" s="66" t="str">
        <f aca="false">IF(AND(ISNUMBER(C220),ISNUMBER(D220),D220&gt;=C220),WORKDAY(D220,1),"")</f>
        <v/>
      </c>
      <c r="H220" s="55" t="str">
        <f aca="true">IF(A220="","",IF(NOT(AND(ISNUMBER(C220),ISNUMBER(D220))),"Sem data definida",IF(D220&lt;C220,"⚠ Datas invertidas",IF(TODAY()&lt;C220,IF(C220-TODAY()=1,"Começa amanhã","Começa em "&amp;(C220-TODAY())&amp;" dias"),IF(TODAY()&gt;D220,"Concluídas",IF(TODAY()=D220,"EM FÉRIAS (último dia)","EM FÉRIAS (faltam "&amp;(D220-TODAY())&amp;" dias)"))))))</f>
        <v/>
      </c>
      <c r="I220" s="55" t="str">
        <f aca="false">IF(OR(A220="",NOT(AND(ISNUMBER(C220),ISNUMBER(D220)))),"",IF(D220-C220+1&gt;30,"⚠ Período acima de 30 dias",IF(COUNTIFS($B$2:$B$301,B220,$C$2:$C$301,"&lt;="&amp;D220,$D$2:$D$301,"&gt;="&amp;C220)&gt;1,"⚠ Coincide com férias de outro do setor","")))</f>
        <v/>
      </c>
      <c r="K220" s="0" t="str">
        <f aca="true">IF(AND(ISNUMBER(C220),ISNUMBER(D220),C220&lt;=TODAY(),D220&gt;=TODAY()),D220+ROW()/100000,"")</f>
        <v/>
      </c>
      <c r="L220" s="0" t="str">
        <f aca="true">IF(AND(ISNUMBER(C220),C220&gt;TODAY(),C220&lt;=TODAY()+30),C220+ROW()/100000,"")</f>
        <v/>
      </c>
      <c r="M220" s="0" t="str">
        <f aca="false">IF(AND(ISNUMBER(C220),ISNUMBER(D220),C220&lt;=CALENDÁRIO!$L$4,D220&gt;=CALENDÁRIO!$L$4),ROW(),"")</f>
        <v/>
      </c>
    </row>
    <row r="221" customFormat="false" ht="15" hidden="false" customHeight="true" outlineLevel="0" collapsed="false">
      <c r="A221" s="54"/>
      <c r="B221" s="54"/>
      <c r="C221" s="53"/>
      <c r="D221" s="53"/>
      <c r="E221" s="64"/>
      <c r="F221" s="65" t="str">
        <f aca="false">IF(AND(ISNUMBER(C221),ISNUMBER(D221),D221&gt;=C221),D221-C221+1,"")</f>
        <v/>
      </c>
      <c r="G221" s="66" t="str">
        <f aca="false">IF(AND(ISNUMBER(C221),ISNUMBER(D221),D221&gt;=C221),WORKDAY(D221,1),"")</f>
        <v/>
      </c>
      <c r="H221" s="55" t="str">
        <f aca="true">IF(A221="","",IF(NOT(AND(ISNUMBER(C221),ISNUMBER(D221))),"Sem data definida",IF(D221&lt;C221,"⚠ Datas invertidas",IF(TODAY()&lt;C221,IF(C221-TODAY()=1,"Começa amanhã","Começa em "&amp;(C221-TODAY())&amp;" dias"),IF(TODAY()&gt;D221,"Concluídas",IF(TODAY()=D221,"EM FÉRIAS (último dia)","EM FÉRIAS (faltam "&amp;(D221-TODAY())&amp;" dias)"))))))</f>
        <v/>
      </c>
      <c r="I221" s="55" t="str">
        <f aca="false">IF(OR(A221="",NOT(AND(ISNUMBER(C221),ISNUMBER(D221)))),"",IF(D221-C221+1&gt;30,"⚠ Período acima de 30 dias",IF(COUNTIFS($B$2:$B$301,B221,$C$2:$C$301,"&lt;="&amp;D221,$D$2:$D$301,"&gt;="&amp;C221)&gt;1,"⚠ Coincide com férias de outro do setor","")))</f>
        <v/>
      </c>
      <c r="K221" s="0" t="str">
        <f aca="true">IF(AND(ISNUMBER(C221),ISNUMBER(D221),C221&lt;=TODAY(),D221&gt;=TODAY()),D221+ROW()/100000,"")</f>
        <v/>
      </c>
      <c r="L221" s="0" t="str">
        <f aca="true">IF(AND(ISNUMBER(C221),C221&gt;TODAY(),C221&lt;=TODAY()+30),C221+ROW()/100000,"")</f>
        <v/>
      </c>
      <c r="M221" s="0" t="str">
        <f aca="false">IF(AND(ISNUMBER(C221),ISNUMBER(D221),C221&lt;=CALENDÁRIO!$L$4,D221&gt;=CALENDÁRIO!$L$4),ROW(),"")</f>
        <v/>
      </c>
    </row>
    <row r="222" customFormat="false" ht="15" hidden="false" customHeight="true" outlineLevel="0" collapsed="false">
      <c r="A222" s="54"/>
      <c r="B222" s="54"/>
      <c r="C222" s="53"/>
      <c r="D222" s="53"/>
      <c r="E222" s="64"/>
      <c r="F222" s="65" t="str">
        <f aca="false">IF(AND(ISNUMBER(C222),ISNUMBER(D222),D222&gt;=C222),D222-C222+1,"")</f>
        <v/>
      </c>
      <c r="G222" s="66" t="str">
        <f aca="false">IF(AND(ISNUMBER(C222),ISNUMBER(D222),D222&gt;=C222),WORKDAY(D222,1),"")</f>
        <v/>
      </c>
      <c r="H222" s="55" t="str">
        <f aca="true">IF(A222="","",IF(NOT(AND(ISNUMBER(C222),ISNUMBER(D222))),"Sem data definida",IF(D222&lt;C222,"⚠ Datas invertidas",IF(TODAY()&lt;C222,IF(C222-TODAY()=1,"Começa amanhã","Começa em "&amp;(C222-TODAY())&amp;" dias"),IF(TODAY()&gt;D222,"Concluídas",IF(TODAY()=D222,"EM FÉRIAS (último dia)","EM FÉRIAS (faltam "&amp;(D222-TODAY())&amp;" dias)"))))))</f>
        <v/>
      </c>
      <c r="I222" s="55" t="str">
        <f aca="false">IF(OR(A222="",NOT(AND(ISNUMBER(C222),ISNUMBER(D222)))),"",IF(D222-C222+1&gt;30,"⚠ Período acima de 30 dias",IF(COUNTIFS($B$2:$B$301,B222,$C$2:$C$301,"&lt;="&amp;D222,$D$2:$D$301,"&gt;="&amp;C222)&gt;1,"⚠ Coincide com férias de outro do setor","")))</f>
        <v/>
      </c>
      <c r="K222" s="0" t="str">
        <f aca="true">IF(AND(ISNUMBER(C222),ISNUMBER(D222),C222&lt;=TODAY(),D222&gt;=TODAY()),D222+ROW()/100000,"")</f>
        <v/>
      </c>
      <c r="L222" s="0" t="str">
        <f aca="true">IF(AND(ISNUMBER(C222),C222&gt;TODAY(),C222&lt;=TODAY()+30),C222+ROW()/100000,"")</f>
        <v/>
      </c>
      <c r="M222" s="0" t="str">
        <f aca="false">IF(AND(ISNUMBER(C222),ISNUMBER(D222),C222&lt;=CALENDÁRIO!$L$4,D222&gt;=CALENDÁRIO!$L$4),ROW(),"")</f>
        <v/>
      </c>
    </row>
    <row r="223" customFormat="false" ht="15" hidden="false" customHeight="true" outlineLevel="0" collapsed="false">
      <c r="A223" s="54"/>
      <c r="B223" s="54"/>
      <c r="C223" s="53"/>
      <c r="D223" s="53"/>
      <c r="E223" s="64"/>
      <c r="F223" s="65" t="str">
        <f aca="false">IF(AND(ISNUMBER(C223),ISNUMBER(D223),D223&gt;=C223),D223-C223+1,"")</f>
        <v/>
      </c>
      <c r="G223" s="66" t="str">
        <f aca="false">IF(AND(ISNUMBER(C223),ISNUMBER(D223),D223&gt;=C223),WORKDAY(D223,1),"")</f>
        <v/>
      </c>
      <c r="H223" s="55" t="str">
        <f aca="true">IF(A223="","",IF(NOT(AND(ISNUMBER(C223),ISNUMBER(D223))),"Sem data definida",IF(D223&lt;C223,"⚠ Datas invertidas",IF(TODAY()&lt;C223,IF(C223-TODAY()=1,"Começa amanhã","Começa em "&amp;(C223-TODAY())&amp;" dias"),IF(TODAY()&gt;D223,"Concluídas",IF(TODAY()=D223,"EM FÉRIAS (último dia)","EM FÉRIAS (faltam "&amp;(D223-TODAY())&amp;" dias)"))))))</f>
        <v/>
      </c>
      <c r="I223" s="55" t="str">
        <f aca="false">IF(OR(A223="",NOT(AND(ISNUMBER(C223),ISNUMBER(D223)))),"",IF(D223-C223+1&gt;30,"⚠ Período acima de 30 dias",IF(COUNTIFS($B$2:$B$301,B223,$C$2:$C$301,"&lt;="&amp;D223,$D$2:$D$301,"&gt;="&amp;C223)&gt;1,"⚠ Coincide com férias de outro do setor","")))</f>
        <v/>
      </c>
      <c r="K223" s="0" t="str">
        <f aca="true">IF(AND(ISNUMBER(C223),ISNUMBER(D223),C223&lt;=TODAY(),D223&gt;=TODAY()),D223+ROW()/100000,"")</f>
        <v/>
      </c>
      <c r="L223" s="0" t="str">
        <f aca="true">IF(AND(ISNUMBER(C223),C223&gt;TODAY(),C223&lt;=TODAY()+30),C223+ROW()/100000,"")</f>
        <v/>
      </c>
      <c r="M223" s="0" t="str">
        <f aca="false">IF(AND(ISNUMBER(C223),ISNUMBER(D223),C223&lt;=CALENDÁRIO!$L$4,D223&gt;=CALENDÁRIO!$L$4),ROW(),"")</f>
        <v/>
      </c>
    </row>
    <row r="224" customFormat="false" ht="15" hidden="false" customHeight="true" outlineLevel="0" collapsed="false">
      <c r="A224" s="54"/>
      <c r="B224" s="54"/>
      <c r="C224" s="53"/>
      <c r="D224" s="53"/>
      <c r="E224" s="64"/>
      <c r="F224" s="65" t="str">
        <f aca="false">IF(AND(ISNUMBER(C224),ISNUMBER(D224),D224&gt;=C224),D224-C224+1,"")</f>
        <v/>
      </c>
      <c r="G224" s="66" t="str">
        <f aca="false">IF(AND(ISNUMBER(C224),ISNUMBER(D224),D224&gt;=C224),WORKDAY(D224,1),"")</f>
        <v/>
      </c>
      <c r="H224" s="55" t="str">
        <f aca="true">IF(A224="","",IF(NOT(AND(ISNUMBER(C224),ISNUMBER(D224))),"Sem data definida",IF(D224&lt;C224,"⚠ Datas invertidas",IF(TODAY()&lt;C224,IF(C224-TODAY()=1,"Começa amanhã","Começa em "&amp;(C224-TODAY())&amp;" dias"),IF(TODAY()&gt;D224,"Concluídas",IF(TODAY()=D224,"EM FÉRIAS (último dia)","EM FÉRIAS (faltam "&amp;(D224-TODAY())&amp;" dias)"))))))</f>
        <v/>
      </c>
      <c r="I224" s="55" t="str">
        <f aca="false">IF(OR(A224="",NOT(AND(ISNUMBER(C224),ISNUMBER(D224)))),"",IF(D224-C224+1&gt;30,"⚠ Período acima de 30 dias",IF(COUNTIFS($B$2:$B$301,B224,$C$2:$C$301,"&lt;="&amp;D224,$D$2:$D$301,"&gt;="&amp;C224)&gt;1,"⚠ Coincide com férias de outro do setor","")))</f>
        <v/>
      </c>
      <c r="K224" s="0" t="str">
        <f aca="true">IF(AND(ISNUMBER(C224),ISNUMBER(D224),C224&lt;=TODAY(),D224&gt;=TODAY()),D224+ROW()/100000,"")</f>
        <v/>
      </c>
      <c r="L224" s="0" t="str">
        <f aca="true">IF(AND(ISNUMBER(C224),C224&gt;TODAY(),C224&lt;=TODAY()+30),C224+ROW()/100000,"")</f>
        <v/>
      </c>
      <c r="M224" s="0" t="str">
        <f aca="false">IF(AND(ISNUMBER(C224),ISNUMBER(D224),C224&lt;=CALENDÁRIO!$L$4,D224&gt;=CALENDÁRIO!$L$4),ROW(),"")</f>
        <v/>
      </c>
    </row>
    <row r="225" customFormat="false" ht="15" hidden="false" customHeight="true" outlineLevel="0" collapsed="false">
      <c r="A225" s="54"/>
      <c r="B225" s="54"/>
      <c r="C225" s="53"/>
      <c r="D225" s="53"/>
      <c r="E225" s="64"/>
      <c r="F225" s="65" t="str">
        <f aca="false">IF(AND(ISNUMBER(C225),ISNUMBER(D225),D225&gt;=C225),D225-C225+1,"")</f>
        <v/>
      </c>
      <c r="G225" s="66" t="str">
        <f aca="false">IF(AND(ISNUMBER(C225),ISNUMBER(D225),D225&gt;=C225),WORKDAY(D225,1),"")</f>
        <v/>
      </c>
      <c r="H225" s="55" t="str">
        <f aca="true">IF(A225="","",IF(NOT(AND(ISNUMBER(C225),ISNUMBER(D225))),"Sem data definida",IF(D225&lt;C225,"⚠ Datas invertidas",IF(TODAY()&lt;C225,IF(C225-TODAY()=1,"Começa amanhã","Começa em "&amp;(C225-TODAY())&amp;" dias"),IF(TODAY()&gt;D225,"Concluídas",IF(TODAY()=D225,"EM FÉRIAS (último dia)","EM FÉRIAS (faltam "&amp;(D225-TODAY())&amp;" dias)"))))))</f>
        <v/>
      </c>
      <c r="I225" s="55" t="str">
        <f aca="false">IF(OR(A225="",NOT(AND(ISNUMBER(C225),ISNUMBER(D225)))),"",IF(D225-C225+1&gt;30,"⚠ Período acima de 30 dias",IF(COUNTIFS($B$2:$B$301,B225,$C$2:$C$301,"&lt;="&amp;D225,$D$2:$D$301,"&gt;="&amp;C225)&gt;1,"⚠ Coincide com férias de outro do setor","")))</f>
        <v/>
      </c>
      <c r="K225" s="0" t="str">
        <f aca="true">IF(AND(ISNUMBER(C225),ISNUMBER(D225),C225&lt;=TODAY(),D225&gt;=TODAY()),D225+ROW()/100000,"")</f>
        <v/>
      </c>
      <c r="L225" s="0" t="str">
        <f aca="true">IF(AND(ISNUMBER(C225),C225&gt;TODAY(),C225&lt;=TODAY()+30),C225+ROW()/100000,"")</f>
        <v/>
      </c>
      <c r="M225" s="0" t="str">
        <f aca="false">IF(AND(ISNUMBER(C225),ISNUMBER(D225),C225&lt;=CALENDÁRIO!$L$4,D225&gt;=CALENDÁRIO!$L$4),ROW(),"")</f>
        <v/>
      </c>
    </row>
    <row r="226" customFormat="false" ht="15" hidden="false" customHeight="true" outlineLevel="0" collapsed="false">
      <c r="A226" s="54"/>
      <c r="B226" s="54"/>
      <c r="C226" s="53"/>
      <c r="D226" s="53"/>
      <c r="E226" s="64"/>
      <c r="F226" s="65" t="str">
        <f aca="false">IF(AND(ISNUMBER(C226),ISNUMBER(D226),D226&gt;=C226),D226-C226+1,"")</f>
        <v/>
      </c>
      <c r="G226" s="66" t="str">
        <f aca="false">IF(AND(ISNUMBER(C226),ISNUMBER(D226),D226&gt;=C226),WORKDAY(D226,1),"")</f>
        <v/>
      </c>
      <c r="H226" s="55" t="str">
        <f aca="true">IF(A226="","",IF(NOT(AND(ISNUMBER(C226),ISNUMBER(D226))),"Sem data definida",IF(D226&lt;C226,"⚠ Datas invertidas",IF(TODAY()&lt;C226,IF(C226-TODAY()=1,"Começa amanhã","Começa em "&amp;(C226-TODAY())&amp;" dias"),IF(TODAY()&gt;D226,"Concluídas",IF(TODAY()=D226,"EM FÉRIAS (último dia)","EM FÉRIAS (faltam "&amp;(D226-TODAY())&amp;" dias)"))))))</f>
        <v/>
      </c>
      <c r="I226" s="55" t="str">
        <f aca="false">IF(OR(A226="",NOT(AND(ISNUMBER(C226),ISNUMBER(D226)))),"",IF(D226-C226+1&gt;30,"⚠ Período acima de 30 dias",IF(COUNTIFS($B$2:$B$301,B226,$C$2:$C$301,"&lt;="&amp;D226,$D$2:$D$301,"&gt;="&amp;C226)&gt;1,"⚠ Coincide com férias de outro do setor","")))</f>
        <v/>
      </c>
      <c r="K226" s="0" t="str">
        <f aca="true">IF(AND(ISNUMBER(C226),ISNUMBER(D226),C226&lt;=TODAY(),D226&gt;=TODAY()),D226+ROW()/100000,"")</f>
        <v/>
      </c>
      <c r="L226" s="0" t="str">
        <f aca="true">IF(AND(ISNUMBER(C226),C226&gt;TODAY(),C226&lt;=TODAY()+30),C226+ROW()/100000,"")</f>
        <v/>
      </c>
      <c r="M226" s="0" t="str">
        <f aca="false">IF(AND(ISNUMBER(C226),ISNUMBER(D226),C226&lt;=CALENDÁRIO!$L$4,D226&gt;=CALENDÁRIO!$L$4),ROW(),"")</f>
        <v/>
      </c>
    </row>
    <row r="227" customFormat="false" ht="15" hidden="false" customHeight="true" outlineLevel="0" collapsed="false">
      <c r="A227" s="54"/>
      <c r="B227" s="54"/>
      <c r="C227" s="53"/>
      <c r="D227" s="53"/>
      <c r="E227" s="64"/>
      <c r="F227" s="65" t="str">
        <f aca="false">IF(AND(ISNUMBER(C227),ISNUMBER(D227),D227&gt;=C227),D227-C227+1,"")</f>
        <v/>
      </c>
      <c r="G227" s="66" t="str">
        <f aca="false">IF(AND(ISNUMBER(C227),ISNUMBER(D227),D227&gt;=C227),WORKDAY(D227,1),"")</f>
        <v/>
      </c>
      <c r="H227" s="55" t="str">
        <f aca="true">IF(A227="","",IF(NOT(AND(ISNUMBER(C227),ISNUMBER(D227))),"Sem data definida",IF(D227&lt;C227,"⚠ Datas invertidas",IF(TODAY()&lt;C227,IF(C227-TODAY()=1,"Começa amanhã","Começa em "&amp;(C227-TODAY())&amp;" dias"),IF(TODAY()&gt;D227,"Concluídas",IF(TODAY()=D227,"EM FÉRIAS (último dia)","EM FÉRIAS (faltam "&amp;(D227-TODAY())&amp;" dias)"))))))</f>
        <v/>
      </c>
      <c r="I227" s="55" t="str">
        <f aca="false">IF(OR(A227="",NOT(AND(ISNUMBER(C227),ISNUMBER(D227)))),"",IF(D227-C227+1&gt;30,"⚠ Período acima de 30 dias",IF(COUNTIFS($B$2:$B$301,B227,$C$2:$C$301,"&lt;="&amp;D227,$D$2:$D$301,"&gt;="&amp;C227)&gt;1,"⚠ Coincide com férias de outro do setor","")))</f>
        <v/>
      </c>
      <c r="K227" s="0" t="str">
        <f aca="true">IF(AND(ISNUMBER(C227),ISNUMBER(D227),C227&lt;=TODAY(),D227&gt;=TODAY()),D227+ROW()/100000,"")</f>
        <v/>
      </c>
      <c r="L227" s="0" t="str">
        <f aca="true">IF(AND(ISNUMBER(C227),C227&gt;TODAY(),C227&lt;=TODAY()+30),C227+ROW()/100000,"")</f>
        <v/>
      </c>
      <c r="M227" s="0" t="str">
        <f aca="false">IF(AND(ISNUMBER(C227),ISNUMBER(D227),C227&lt;=CALENDÁRIO!$L$4,D227&gt;=CALENDÁRIO!$L$4),ROW(),"")</f>
        <v/>
      </c>
    </row>
    <row r="228" customFormat="false" ht="15" hidden="false" customHeight="true" outlineLevel="0" collapsed="false">
      <c r="A228" s="54"/>
      <c r="B228" s="54"/>
      <c r="C228" s="53"/>
      <c r="D228" s="53"/>
      <c r="E228" s="64"/>
      <c r="F228" s="65" t="str">
        <f aca="false">IF(AND(ISNUMBER(C228),ISNUMBER(D228),D228&gt;=C228),D228-C228+1,"")</f>
        <v/>
      </c>
      <c r="G228" s="66" t="str">
        <f aca="false">IF(AND(ISNUMBER(C228),ISNUMBER(D228),D228&gt;=C228),WORKDAY(D228,1),"")</f>
        <v/>
      </c>
      <c r="H228" s="55" t="str">
        <f aca="true">IF(A228="","",IF(NOT(AND(ISNUMBER(C228),ISNUMBER(D228))),"Sem data definida",IF(D228&lt;C228,"⚠ Datas invertidas",IF(TODAY()&lt;C228,IF(C228-TODAY()=1,"Começa amanhã","Começa em "&amp;(C228-TODAY())&amp;" dias"),IF(TODAY()&gt;D228,"Concluídas",IF(TODAY()=D228,"EM FÉRIAS (último dia)","EM FÉRIAS (faltam "&amp;(D228-TODAY())&amp;" dias)"))))))</f>
        <v/>
      </c>
      <c r="I228" s="55" t="str">
        <f aca="false">IF(OR(A228="",NOT(AND(ISNUMBER(C228),ISNUMBER(D228)))),"",IF(D228-C228+1&gt;30,"⚠ Período acima de 30 dias",IF(COUNTIFS($B$2:$B$301,B228,$C$2:$C$301,"&lt;="&amp;D228,$D$2:$D$301,"&gt;="&amp;C228)&gt;1,"⚠ Coincide com férias de outro do setor","")))</f>
        <v/>
      </c>
      <c r="K228" s="0" t="str">
        <f aca="true">IF(AND(ISNUMBER(C228),ISNUMBER(D228),C228&lt;=TODAY(),D228&gt;=TODAY()),D228+ROW()/100000,"")</f>
        <v/>
      </c>
      <c r="L228" s="0" t="str">
        <f aca="true">IF(AND(ISNUMBER(C228),C228&gt;TODAY(),C228&lt;=TODAY()+30),C228+ROW()/100000,"")</f>
        <v/>
      </c>
      <c r="M228" s="0" t="str">
        <f aca="false">IF(AND(ISNUMBER(C228),ISNUMBER(D228),C228&lt;=CALENDÁRIO!$L$4,D228&gt;=CALENDÁRIO!$L$4),ROW(),"")</f>
        <v/>
      </c>
    </row>
    <row r="229" customFormat="false" ht="15" hidden="false" customHeight="true" outlineLevel="0" collapsed="false">
      <c r="A229" s="54"/>
      <c r="B229" s="54"/>
      <c r="C229" s="53"/>
      <c r="D229" s="53"/>
      <c r="E229" s="64"/>
      <c r="F229" s="65" t="str">
        <f aca="false">IF(AND(ISNUMBER(C229),ISNUMBER(D229),D229&gt;=C229),D229-C229+1,"")</f>
        <v/>
      </c>
      <c r="G229" s="66" t="str">
        <f aca="false">IF(AND(ISNUMBER(C229),ISNUMBER(D229),D229&gt;=C229),WORKDAY(D229,1),"")</f>
        <v/>
      </c>
      <c r="H229" s="55" t="str">
        <f aca="true">IF(A229="","",IF(NOT(AND(ISNUMBER(C229),ISNUMBER(D229))),"Sem data definida",IF(D229&lt;C229,"⚠ Datas invertidas",IF(TODAY()&lt;C229,IF(C229-TODAY()=1,"Começa amanhã","Começa em "&amp;(C229-TODAY())&amp;" dias"),IF(TODAY()&gt;D229,"Concluídas",IF(TODAY()=D229,"EM FÉRIAS (último dia)","EM FÉRIAS (faltam "&amp;(D229-TODAY())&amp;" dias)"))))))</f>
        <v/>
      </c>
      <c r="I229" s="55" t="str">
        <f aca="false">IF(OR(A229="",NOT(AND(ISNUMBER(C229),ISNUMBER(D229)))),"",IF(D229-C229+1&gt;30,"⚠ Período acima de 30 dias",IF(COUNTIFS($B$2:$B$301,B229,$C$2:$C$301,"&lt;="&amp;D229,$D$2:$D$301,"&gt;="&amp;C229)&gt;1,"⚠ Coincide com férias de outro do setor","")))</f>
        <v/>
      </c>
      <c r="K229" s="0" t="str">
        <f aca="true">IF(AND(ISNUMBER(C229),ISNUMBER(D229),C229&lt;=TODAY(),D229&gt;=TODAY()),D229+ROW()/100000,"")</f>
        <v/>
      </c>
      <c r="L229" s="0" t="str">
        <f aca="true">IF(AND(ISNUMBER(C229),C229&gt;TODAY(),C229&lt;=TODAY()+30),C229+ROW()/100000,"")</f>
        <v/>
      </c>
      <c r="M229" s="0" t="str">
        <f aca="false">IF(AND(ISNUMBER(C229),ISNUMBER(D229),C229&lt;=CALENDÁRIO!$L$4,D229&gt;=CALENDÁRIO!$L$4),ROW(),"")</f>
        <v/>
      </c>
    </row>
    <row r="230" customFormat="false" ht="15" hidden="false" customHeight="true" outlineLevel="0" collapsed="false">
      <c r="A230" s="54"/>
      <c r="B230" s="54"/>
      <c r="C230" s="53"/>
      <c r="D230" s="53"/>
      <c r="E230" s="64"/>
      <c r="F230" s="65" t="str">
        <f aca="false">IF(AND(ISNUMBER(C230),ISNUMBER(D230),D230&gt;=C230),D230-C230+1,"")</f>
        <v/>
      </c>
      <c r="G230" s="66" t="str">
        <f aca="false">IF(AND(ISNUMBER(C230),ISNUMBER(D230),D230&gt;=C230),WORKDAY(D230,1),"")</f>
        <v/>
      </c>
      <c r="H230" s="55" t="str">
        <f aca="true">IF(A230="","",IF(NOT(AND(ISNUMBER(C230),ISNUMBER(D230))),"Sem data definida",IF(D230&lt;C230,"⚠ Datas invertidas",IF(TODAY()&lt;C230,IF(C230-TODAY()=1,"Começa amanhã","Começa em "&amp;(C230-TODAY())&amp;" dias"),IF(TODAY()&gt;D230,"Concluídas",IF(TODAY()=D230,"EM FÉRIAS (último dia)","EM FÉRIAS (faltam "&amp;(D230-TODAY())&amp;" dias)"))))))</f>
        <v/>
      </c>
      <c r="I230" s="55" t="str">
        <f aca="false">IF(OR(A230="",NOT(AND(ISNUMBER(C230),ISNUMBER(D230)))),"",IF(D230-C230+1&gt;30,"⚠ Período acima de 30 dias",IF(COUNTIFS($B$2:$B$301,B230,$C$2:$C$301,"&lt;="&amp;D230,$D$2:$D$301,"&gt;="&amp;C230)&gt;1,"⚠ Coincide com férias de outro do setor","")))</f>
        <v/>
      </c>
      <c r="K230" s="0" t="str">
        <f aca="true">IF(AND(ISNUMBER(C230),ISNUMBER(D230),C230&lt;=TODAY(),D230&gt;=TODAY()),D230+ROW()/100000,"")</f>
        <v/>
      </c>
      <c r="L230" s="0" t="str">
        <f aca="true">IF(AND(ISNUMBER(C230),C230&gt;TODAY(),C230&lt;=TODAY()+30),C230+ROW()/100000,"")</f>
        <v/>
      </c>
      <c r="M230" s="0" t="str">
        <f aca="false">IF(AND(ISNUMBER(C230),ISNUMBER(D230),C230&lt;=CALENDÁRIO!$L$4,D230&gt;=CALENDÁRIO!$L$4),ROW(),"")</f>
        <v/>
      </c>
    </row>
    <row r="231" customFormat="false" ht="15" hidden="false" customHeight="true" outlineLevel="0" collapsed="false">
      <c r="A231" s="54"/>
      <c r="B231" s="54"/>
      <c r="C231" s="53"/>
      <c r="D231" s="53"/>
      <c r="E231" s="64"/>
      <c r="F231" s="65" t="str">
        <f aca="false">IF(AND(ISNUMBER(C231),ISNUMBER(D231),D231&gt;=C231),D231-C231+1,"")</f>
        <v/>
      </c>
      <c r="G231" s="66" t="str">
        <f aca="false">IF(AND(ISNUMBER(C231),ISNUMBER(D231),D231&gt;=C231),WORKDAY(D231,1),"")</f>
        <v/>
      </c>
      <c r="H231" s="55" t="str">
        <f aca="true">IF(A231="","",IF(NOT(AND(ISNUMBER(C231),ISNUMBER(D231))),"Sem data definida",IF(D231&lt;C231,"⚠ Datas invertidas",IF(TODAY()&lt;C231,IF(C231-TODAY()=1,"Começa amanhã","Começa em "&amp;(C231-TODAY())&amp;" dias"),IF(TODAY()&gt;D231,"Concluídas",IF(TODAY()=D231,"EM FÉRIAS (último dia)","EM FÉRIAS (faltam "&amp;(D231-TODAY())&amp;" dias)"))))))</f>
        <v/>
      </c>
      <c r="I231" s="55" t="str">
        <f aca="false">IF(OR(A231="",NOT(AND(ISNUMBER(C231),ISNUMBER(D231)))),"",IF(D231-C231+1&gt;30,"⚠ Período acima de 30 dias",IF(COUNTIFS($B$2:$B$301,B231,$C$2:$C$301,"&lt;="&amp;D231,$D$2:$D$301,"&gt;="&amp;C231)&gt;1,"⚠ Coincide com férias de outro do setor","")))</f>
        <v/>
      </c>
      <c r="K231" s="0" t="str">
        <f aca="true">IF(AND(ISNUMBER(C231),ISNUMBER(D231),C231&lt;=TODAY(),D231&gt;=TODAY()),D231+ROW()/100000,"")</f>
        <v/>
      </c>
      <c r="L231" s="0" t="str">
        <f aca="true">IF(AND(ISNUMBER(C231),C231&gt;TODAY(),C231&lt;=TODAY()+30),C231+ROW()/100000,"")</f>
        <v/>
      </c>
      <c r="M231" s="0" t="str">
        <f aca="false">IF(AND(ISNUMBER(C231),ISNUMBER(D231),C231&lt;=CALENDÁRIO!$L$4,D231&gt;=CALENDÁRIO!$L$4),ROW(),"")</f>
        <v/>
      </c>
    </row>
    <row r="232" customFormat="false" ht="15" hidden="false" customHeight="true" outlineLevel="0" collapsed="false">
      <c r="A232" s="54"/>
      <c r="B232" s="54"/>
      <c r="C232" s="53"/>
      <c r="D232" s="53"/>
      <c r="E232" s="64"/>
      <c r="F232" s="65" t="str">
        <f aca="false">IF(AND(ISNUMBER(C232),ISNUMBER(D232),D232&gt;=C232),D232-C232+1,"")</f>
        <v/>
      </c>
      <c r="G232" s="66" t="str">
        <f aca="false">IF(AND(ISNUMBER(C232),ISNUMBER(D232),D232&gt;=C232),WORKDAY(D232,1),"")</f>
        <v/>
      </c>
      <c r="H232" s="55" t="str">
        <f aca="true">IF(A232="","",IF(NOT(AND(ISNUMBER(C232),ISNUMBER(D232))),"Sem data definida",IF(D232&lt;C232,"⚠ Datas invertidas",IF(TODAY()&lt;C232,IF(C232-TODAY()=1,"Começa amanhã","Começa em "&amp;(C232-TODAY())&amp;" dias"),IF(TODAY()&gt;D232,"Concluídas",IF(TODAY()=D232,"EM FÉRIAS (último dia)","EM FÉRIAS (faltam "&amp;(D232-TODAY())&amp;" dias)"))))))</f>
        <v/>
      </c>
      <c r="I232" s="55" t="str">
        <f aca="false">IF(OR(A232="",NOT(AND(ISNUMBER(C232),ISNUMBER(D232)))),"",IF(D232-C232+1&gt;30,"⚠ Período acima de 30 dias",IF(COUNTIFS($B$2:$B$301,B232,$C$2:$C$301,"&lt;="&amp;D232,$D$2:$D$301,"&gt;="&amp;C232)&gt;1,"⚠ Coincide com férias de outro do setor","")))</f>
        <v/>
      </c>
      <c r="K232" s="0" t="str">
        <f aca="true">IF(AND(ISNUMBER(C232),ISNUMBER(D232),C232&lt;=TODAY(),D232&gt;=TODAY()),D232+ROW()/100000,"")</f>
        <v/>
      </c>
      <c r="L232" s="0" t="str">
        <f aca="true">IF(AND(ISNUMBER(C232),C232&gt;TODAY(),C232&lt;=TODAY()+30),C232+ROW()/100000,"")</f>
        <v/>
      </c>
      <c r="M232" s="0" t="str">
        <f aca="false">IF(AND(ISNUMBER(C232),ISNUMBER(D232),C232&lt;=CALENDÁRIO!$L$4,D232&gt;=CALENDÁRIO!$L$4),ROW(),"")</f>
        <v/>
      </c>
    </row>
    <row r="233" customFormat="false" ht="15" hidden="false" customHeight="true" outlineLevel="0" collapsed="false">
      <c r="A233" s="54"/>
      <c r="B233" s="54"/>
      <c r="C233" s="53"/>
      <c r="D233" s="53"/>
      <c r="E233" s="64"/>
      <c r="F233" s="65" t="str">
        <f aca="false">IF(AND(ISNUMBER(C233),ISNUMBER(D233),D233&gt;=C233),D233-C233+1,"")</f>
        <v/>
      </c>
      <c r="G233" s="66" t="str">
        <f aca="false">IF(AND(ISNUMBER(C233),ISNUMBER(D233),D233&gt;=C233),WORKDAY(D233,1),"")</f>
        <v/>
      </c>
      <c r="H233" s="55" t="str">
        <f aca="true">IF(A233="","",IF(NOT(AND(ISNUMBER(C233),ISNUMBER(D233))),"Sem data definida",IF(D233&lt;C233,"⚠ Datas invertidas",IF(TODAY()&lt;C233,IF(C233-TODAY()=1,"Começa amanhã","Começa em "&amp;(C233-TODAY())&amp;" dias"),IF(TODAY()&gt;D233,"Concluídas",IF(TODAY()=D233,"EM FÉRIAS (último dia)","EM FÉRIAS (faltam "&amp;(D233-TODAY())&amp;" dias)"))))))</f>
        <v/>
      </c>
      <c r="I233" s="55" t="str">
        <f aca="false">IF(OR(A233="",NOT(AND(ISNUMBER(C233),ISNUMBER(D233)))),"",IF(D233-C233+1&gt;30,"⚠ Período acima de 30 dias",IF(COUNTIFS($B$2:$B$301,B233,$C$2:$C$301,"&lt;="&amp;D233,$D$2:$D$301,"&gt;="&amp;C233)&gt;1,"⚠ Coincide com férias de outro do setor","")))</f>
        <v/>
      </c>
      <c r="K233" s="0" t="str">
        <f aca="true">IF(AND(ISNUMBER(C233),ISNUMBER(D233),C233&lt;=TODAY(),D233&gt;=TODAY()),D233+ROW()/100000,"")</f>
        <v/>
      </c>
      <c r="L233" s="0" t="str">
        <f aca="true">IF(AND(ISNUMBER(C233),C233&gt;TODAY(),C233&lt;=TODAY()+30),C233+ROW()/100000,"")</f>
        <v/>
      </c>
      <c r="M233" s="0" t="str">
        <f aca="false">IF(AND(ISNUMBER(C233),ISNUMBER(D233),C233&lt;=CALENDÁRIO!$L$4,D233&gt;=CALENDÁRIO!$L$4),ROW(),"")</f>
        <v/>
      </c>
    </row>
    <row r="234" customFormat="false" ht="15" hidden="false" customHeight="true" outlineLevel="0" collapsed="false">
      <c r="A234" s="54"/>
      <c r="B234" s="54"/>
      <c r="C234" s="53"/>
      <c r="D234" s="53"/>
      <c r="E234" s="64"/>
      <c r="F234" s="65" t="str">
        <f aca="false">IF(AND(ISNUMBER(C234),ISNUMBER(D234),D234&gt;=C234),D234-C234+1,"")</f>
        <v/>
      </c>
      <c r="G234" s="66" t="str">
        <f aca="false">IF(AND(ISNUMBER(C234),ISNUMBER(D234),D234&gt;=C234),WORKDAY(D234,1),"")</f>
        <v/>
      </c>
      <c r="H234" s="55" t="str">
        <f aca="true">IF(A234="","",IF(NOT(AND(ISNUMBER(C234),ISNUMBER(D234))),"Sem data definida",IF(D234&lt;C234,"⚠ Datas invertidas",IF(TODAY()&lt;C234,IF(C234-TODAY()=1,"Começa amanhã","Começa em "&amp;(C234-TODAY())&amp;" dias"),IF(TODAY()&gt;D234,"Concluídas",IF(TODAY()=D234,"EM FÉRIAS (último dia)","EM FÉRIAS (faltam "&amp;(D234-TODAY())&amp;" dias)"))))))</f>
        <v/>
      </c>
      <c r="I234" s="55" t="str">
        <f aca="false">IF(OR(A234="",NOT(AND(ISNUMBER(C234),ISNUMBER(D234)))),"",IF(D234-C234+1&gt;30,"⚠ Período acima de 30 dias",IF(COUNTIFS($B$2:$B$301,B234,$C$2:$C$301,"&lt;="&amp;D234,$D$2:$D$301,"&gt;="&amp;C234)&gt;1,"⚠ Coincide com férias de outro do setor","")))</f>
        <v/>
      </c>
      <c r="K234" s="0" t="str">
        <f aca="true">IF(AND(ISNUMBER(C234),ISNUMBER(D234),C234&lt;=TODAY(),D234&gt;=TODAY()),D234+ROW()/100000,"")</f>
        <v/>
      </c>
      <c r="L234" s="0" t="str">
        <f aca="true">IF(AND(ISNUMBER(C234),C234&gt;TODAY(),C234&lt;=TODAY()+30),C234+ROW()/100000,"")</f>
        <v/>
      </c>
      <c r="M234" s="0" t="str">
        <f aca="false">IF(AND(ISNUMBER(C234),ISNUMBER(D234),C234&lt;=CALENDÁRIO!$L$4,D234&gt;=CALENDÁRIO!$L$4),ROW(),"")</f>
        <v/>
      </c>
    </row>
    <row r="235" customFormat="false" ht="15" hidden="false" customHeight="true" outlineLevel="0" collapsed="false">
      <c r="A235" s="54"/>
      <c r="B235" s="54"/>
      <c r="C235" s="53"/>
      <c r="D235" s="53"/>
      <c r="E235" s="64"/>
      <c r="F235" s="65" t="str">
        <f aca="false">IF(AND(ISNUMBER(C235),ISNUMBER(D235),D235&gt;=C235),D235-C235+1,"")</f>
        <v/>
      </c>
      <c r="G235" s="66" t="str">
        <f aca="false">IF(AND(ISNUMBER(C235),ISNUMBER(D235),D235&gt;=C235),WORKDAY(D235,1),"")</f>
        <v/>
      </c>
      <c r="H235" s="55" t="str">
        <f aca="true">IF(A235="","",IF(NOT(AND(ISNUMBER(C235),ISNUMBER(D235))),"Sem data definida",IF(D235&lt;C235,"⚠ Datas invertidas",IF(TODAY()&lt;C235,IF(C235-TODAY()=1,"Começa amanhã","Começa em "&amp;(C235-TODAY())&amp;" dias"),IF(TODAY()&gt;D235,"Concluídas",IF(TODAY()=D235,"EM FÉRIAS (último dia)","EM FÉRIAS (faltam "&amp;(D235-TODAY())&amp;" dias)"))))))</f>
        <v/>
      </c>
      <c r="I235" s="55" t="str">
        <f aca="false">IF(OR(A235="",NOT(AND(ISNUMBER(C235),ISNUMBER(D235)))),"",IF(D235-C235+1&gt;30,"⚠ Período acima de 30 dias",IF(COUNTIFS($B$2:$B$301,B235,$C$2:$C$301,"&lt;="&amp;D235,$D$2:$D$301,"&gt;="&amp;C235)&gt;1,"⚠ Coincide com férias de outro do setor","")))</f>
        <v/>
      </c>
      <c r="K235" s="0" t="str">
        <f aca="true">IF(AND(ISNUMBER(C235),ISNUMBER(D235),C235&lt;=TODAY(),D235&gt;=TODAY()),D235+ROW()/100000,"")</f>
        <v/>
      </c>
      <c r="L235" s="0" t="str">
        <f aca="true">IF(AND(ISNUMBER(C235),C235&gt;TODAY(),C235&lt;=TODAY()+30),C235+ROW()/100000,"")</f>
        <v/>
      </c>
      <c r="M235" s="0" t="str">
        <f aca="false">IF(AND(ISNUMBER(C235),ISNUMBER(D235),C235&lt;=CALENDÁRIO!$L$4,D235&gt;=CALENDÁRIO!$L$4),ROW(),"")</f>
        <v/>
      </c>
    </row>
    <row r="236" customFormat="false" ht="15" hidden="false" customHeight="true" outlineLevel="0" collapsed="false">
      <c r="A236" s="54"/>
      <c r="B236" s="54"/>
      <c r="C236" s="53"/>
      <c r="D236" s="53"/>
      <c r="E236" s="64"/>
      <c r="F236" s="65" t="str">
        <f aca="false">IF(AND(ISNUMBER(C236),ISNUMBER(D236),D236&gt;=C236),D236-C236+1,"")</f>
        <v/>
      </c>
      <c r="G236" s="66" t="str">
        <f aca="false">IF(AND(ISNUMBER(C236),ISNUMBER(D236),D236&gt;=C236),WORKDAY(D236,1),"")</f>
        <v/>
      </c>
      <c r="H236" s="55" t="str">
        <f aca="true">IF(A236="","",IF(NOT(AND(ISNUMBER(C236),ISNUMBER(D236))),"Sem data definida",IF(D236&lt;C236,"⚠ Datas invertidas",IF(TODAY()&lt;C236,IF(C236-TODAY()=1,"Começa amanhã","Começa em "&amp;(C236-TODAY())&amp;" dias"),IF(TODAY()&gt;D236,"Concluídas",IF(TODAY()=D236,"EM FÉRIAS (último dia)","EM FÉRIAS (faltam "&amp;(D236-TODAY())&amp;" dias)"))))))</f>
        <v/>
      </c>
      <c r="I236" s="55" t="str">
        <f aca="false">IF(OR(A236="",NOT(AND(ISNUMBER(C236),ISNUMBER(D236)))),"",IF(D236-C236+1&gt;30,"⚠ Período acima de 30 dias",IF(COUNTIFS($B$2:$B$301,B236,$C$2:$C$301,"&lt;="&amp;D236,$D$2:$D$301,"&gt;="&amp;C236)&gt;1,"⚠ Coincide com férias de outro do setor","")))</f>
        <v/>
      </c>
      <c r="K236" s="0" t="str">
        <f aca="true">IF(AND(ISNUMBER(C236),ISNUMBER(D236),C236&lt;=TODAY(),D236&gt;=TODAY()),D236+ROW()/100000,"")</f>
        <v/>
      </c>
      <c r="L236" s="0" t="str">
        <f aca="true">IF(AND(ISNUMBER(C236),C236&gt;TODAY(),C236&lt;=TODAY()+30),C236+ROW()/100000,"")</f>
        <v/>
      </c>
      <c r="M236" s="0" t="str">
        <f aca="false">IF(AND(ISNUMBER(C236),ISNUMBER(D236),C236&lt;=CALENDÁRIO!$L$4,D236&gt;=CALENDÁRIO!$L$4),ROW(),"")</f>
        <v/>
      </c>
    </row>
    <row r="237" customFormat="false" ht="15" hidden="false" customHeight="true" outlineLevel="0" collapsed="false">
      <c r="A237" s="54"/>
      <c r="B237" s="54"/>
      <c r="C237" s="53"/>
      <c r="D237" s="53"/>
      <c r="E237" s="64"/>
      <c r="F237" s="65" t="str">
        <f aca="false">IF(AND(ISNUMBER(C237),ISNUMBER(D237),D237&gt;=C237),D237-C237+1,"")</f>
        <v/>
      </c>
      <c r="G237" s="66" t="str">
        <f aca="false">IF(AND(ISNUMBER(C237),ISNUMBER(D237),D237&gt;=C237),WORKDAY(D237,1),"")</f>
        <v/>
      </c>
      <c r="H237" s="55" t="str">
        <f aca="true">IF(A237="","",IF(NOT(AND(ISNUMBER(C237),ISNUMBER(D237))),"Sem data definida",IF(D237&lt;C237,"⚠ Datas invertidas",IF(TODAY()&lt;C237,IF(C237-TODAY()=1,"Começa amanhã","Começa em "&amp;(C237-TODAY())&amp;" dias"),IF(TODAY()&gt;D237,"Concluídas",IF(TODAY()=D237,"EM FÉRIAS (último dia)","EM FÉRIAS (faltam "&amp;(D237-TODAY())&amp;" dias)"))))))</f>
        <v/>
      </c>
      <c r="I237" s="55" t="str">
        <f aca="false">IF(OR(A237="",NOT(AND(ISNUMBER(C237),ISNUMBER(D237)))),"",IF(D237-C237+1&gt;30,"⚠ Período acima de 30 dias",IF(COUNTIFS($B$2:$B$301,B237,$C$2:$C$301,"&lt;="&amp;D237,$D$2:$D$301,"&gt;="&amp;C237)&gt;1,"⚠ Coincide com férias de outro do setor","")))</f>
        <v/>
      </c>
      <c r="K237" s="0" t="str">
        <f aca="true">IF(AND(ISNUMBER(C237),ISNUMBER(D237),C237&lt;=TODAY(),D237&gt;=TODAY()),D237+ROW()/100000,"")</f>
        <v/>
      </c>
      <c r="L237" s="0" t="str">
        <f aca="true">IF(AND(ISNUMBER(C237),C237&gt;TODAY(),C237&lt;=TODAY()+30),C237+ROW()/100000,"")</f>
        <v/>
      </c>
      <c r="M237" s="0" t="str">
        <f aca="false">IF(AND(ISNUMBER(C237),ISNUMBER(D237),C237&lt;=CALENDÁRIO!$L$4,D237&gt;=CALENDÁRIO!$L$4),ROW(),"")</f>
        <v/>
      </c>
    </row>
    <row r="238" customFormat="false" ht="15" hidden="false" customHeight="true" outlineLevel="0" collapsed="false">
      <c r="A238" s="54"/>
      <c r="B238" s="54"/>
      <c r="C238" s="53"/>
      <c r="D238" s="53"/>
      <c r="E238" s="64"/>
      <c r="F238" s="65" t="str">
        <f aca="false">IF(AND(ISNUMBER(C238),ISNUMBER(D238),D238&gt;=C238),D238-C238+1,"")</f>
        <v/>
      </c>
      <c r="G238" s="66" t="str">
        <f aca="false">IF(AND(ISNUMBER(C238),ISNUMBER(D238),D238&gt;=C238),WORKDAY(D238,1),"")</f>
        <v/>
      </c>
      <c r="H238" s="55" t="str">
        <f aca="true">IF(A238="","",IF(NOT(AND(ISNUMBER(C238),ISNUMBER(D238))),"Sem data definida",IF(D238&lt;C238,"⚠ Datas invertidas",IF(TODAY()&lt;C238,IF(C238-TODAY()=1,"Começa amanhã","Começa em "&amp;(C238-TODAY())&amp;" dias"),IF(TODAY()&gt;D238,"Concluídas",IF(TODAY()=D238,"EM FÉRIAS (último dia)","EM FÉRIAS (faltam "&amp;(D238-TODAY())&amp;" dias)"))))))</f>
        <v/>
      </c>
      <c r="I238" s="55" t="str">
        <f aca="false">IF(OR(A238="",NOT(AND(ISNUMBER(C238),ISNUMBER(D238)))),"",IF(D238-C238+1&gt;30,"⚠ Período acima de 30 dias",IF(COUNTIFS($B$2:$B$301,B238,$C$2:$C$301,"&lt;="&amp;D238,$D$2:$D$301,"&gt;="&amp;C238)&gt;1,"⚠ Coincide com férias de outro do setor","")))</f>
        <v/>
      </c>
      <c r="K238" s="0" t="str">
        <f aca="true">IF(AND(ISNUMBER(C238),ISNUMBER(D238),C238&lt;=TODAY(),D238&gt;=TODAY()),D238+ROW()/100000,"")</f>
        <v/>
      </c>
      <c r="L238" s="0" t="str">
        <f aca="true">IF(AND(ISNUMBER(C238),C238&gt;TODAY(),C238&lt;=TODAY()+30),C238+ROW()/100000,"")</f>
        <v/>
      </c>
      <c r="M238" s="0" t="str">
        <f aca="false">IF(AND(ISNUMBER(C238),ISNUMBER(D238),C238&lt;=CALENDÁRIO!$L$4,D238&gt;=CALENDÁRIO!$L$4),ROW(),"")</f>
        <v/>
      </c>
    </row>
    <row r="239" customFormat="false" ht="15" hidden="false" customHeight="true" outlineLevel="0" collapsed="false">
      <c r="A239" s="54"/>
      <c r="B239" s="54"/>
      <c r="C239" s="53"/>
      <c r="D239" s="53"/>
      <c r="E239" s="64"/>
      <c r="F239" s="65" t="str">
        <f aca="false">IF(AND(ISNUMBER(C239),ISNUMBER(D239),D239&gt;=C239),D239-C239+1,"")</f>
        <v/>
      </c>
      <c r="G239" s="66" t="str">
        <f aca="false">IF(AND(ISNUMBER(C239),ISNUMBER(D239),D239&gt;=C239),WORKDAY(D239,1),"")</f>
        <v/>
      </c>
      <c r="H239" s="55" t="str">
        <f aca="true">IF(A239="","",IF(NOT(AND(ISNUMBER(C239),ISNUMBER(D239))),"Sem data definida",IF(D239&lt;C239,"⚠ Datas invertidas",IF(TODAY()&lt;C239,IF(C239-TODAY()=1,"Começa amanhã","Começa em "&amp;(C239-TODAY())&amp;" dias"),IF(TODAY()&gt;D239,"Concluídas",IF(TODAY()=D239,"EM FÉRIAS (último dia)","EM FÉRIAS (faltam "&amp;(D239-TODAY())&amp;" dias)"))))))</f>
        <v/>
      </c>
      <c r="I239" s="55" t="str">
        <f aca="false">IF(OR(A239="",NOT(AND(ISNUMBER(C239),ISNUMBER(D239)))),"",IF(D239-C239+1&gt;30,"⚠ Período acima de 30 dias",IF(COUNTIFS($B$2:$B$301,B239,$C$2:$C$301,"&lt;="&amp;D239,$D$2:$D$301,"&gt;="&amp;C239)&gt;1,"⚠ Coincide com férias de outro do setor","")))</f>
        <v/>
      </c>
      <c r="K239" s="0" t="str">
        <f aca="true">IF(AND(ISNUMBER(C239),ISNUMBER(D239),C239&lt;=TODAY(),D239&gt;=TODAY()),D239+ROW()/100000,"")</f>
        <v/>
      </c>
      <c r="L239" s="0" t="str">
        <f aca="true">IF(AND(ISNUMBER(C239),C239&gt;TODAY(),C239&lt;=TODAY()+30),C239+ROW()/100000,"")</f>
        <v/>
      </c>
      <c r="M239" s="0" t="str">
        <f aca="false">IF(AND(ISNUMBER(C239),ISNUMBER(D239),C239&lt;=CALENDÁRIO!$L$4,D239&gt;=CALENDÁRIO!$L$4),ROW(),"")</f>
        <v/>
      </c>
    </row>
    <row r="240" customFormat="false" ht="15" hidden="false" customHeight="true" outlineLevel="0" collapsed="false">
      <c r="A240" s="54"/>
      <c r="B240" s="54"/>
      <c r="C240" s="53"/>
      <c r="D240" s="53"/>
      <c r="E240" s="64"/>
      <c r="F240" s="65" t="str">
        <f aca="false">IF(AND(ISNUMBER(C240),ISNUMBER(D240),D240&gt;=C240),D240-C240+1,"")</f>
        <v/>
      </c>
      <c r="G240" s="66" t="str">
        <f aca="false">IF(AND(ISNUMBER(C240),ISNUMBER(D240),D240&gt;=C240),WORKDAY(D240,1),"")</f>
        <v/>
      </c>
      <c r="H240" s="55" t="str">
        <f aca="true">IF(A240="","",IF(NOT(AND(ISNUMBER(C240),ISNUMBER(D240))),"Sem data definida",IF(D240&lt;C240,"⚠ Datas invertidas",IF(TODAY()&lt;C240,IF(C240-TODAY()=1,"Começa amanhã","Começa em "&amp;(C240-TODAY())&amp;" dias"),IF(TODAY()&gt;D240,"Concluídas",IF(TODAY()=D240,"EM FÉRIAS (último dia)","EM FÉRIAS (faltam "&amp;(D240-TODAY())&amp;" dias)"))))))</f>
        <v/>
      </c>
      <c r="I240" s="55" t="str">
        <f aca="false">IF(OR(A240="",NOT(AND(ISNUMBER(C240),ISNUMBER(D240)))),"",IF(D240-C240+1&gt;30,"⚠ Período acima de 30 dias",IF(COUNTIFS($B$2:$B$301,B240,$C$2:$C$301,"&lt;="&amp;D240,$D$2:$D$301,"&gt;="&amp;C240)&gt;1,"⚠ Coincide com férias de outro do setor","")))</f>
        <v/>
      </c>
      <c r="K240" s="0" t="str">
        <f aca="true">IF(AND(ISNUMBER(C240),ISNUMBER(D240),C240&lt;=TODAY(),D240&gt;=TODAY()),D240+ROW()/100000,"")</f>
        <v/>
      </c>
      <c r="L240" s="0" t="str">
        <f aca="true">IF(AND(ISNUMBER(C240),C240&gt;TODAY(),C240&lt;=TODAY()+30),C240+ROW()/100000,"")</f>
        <v/>
      </c>
      <c r="M240" s="0" t="str">
        <f aca="false">IF(AND(ISNUMBER(C240),ISNUMBER(D240),C240&lt;=CALENDÁRIO!$L$4,D240&gt;=CALENDÁRIO!$L$4),ROW(),"")</f>
        <v/>
      </c>
    </row>
    <row r="241" customFormat="false" ht="15" hidden="false" customHeight="true" outlineLevel="0" collapsed="false">
      <c r="A241" s="54"/>
      <c r="B241" s="54"/>
      <c r="C241" s="53"/>
      <c r="D241" s="53"/>
      <c r="E241" s="64"/>
      <c r="F241" s="65" t="str">
        <f aca="false">IF(AND(ISNUMBER(C241),ISNUMBER(D241),D241&gt;=C241),D241-C241+1,"")</f>
        <v/>
      </c>
      <c r="G241" s="66" t="str">
        <f aca="false">IF(AND(ISNUMBER(C241),ISNUMBER(D241),D241&gt;=C241),WORKDAY(D241,1),"")</f>
        <v/>
      </c>
      <c r="H241" s="55" t="str">
        <f aca="true">IF(A241="","",IF(NOT(AND(ISNUMBER(C241),ISNUMBER(D241))),"Sem data definida",IF(D241&lt;C241,"⚠ Datas invertidas",IF(TODAY()&lt;C241,IF(C241-TODAY()=1,"Começa amanhã","Começa em "&amp;(C241-TODAY())&amp;" dias"),IF(TODAY()&gt;D241,"Concluídas",IF(TODAY()=D241,"EM FÉRIAS (último dia)","EM FÉRIAS (faltam "&amp;(D241-TODAY())&amp;" dias)"))))))</f>
        <v/>
      </c>
      <c r="I241" s="55" t="str">
        <f aca="false">IF(OR(A241="",NOT(AND(ISNUMBER(C241),ISNUMBER(D241)))),"",IF(D241-C241+1&gt;30,"⚠ Período acima de 30 dias",IF(COUNTIFS($B$2:$B$301,B241,$C$2:$C$301,"&lt;="&amp;D241,$D$2:$D$301,"&gt;="&amp;C241)&gt;1,"⚠ Coincide com férias de outro do setor","")))</f>
        <v/>
      </c>
      <c r="K241" s="0" t="str">
        <f aca="true">IF(AND(ISNUMBER(C241),ISNUMBER(D241),C241&lt;=TODAY(),D241&gt;=TODAY()),D241+ROW()/100000,"")</f>
        <v/>
      </c>
      <c r="L241" s="0" t="str">
        <f aca="true">IF(AND(ISNUMBER(C241),C241&gt;TODAY(),C241&lt;=TODAY()+30),C241+ROW()/100000,"")</f>
        <v/>
      </c>
      <c r="M241" s="0" t="str">
        <f aca="false">IF(AND(ISNUMBER(C241),ISNUMBER(D241),C241&lt;=CALENDÁRIO!$L$4,D241&gt;=CALENDÁRIO!$L$4),ROW(),"")</f>
        <v/>
      </c>
    </row>
    <row r="242" customFormat="false" ht="15" hidden="false" customHeight="true" outlineLevel="0" collapsed="false">
      <c r="A242" s="54"/>
      <c r="B242" s="54"/>
      <c r="C242" s="53"/>
      <c r="D242" s="53"/>
      <c r="E242" s="64"/>
      <c r="F242" s="65" t="str">
        <f aca="false">IF(AND(ISNUMBER(C242),ISNUMBER(D242),D242&gt;=C242),D242-C242+1,"")</f>
        <v/>
      </c>
      <c r="G242" s="66" t="str">
        <f aca="false">IF(AND(ISNUMBER(C242),ISNUMBER(D242),D242&gt;=C242),WORKDAY(D242,1),"")</f>
        <v/>
      </c>
      <c r="H242" s="55" t="str">
        <f aca="true">IF(A242="","",IF(NOT(AND(ISNUMBER(C242),ISNUMBER(D242))),"Sem data definida",IF(D242&lt;C242,"⚠ Datas invertidas",IF(TODAY()&lt;C242,IF(C242-TODAY()=1,"Começa amanhã","Começa em "&amp;(C242-TODAY())&amp;" dias"),IF(TODAY()&gt;D242,"Concluídas",IF(TODAY()=D242,"EM FÉRIAS (último dia)","EM FÉRIAS (faltam "&amp;(D242-TODAY())&amp;" dias)"))))))</f>
        <v/>
      </c>
      <c r="I242" s="55" t="str">
        <f aca="false">IF(OR(A242="",NOT(AND(ISNUMBER(C242),ISNUMBER(D242)))),"",IF(D242-C242+1&gt;30,"⚠ Período acima de 30 dias",IF(COUNTIFS($B$2:$B$301,B242,$C$2:$C$301,"&lt;="&amp;D242,$D$2:$D$301,"&gt;="&amp;C242)&gt;1,"⚠ Coincide com férias de outro do setor","")))</f>
        <v/>
      </c>
      <c r="K242" s="0" t="str">
        <f aca="true">IF(AND(ISNUMBER(C242),ISNUMBER(D242),C242&lt;=TODAY(),D242&gt;=TODAY()),D242+ROW()/100000,"")</f>
        <v/>
      </c>
      <c r="L242" s="0" t="str">
        <f aca="true">IF(AND(ISNUMBER(C242),C242&gt;TODAY(),C242&lt;=TODAY()+30),C242+ROW()/100000,"")</f>
        <v/>
      </c>
      <c r="M242" s="0" t="str">
        <f aca="false">IF(AND(ISNUMBER(C242),ISNUMBER(D242),C242&lt;=CALENDÁRIO!$L$4,D242&gt;=CALENDÁRIO!$L$4),ROW(),"")</f>
        <v/>
      </c>
    </row>
    <row r="243" customFormat="false" ht="15" hidden="false" customHeight="true" outlineLevel="0" collapsed="false">
      <c r="A243" s="54"/>
      <c r="B243" s="54"/>
      <c r="C243" s="53"/>
      <c r="D243" s="53"/>
      <c r="E243" s="64"/>
      <c r="F243" s="65" t="str">
        <f aca="false">IF(AND(ISNUMBER(C243),ISNUMBER(D243),D243&gt;=C243),D243-C243+1,"")</f>
        <v/>
      </c>
      <c r="G243" s="66" t="str">
        <f aca="false">IF(AND(ISNUMBER(C243),ISNUMBER(D243),D243&gt;=C243),WORKDAY(D243,1),"")</f>
        <v/>
      </c>
      <c r="H243" s="55" t="str">
        <f aca="true">IF(A243="","",IF(NOT(AND(ISNUMBER(C243),ISNUMBER(D243))),"Sem data definida",IF(D243&lt;C243,"⚠ Datas invertidas",IF(TODAY()&lt;C243,IF(C243-TODAY()=1,"Começa amanhã","Começa em "&amp;(C243-TODAY())&amp;" dias"),IF(TODAY()&gt;D243,"Concluídas",IF(TODAY()=D243,"EM FÉRIAS (último dia)","EM FÉRIAS (faltam "&amp;(D243-TODAY())&amp;" dias)"))))))</f>
        <v/>
      </c>
      <c r="I243" s="55" t="str">
        <f aca="false">IF(OR(A243="",NOT(AND(ISNUMBER(C243),ISNUMBER(D243)))),"",IF(D243-C243+1&gt;30,"⚠ Período acima de 30 dias",IF(COUNTIFS($B$2:$B$301,B243,$C$2:$C$301,"&lt;="&amp;D243,$D$2:$D$301,"&gt;="&amp;C243)&gt;1,"⚠ Coincide com férias de outro do setor","")))</f>
        <v/>
      </c>
      <c r="K243" s="0" t="str">
        <f aca="true">IF(AND(ISNUMBER(C243),ISNUMBER(D243),C243&lt;=TODAY(),D243&gt;=TODAY()),D243+ROW()/100000,"")</f>
        <v/>
      </c>
      <c r="L243" s="0" t="str">
        <f aca="true">IF(AND(ISNUMBER(C243),C243&gt;TODAY(),C243&lt;=TODAY()+30),C243+ROW()/100000,"")</f>
        <v/>
      </c>
      <c r="M243" s="0" t="str">
        <f aca="false">IF(AND(ISNUMBER(C243),ISNUMBER(D243),C243&lt;=CALENDÁRIO!$L$4,D243&gt;=CALENDÁRIO!$L$4),ROW(),"")</f>
        <v/>
      </c>
    </row>
    <row r="244" customFormat="false" ht="15" hidden="false" customHeight="true" outlineLevel="0" collapsed="false">
      <c r="A244" s="54"/>
      <c r="B244" s="54"/>
      <c r="C244" s="53"/>
      <c r="D244" s="53"/>
      <c r="E244" s="64"/>
      <c r="F244" s="65" t="str">
        <f aca="false">IF(AND(ISNUMBER(C244),ISNUMBER(D244),D244&gt;=C244),D244-C244+1,"")</f>
        <v/>
      </c>
      <c r="G244" s="66" t="str">
        <f aca="false">IF(AND(ISNUMBER(C244),ISNUMBER(D244),D244&gt;=C244),WORKDAY(D244,1),"")</f>
        <v/>
      </c>
      <c r="H244" s="55" t="str">
        <f aca="true">IF(A244="","",IF(NOT(AND(ISNUMBER(C244),ISNUMBER(D244))),"Sem data definida",IF(D244&lt;C244,"⚠ Datas invertidas",IF(TODAY()&lt;C244,IF(C244-TODAY()=1,"Começa amanhã","Começa em "&amp;(C244-TODAY())&amp;" dias"),IF(TODAY()&gt;D244,"Concluídas",IF(TODAY()=D244,"EM FÉRIAS (último dia)","EM FÉRIAS (faltam "&amp;(D244-TODAY())&amp;" dias)"))))))</f>
        <v/>
      </c>
      <c r="I244" s="55" t="str">
        <f aca="false">IF(OR(A244="",NOT(AND(ISNUMBER(C244),ISNUMBER(D244)))),"",IF(D244-C244+1&gt;30,"⚠ Período acima de 30 dias",IF(COUNTIFS($B$2:$B$301,B244,$C$2:$C$301,"&lt;="&amp;D244,$D$2:$D$301,"&gt;="&amp;C244)&gt;1,"⚠ Coincide com férias de outro do setor","")))</f>
        <v/>
      </c>
      <c r="K244" s="0" t="str">
        <f aca="true">IF(AND(ISNUMBER(C244),ISNUMBER(D244),C244&lt;=TODAY(),D244&gt;=TODAY()),D244+ROW()/100000,"")</f>
        <v/>
      </c>
      <c r="L244" s="0" t="str">
        <f aca="true">IF(AND(ISNUMBER(C244),C244&gt;TODAY(),C244&lt;=TODAY()+30),C244+ROW()/100000,"")</f>
        <v/>
      </c>
      <c r="M244" s="0" t="str">
        <f aca="false">IF(AND(ISNUMBER(C244),ISNUMBER(D244),C244&lt;=CALENDÁRIO!$L$4,D244&gt;=CALENDÁRIO!$L$4),ROW(),"")</f>
        <v/>
      </c>
    </row>
    <row r="245" customFormat="false" ht="15" hidden="false" customHeight="true" outlineLevel="0" collapsed="false">
      <c r="A245" s="54"/>
      <c r="B245" s="54"/>
      <c r="C245" s="53"/>
      <c r="D245" s="53"/>
      <c r="E245" s="64"/>
      <c r="F245" s="65" t="str">
        <f aca="false">IF(AND(ISNUMBER(C245),ISNUMBER(D245),D245&gt;=C245),D245-C245+1,"")</f>
        <v/>
      </c>
      <c r="G245" s="66" t="str">
        <f aca="false">IF(AND(ISNUMBER(C245),ISNUMBER(D245),D245&gt;=C245),WORKDAY(D245,1),"")</f>
        <v/>
      </c>
      <c r="H245" s="55" t="str">
        <f aca="true">IF(A245="","",IF(NOT(AND(ISNUMBER(C245),ISNUMBER(D245))),"Sem data definida",IF(D245&lt;C245,"⚠ Datas invertidas",IF(TODAY()&lt;C245,IF(C245-TODAY()=1,"Começa amanhã","Começa em "&amp;(C245-TODAY())&amp;" dias"),IF(TODAY()&gt;D245,"Concluídas",IF(TODAY()=D245,"EM FÉRIAS (último dia)","EM FÉRIAS (faltam "&amp;(D245-TODAY())&amp;" dias)"))))))</f>
        <v/>
      </c>
      <c r="I245" s="55" t="str">
        <f aca="false">IF(OR(A245="",NOT(AND(ISNUMBER(C245),ISNUMBER(D245)))),"",IF(D245-C245+1&gt;30,"⚠ Período acima de 30 dias",IF(COUNTIFS($B$2:$B$301,B245,$C$2:$C$301,"&lt;="&amp;D245,$D$2:$D$301,"&gt;="&amp;C245)&gt;1,"⚠ Coincide com férias de outro do setor","")))</f>
        <v/>
      </c>
      <c r="K245" s="0" t="str">
        <f aca="true">IF(AND(ISNUMBER(C245),ISNUMBER(D245),C245&lt;=TODAY(),D245&gt;=TODAY()),D245+ROW()/100000,"")</f>
        <v/>
      </c>
      <c r="L245" s="0" t="str">
        <f aca="true">IF(AND(ISNUMBER(C245),C245&gt;TODAY(),C245&lt;=TODAY()+30),C245+ROW()/100000,"")</f>
        <v/>
      </c>
      <c r="M245" s="0" t="str">
        <f aca="false">IF(AND(ISNUMBER(C245),ISNUMBER(D245),C245&lt;=CALENDÁRIO!$L$4,D245&gt;=CALENDÁRIO!$L$4),ROW(),"")</f>
        <v/>
      </c>
    </row>
    <row r="246" customFormat="false" ht="15" hidden="false" customHeight="true" outlineLevel="0" collapsed="false">
      <c r="A246" s="54"/>
      <c r="B246" s="54"/>
      <c r="C246" s="53"/>
      <c r="D246" s="53"/>
      <c r="E246" s="64"/>
      <c r="F246" s="65" t="str">
        <f aca="false">IF(AND(ISNUMBER(C246),ISNUMBER(D246),D246&gt;=C246),D246-C246+1,"")</f>
        <v/>
      </c>
      <c r="G246" s="66" t="str">
        <f aca="false">IF(AND(ISNUMBER(C246),ISNUMBER(D246),D246&gt;=C246),WORKDAY(D246,1),"")</f>
        <v/>
      </c>
      <c r="H246" s="55" t="str">
        <f aca="true">IF(A246="","",IF(NOT(AND(ISNUMBER(C246),ISNUMBER(D246))),"Sem data definida",IF(D246&lt;C246,"⚠ Datas invertidas",IF(TODAY()&lt;C246,IF(C246-TODAY()=1,"Começa amanhã","Começa em "&amp;(C246-TODAY())&amp;" dias"),IF(TODAY()&gt;D246,"Concluídas",IF(TODAY()=D246,"EM FÉRIAS (último dia)","EM FÉRIAS (faltam "&amp;(D246-TODAY())&amp;" dias)"))))))</f>
        <v/>
      </c>
      <c r="I246" s="55" t="str">
        <f aca="false">IF(OR(A246="",NOT(AND(ISNUMBER(C246),ISNUMBER(D246)))),"",IF(D246-C246+1&gt;30,"⚠ Período acima de 30 dias",IF(COUNTIFS($B$2:$B$301,B246,$C$2:$C$301,"&lt;="&amp;D246,$D$2:$D$301,"&gt;="&amp;C246)&gt;1,"⚠ Coincide com férias de outro do setor","")))</f>
        <v/>
      </c>
      <c r="K246" s="0" t="str">
        <f aca="true">IF(AND(ISNUMBER(C246),ISNUMBER(D246),C246&lt;=TODAY(),D246&gt;=TODAY()),D246+ROW()/100000,"")</f>
        <v/>
      </c>
      <c r="L246" s="0" t="str">
        <f aca="true">IF(AND(ISNUMBER(C246),C246&gt;TODAY(),C246&lt;=TODAY()+30),C246+ROW()/100000,"")</f>
        <v/>
      </c>
      <c r="M246" s="0" t="str">
        <f aca="false">IF(AND(ISNUMBER(C246),ISNUMBER(D246),C246&lt;=CALENDÁRIO!$L$4,D246&gt;=CALENDÁRIO!$L$4),ROW(),"")</f>
        <v/>
      </c>
    </row>
    <row r="247" customFormat="false" ht="15" hidden="false" customHeight="true" outlineLevel="0" collapsed="false">
      <c r="A247" s="54"/>
      <c r="B247" s="54"/>
      <c r="C247" s="53"/>
      <c r="D247" s="53"/>
      <c r="E247" s="64"/>
      <c r="F247" s="65" t="str">
        <f aca="false">IF(AND(ISNUMBER(C247),ISNUMBER(D247),D247&gt;=C247),D247-C247+1,"")</f>
        <v/>
      </c>
      <c r="G247" s="66" t="str">
        <f aca="false">IF(AND(ISNUMBER(C247),ISNUMBER(D247),D247&gt;=C247),WORKDAY(D247,1),"")</f>
        <v/>
      </c>
      <c r="H247" s="55" t="str">
        <f aca="true">IF(A247="","",IF(NOT(AND(ISNUMBER(C247),ISNUMBER(D247))),"Sem data definida",IF(D247&lt;C247,"⚠ Datas invertidas",IF(TODAY()&lt;C247,IF(C247-TODAY()=1,"Começa amanhã","Começa em "&amp;(C247-TODAY())&amp;" dias"),IF(TODAY()&gt;D247,"Concluídas",IF(TODAY()=D247,"EM FÉRIAS (último dia)","EM FÉRIAS (faltam "&amp;(D247-TODAY())&amp;" dias)"))))))</f>
        <v/>
      </c>
      <c r="I247" s="55" t="str">
        <f aca="false">IF(OR(A247="",NOT(AND(ISNUMBER(C247),ISNUMBER(D247)))),"",IF(D247-C247+1&gt;30,"⚠ Período acima de 30 dias",IF(COUNTIFS($B$2:$B$301,B247,$C$2:$C$301,"&lt;="&amp;D247,$D$2:$D$301,"&gt;="&amp;C247)&gt;1,"⚠ Coincide com férias de outro do setor","")))</f>
        <v/>
      </c>
      <c r="K247" s="0" t="str">
        <f aca="true">IF(AND(ISNUMBER(C247),ISNUMBER(D247),C247&lt;=TODAY(),D247&gt;=TODAY()),D247+ROW()/100000,"")</f>
        <v/>
      </c>
      <c r="L247" s="0" t="str">
        <f aca="true">IF(AND(ISNUMBER(C247),C247&gt;TODAY(),C247&lt;=TODAY()+30),C247+ROW()/100000,"")</f>
        <v/>
      </c>
      <c r="M247" s="0" t="str">
        <f aca="false">IF(AND(ISNUMBER(C247),ISNUMBER(D247),C247&lt;=CALENDÁRIO!$L$4,D247&gt;=CALENDÁRIO!$L$4),ROW(),"")</f>
        <v/>
      </c>
    </row>
    <row r="248" customFormat="false" ht="15" hidden="false" customHeight="true" outlineLevel="0" collapsed="false">
      <c r="A248" s="54"/>
      <c r="B248" s="54"/>
      <c r="C248" s="53"/>
      <c r="D248" s="53"/>
      <c r="E248" s="64"/>
      <c r="F248" s="65" t="str">
        <f aca="false">IF(AND(ISNUMBER(C248),ISNUMBER(D248),D248&gt;=C248),D248-C248+1,"")</f>
        <v/>
      </c>
      <c r="G248" s="66" t="str">
        <f aca="false">IF(AND(ISNUMBER(C248),ISNUMBER(D248),D248&gt;=C248),WORKDAY(D248,1),"")</f>
        <v/>
      </c>
      <c r="H248" s="55" t="str">
        <f aca="true">IF(A248="","",IF(NOT(AND(ISNUMBER(C248),ISNUMBER(D248))),"Sem data definida",IF(D248&lt;C248,"⚠ Datas invertidas",IF(TODAY()&lt;C248,IF(C248-TODAY()=1,"Começa amanhã","Começa em "&amp;(C248-TODAY())&amp;" dias"),IF(TODAY()&gt;D248,"Concluídas",IF(TODAY()=D248,"EM FÉRIAS (último dia)","EM FÉRIAS (faltam "&amp;(D248-TODAY())&amp;" dias)"))))))</f>
        <v/>
      </c>
      <c r="I248" s="55" t="str">
        <f aca="false">IF(OR(A248="",NOT(AND(ISNUMBER(C248),ISNUMBER(D248)))),"",IF(D248-C248+1&gt;30,"⚠ Período acima de 30 dias",IF(COUNTIFS($B$2:$B$301,B248,$C$2:$C$301,"&lt;="&amp;D248,$D$2:$D$301,"&gt;="&amp;C248)&gt;1,"⚠ Coincide com férias de outro do setor","")))</f>
        <v/>
      </c>
      <c r="K248" s="0" t="str">
        <f aca="true">IF(AND(ISNUMBER(C248),ISNUMBER(D248),C248&lt;=TODAY(),D248&gt;=TODAY()),D248+ROW()/100000,"")</f>
        <v/>
      </c>
      <c r="L248" s="0" t="str">
        <f aca="true">IF(AND(ISNUMBER(C248),C248&gt;TODAY(),C248&lt;=TODAY()+30),C248+ROW()/100000,"")</f>
        <v/>
      </c>
      <c r="M248" s="0" t="str">
        <f aca="false">IF(AND(ISNUMBER(C248),ISNUMBER(D248),C248&lt;=CALENDÁRIO!$L$4,D248&gt;=CALENDÁRIO!$L$4),ROW(),"")</f>
        <v/>
      </c>
    </row>
    <row r="249" customFormat="false" ht="15" hidden="false" customHeight="true" outlineLevel="0" collapsed="false">
      <c r="A249" s="54"/>
      <c r="B249" s="54"/>
      <c r="C249" s="53"/>
      <c r="D249" s="53"/>
      <c r="E249" s="64"/>
      <c r="F249" s="65" t="str">
        <f aca="false">IF(AND(ISNUMBER(C249),ISNUMBER(D249),D249&gt;=C249),D249-C249+1,"")</f>
        <v/>
      </c>
      <c r="G249" s="66" t="str">
        <f aca="false">IF(AND(ISNUMBER(C249),ISNUMBER(D249),D249&gt;=C249),WORKDAY(D249,1),"")</f>
        <v/>
      </c>
      <c r="H249" s="55" t="str">
        <f aca="true">IF(A249="","",IF(NOT(AND(ISNUMBER(C249),ISNUMBER(D249))),"Sem data definida",IF(D249&lt;C249,"⚠ Datas invertidas",IF(TODAY()&lt;C249,IF(C249-TODAY()=1,"Começa amanhã","Começa em "&amp;(C249-TODAY())&amp;" dias"),IF(TODAY()&gt;D249,"Concluídas",IF(TODAY()=D249,"EM FÉRIAS (último dia)","EM FÉRIAS (faltam "&amp;(D249-TODAY())&amp;" dias)"))))))</f>
        <v/>
      </c>
      <c r="I249" s="55" t="str">
        <f aca="false">IF(OR(A249="",NOT(AND(ISNUMBER(C249),ISNUMBER(D249)))),"",IF(D249-C249+1&gt;30,"⚠ Período acima de 30 dias",IF(COUNTIFS($B$2:$B$301,B249,$C$2:$C$301,"&lt;="&amp;D249,$D$2:$D$301,"&gt;="&amp;C249)&gt;1,"⚠ Coincide com férias de outro do setor","")))</f>
        <v/>
      </c>
      <c r="K249" s="0" t="str">
        <f aca="true">IF(AND(ISNUMBER(C249),ISNUMBER(D249),C249&lt;=TODAY(),D249&gt;=TODAY()),D249+ROW()/100000,"")</f>
        <v/>
      </c>
      <c r="L249" s="0" t="str">
        <f aca="true">IF(AND(ISNUMBER(C249),C249&gt;TODAY(),C249&lt;=TODAY()+30),C249+ROW()/100000,"")</f>
        <v/>
      </c>
      <c r="M249" s="0" t="str">
        <f aca="false">IF(AND(ISNUMBER(C249),ISNUMBER(D249),C249&lt;=CALENDÁRIO!$L$4,D249&gt;=CALENDÁRIO!$L$4),ROW(),"")</f>
        <v/>
      </c>
    </row>
    <row r="250" customFormat="false" ht="15" hidden="false" customHeight="true" outlineLevel="0" collapsed="false">
      <c r="A250" s="54"/>
      <c r="B250" s="54"/>
      <c r="C250" s="53"/>
      <c r="D250" s="53"/>
      <c r="E250" s="64"/>
      <c r="F250" s="65" t="str">
        <f aca="false">IF(AND(ISNUMBER(C250),ISNUMBER(D250),D250&gt;=C250),D250-C250+1,"")</f>
        <v/>
      </c>
      <c r="G250" s="66" t="str">
        <f aca="false">IF(AND(ISNUMBER(C250),ISNUMBER(D250),D250&gt;=C250),WORKDAY(D250,1),"")</f>
        <v/>
      </c>
      <c r="H250" s="55" t="str">
        <f aca="true">IF(A250="","",IF(NOT(AND(ISNUMBER(C250),ISNUMBER(D250))),"Sem data definida",IF(D250&lt;C250,"⚠ Datas invertidas",IF(TODAY()&lt;C250,IF(C250-TODAY()=1,"Começa amanhã","Começa em "&amp;(C250-TODAY())&amp;" dias"),IF(TODAY()&gt;D250,"Concluídas",IF(TODAY()=D250,"EM FÉRIAS (último dia)","EM FÉRIAS (faltam "&amp;(D250-TODAY())&amp;" dias)"))))))</f>
        <v/>
      </c>
      <c r="I250" s="55" t="str">
        <f aca="false">IF(OR(A250="",NOT(AND(ISNUMBER(C250),ISNUMBER(D250)))),"",IF(D250-C250+1&gt;30,"⚠ Período acima de 30 dias",IF(COUNTIFS($B$2:$B$301,B250,$C$2:$C$301,"&lt;="&amp;D250,$D$2:$D$301,"&gt;="&amp;C250)&gt;1,"⚠ Coincide com férias de outro do setor","")))</f>
        <v/>
      </c>
      <c r="K250" s="0" t="str">
        <f aca="true">IF(AND(ISNUMBER(C250),ISNUMBER(D250),C250&lt;=TODAY(),D250&gt;=TODAY()),D250+ROW()/100000,"")</f>
        <v/>
      </c>
      <c r="L250" s="0" t="str">
        <f aca="true">IF(AND(ISNUMBER(C250),C250&gt;TODAY(),C250&lt;=TODAY()+30),C250+ROW()/100000,"")</f>
        <v/>
      </c>
      <c r="M250" s="0" t="str">
        <f aca="false">IF(AND(ISNUMBER(C250),ISNUMBER(D250),C250&lt;=CALENDÁRIO!$L$4,D250&gt;=CALENDÁRIO!$L$4),ROW(),"")</f>
        <v/>
      </c>
    </row>
    <row r="251" customFormat="false" ht="15" hidden="false" customHeight="true" outlineLevel="0" collapsed="false">
      <c r="A251" s="54"/>
      <c r="B251" s="54"/>
      <c r="C251" s="53"/>
      <c r="D251" s="53"/>
      <c r="E251" s="64"/>
      <c r="F251" s="65" t="str">
        <f aca="false">IF(AND(ISNUMBER(C251),ISNUMBER(D251),D251&gt;=C251),D251-C251+1,"")</f>
        <v/>
      </c>
      <c r="G251" s="66" t="str">
        <f aca="false">IF(AND(ISNUMBER(C251),ISNUMBER(D251),D251&gt;=C251),WORKDAY(D251,1),"")</f>
        <v/>
      </c>
      <c r="H251" s="55" t="str">
        <f aca="true">IF(A251="","",IF(NOT(AND(ISNUMBER(C251),ISNUMBER(D251))),"Sem data definida",IF(D251&lt;C251,"⚠ Datas invertidas",IF(TODAY()&lt;C251,IF(C251-TODAY()=1,"Começa amanhã","Começa em "&amp;(C251-TODAY())&amp;" dias"),IF(TODAY()&gt;D251,"Concluídas",IF(TODAY()=D251,"EM FÉRIAS (último dia)","EM FÉRIAS (faltam "&amp;(D251-TODAY())&amp;" dias)"))))))</f>
        <v/>
      </c>
      <c r="I251" s="55" t="str">
        <f aca="false">IF(OR(A251="",NOT(AND(ISNUMBER(C251),ISNUMBER(D251)))),"",IF(D251-C251+1&gt;30,"⚠ Período acima de 30 dias",IF(COUNTIFS($B$2:$B$301,B251,$C$2:$C$301,"&lt;="&amp;D251,$D$2:$D$301,"&gt;="&amp;C251)&gt;1,"⚠ Coincide com férias de outro do setor","")))</f>
        <v/>
      </c>
      <c r="K251" s="0" t="str">
        <f aca="true">IF(AND(ISNUMBER(C251),ISNUMBER(D251),C251&lt;=TODAY(),D251&gt;=TODAY()),D251+ROW()/100000,"")</f>
        <v/>
      </c>
      <c r="L251" s="0" t="str">
        <f aca="true">IF(AND(ISNUMBER(C251),C251&gt;TODAY(),C251&lt;=TODAY()+30),C251+ROW()/100000,"")</f>
        <v/>
      </c>
      <c r="M251" s="0" t="str">
        <f aca="false">IF(AND(ISNUMBER(C251),ISNUMBER(D251),C251&lt;=CALENDÁRIO!$L$4,D251&gt;=CALENDÁRIO!$L$4),ROW(),"")</f>
        <v/>
      </c>
    </row>
    <row r="252" customFormat="false" ht="15" hidden="false" customHeight="true" outlineLevel="0" collapsed="false">
      <c r="A252" s="54"/>
      <c r="B252" s="54"/>
      <c r="C252" s="53"/>
      <c r="D252" s="53"/>
      <c r="E252" s="64"/>
      <c r="F252" s="65" t="str">
        <f aca="false">IF(AND(ISNUMBER(C252),ISNUMBER(D252),D252&gt;=C252),D252-C252+1,"")</f>
        <v/>
      </c>
      <c r="G252" s="66" t="str">
        <f aca="false">IF(AND(ISNUMBER(C252),ISNUMBER(D252),D252&gt;=C252),WORKDAY(D252,1),"")</f>
        <v/>
      </c>
      <c r="H252" s="55" t="str">
        <f aca="true">IF(A252="","",IF(NOT(AND(ISNUMBER(C252),ISNUMBER(D252))),"Sem data definida",IF(D252&lt;C252,"⚠ Datas invertidas",IF(TODAY()&lt;C252,IF(C252-TODAY()=1,"Começa amanhã","Começa em "&amp;(C252-TODAY())&amp;" dias"),IF(TODAY()&gt;D252,"Concluídas",IF(TODAY()=D252,"EM FÉRIAS (último dia)","EM FÉRIAS (faltam "&amp;(D252-TODAY())&amp;" dias)"))))))</f>
        <v/>
      </c>
      <c r="I252" s="55" t="str">
        <f aca="false">IF(OR(A252="",NOT(AND(ISNUMBER(C252),ISNUMBER(D252)))),"",IF(D252-C252+1&gt;30,"⚠ Período acima de 30 dias",IF(COUNTIFS($B$2:$B$301,B252,$C$2:$C$301,"&lt;="&amp;D252,$D$2:$D$301,"&gt;="&amp;C252)&gt;1,"⚠ Coincide com férias de outro do setor","")))</f>
        <v/>
      </c>
      <c r="K252" s="0" t="str">
        <f aca="true">IF(AND(ISNUMBER(C252),ISNUMBER(D252),C252&lt;=TODAY(),D252&gt;=TODAY()),D252+ROW()/100000,"")</f>
        <v/>
      </c>
      <c r="L252" s="0" t="str">
        <f aca="true">IF(AND(ISNUMBER(C252),C252&gt;TODAY(),C252&lt;=TODAY()+30),C252+ROW()/100000,"")</f>
        <v/>
      </c>
      <c r="M252" s="0" t="str">
        <f aca="false">IF(AND(ISNUMBER(C252),ISNUMBER(D252),C252&lt;=CALENDÁRIO!$L$4,D252&gt;=CALENDÁRIO!$L$4),ROW(),"")</f>
        <v/>
      </c>
    </row>
    <row r="253" customFormat="false" ht="15" hidden="false" customHeight="true" outlineLevel="0" collapsed="false">
      <c r="A253" s="54"/>
      <c r="B253" s="54"/>
      <c r="C253" s="53"/>
      <c r="D253" s="53"/>
      <c r="E253" s="64"/>
      <c r="F253" s="65" t="str">
        <f aca="false">IF(AND(ISNUMBER(C253),ISNUMBER(D253),D253&gt;=C253),D253-C253+1,"")</f>
        <v/>
      </c>
      <c r="G253" s="66" t="str">
        <f aca="false">IF(AND(ISNUMBER(C253),ISNUMBER(D253),D253&gt;=C253),WORKDAY(D253,1),"")</f>
        <v/>
      </c>
      <c r="H253" s="55" t="str">
        <f aca="true">IF(A253="","",IF(NOT(AND(ISNUMBER(C253),ISNUMBER(D253))),"Sem data definida",IF(D253&lt;C253,"⚠ Datas invertidas",IF(TODAY()&lt;C253,IF(C253-TODAY()=1,"Começa amanhã","Começa em "&amp;(C253-TODAY())&amp;" dias"),IF(TODAY()&gt;D253,"Concluídas",IF(TODAY()=D253,"EM FÉRIAS (último dia)","EM FÉRIAS (faltam "&amp;(D253-TODAY())&amp;" dias)"))))))</f>
        <v/>
      </c>
      <c r="I253" s="55" t="str">
        <f aca="false">IF(OR(A253="",NOT(AND(ISNUMBER(C253),ISNUMBER(D253)))),"",IF(D253-C253+1&gt;30,"⚠ Período acima de 30 dias",IF(COUNTIFS($B$2:$B$301,B253,$C$2:$C$301,"&lt;="&amp;D253,$D$2:$D$301,"&gt;="&amp;C253)&gt;1,"⚠ Coincide com férias de outro do setor","")))</f>
        <v/>
      </c>
      <c r="K253" s="0" t="str">
        <f aca="true">IF(AND(ISNUMBER(C253),ISNUMBER(D253),C253&lt;=TODAY(),D253&gt;=TODAY()),D253+ROW()/100000,"")</f>
        <v/>
      </c>
      <c r="L253" s="0" t="str">
        <f aca="true">IF(AND(ISNUMBER(C253),C253&gt;TODAY(),C253&lt;=TODAY()+30),C253+ROW()/100000,"")</f>
        <v/>
      </c>
      <c r="M253" s="0" t="str">
        <f aca="false">IF(AND(ISNUMBER(C253),ISNUMBER(D253),C253&lt;=CALENDÁRIO!$L$4,D253&gt;=CALENDÁRIO!$L$4),ROW(),"")</f>
        <v/>
      </c>
    </row>
    <row r="254" customFormat="false" ht="15" hidden="false" customHeight="true" outlineLevel="0" collapsed="false">
      <c r="A254" s="54"/>
      <c r="B254" s="54"/>
      <c r="C254" s="53"/>
      <c r="D254" s="53"/>
      <c r="E254" s="64"/>
      <c r="F254" s="65" t="str">
        <f aca="false">IF(AND(ISNUMBER(C254),ISNUMBER(D254),D254&gt;=C254),D254-C254+1,"")</f>
        <v/>
      </c>
      <c r="G254" s="66" t="str">
        <f aca="false">IF(AND(ISNUMBER(C254),ISNUMBER(D254),D254&gt;=C254),WORKDAY(D254,1),"")</f>
        <v/>
      </c>
      <c r="H254" s="55" t="str">
        <f aca="true">IF(A254="","",IF(NOT(AND(ISNUMBER(C254),ISNUMBER(D254))),"Sem data definida",IF(D254&lt;C254,"⚠ Datas invertidas",IF(TODAY()&lt;C254,IF(C254-TODAY()=1,"Começa amanhã","Começa em "&amp;(C254-TODAY())&amp;" dias"),IF(TODAY()&gt;D254,"Concluídas",IF(TODAY()=D254,"EM FÉRIAS (último dia)","EM FÉRIAS (faltam "&amp;(D254-TODAY())&amp;" dias)"))))))</f>
        <v/>
      </c>
      <c r="I254" s="55" t="str">
        <f aca="false">IF(OR(A254="",NOT(AND(ISNUMBER(C254),ISNUMBER(D254)))),"",IF(D254-C254+1&gt;30,"⚠ Período acima de 30 dias",IF(COUNTIFS($B$2:$B$301,B254,$C$2:$C$301,"&lt;="&amp;D254,$D$2:$D$301,"&gt;="&amp;C254)&gt;1,"⚠ Coincide com férias de outro do setor","")))</f>
        <v/>
      </c>
      <c r="K254" s="0" t="str">
        <f aca="true">IF(AND(ISNUMBER(C254),ISNUMBER(D254),C254&lt;=TODAY(),D254&gt;=TODAY()),D254+ROW()/100000,"")</f>
        <v/>
      </c>
      <c r="L254" s="0" t="str">
        <f aca="true">IF(AND(ISNUMBER(C254),C254&gt;TODAY(),C254&lt;=TODAY()+30),C254+ROW()/100000,"")</f>
        <v/>
      </c>
      <c r="M254" s="0" t="str">
        <f aca="false">IF(AND(ISNUMBER(C254),ISNUMBER(D254),C254&lt;=CALENDÁRIO!$L$4,D254&gt;=CALENDÁRIO!$L$4),ROW(),"")</f>
        <v/>
      </c>
    </row>
    <row r="255" customFormat="false" ht="15" hidden="false" customHeight="true" outlineLevel="0" collapsed="false">
      <c r="A255" s="54"/>
      <c r="B255" s="54"/>
      <c r="C255" s="53"/>
      <c r="D255" s="53"/>
      <c r="E255" s="64"/>
      <c r="F255" s="65" t="str">
        <f aca="false">IF(AND(ISNUMBER(C255),ISNUMBER(D255),D255&gt;=C255),D255-C255+1,"")</f>
        <v/>
      </c>
      <c r="G255" s="66" t="str">
        <f aca="false">IF(AND(ISNUMBER(C255),ISNUMBER(D255),D255&gt;=C255),WORKDAY(D255,1),"")</f>
        <v/>
      </c>
      <c r="H255" s="55" t="str">
        <f aca="true">IF(A255="","",IF(NOT(AND(ISNUMBER(C255),ISNUMBER(D255))),"Sem data definida",IF(D255&lt;C255,"⚠ Datas invertidas",IF(TODAY()&lt;C255,IF(C255-TODAY()=1,"Começa amanhã","Começa em "&amp;(C255-TODAY())&amp;" dias"),IF(TODAY()&gt;D255,"Concluídas",IF(TODAY()=D255,"EM FÉRIAS (último dia)","EM FÉRIAS (faltam "&amp;(D255-TODAY())&amp;" dias)"))))))</f>
        <v/>
      </c>
      <c r="I255" s="55" t="str">
        <f aca="false">IF(OR(A255="",NOT(AND(ISNUMBER(C255),ISNUMBER(D255)))),"",IF(D255-C255+1&gt;30,"⚠ Período acima de 30 dias",IF(COUNTIFS($B$2:$B$301,B255,$C$2:$C$301,"&lt;="&amp;D255,$D$2:$D$301,"&gt;="&amp;C255)&gt;1,"⚠ Coincide com férias de outro do setor","")))</f>
        <v/>
      </c>
      <c r="K255" s="0" t="str">
        <f aca="true">IF(AND(ISNUMBER(C255),ISNUMBER(D255),C255&lt;=TODAY(),D255&gt;=TODAY()),D255+ROW()/100000,"")</f>
        <v/>
      </c>
      <c r="L255" s="0" t="str">
        <f aca="true">IF(AND(ISNUMBER(C255),C255&gt;TODAY(),C255&lt;=TODAY()+30),C255+ROW()/100000,"")</f>
        <v/>
      </c>
      <c r="M255" s="0" t="str">
        <f aca="false">IF(AND(ISNUMBER(C255),ISNUMBER(D255),C255&lt;=CALENDÁRIO!$L$4,D255&gt;=CALENDÁRIO!$L$4),ROW(),"")</f>
        <v/>
      </c>
    </row>
    <row r="256" customFormat="false" ht="15" hidden="false" customHeight="true" outlineLevel="0" collapsed="false">
      <c r="A256" s="54"/>
      <c r="B256" s="54"/>
      <c r="C256" s="53"/>
      <c r="D256" s="53"/>
      <c r="E256" s="64"/>
      <c r="F256" s="65" t="str">
        <f aca="false">IF(AND(ISNUMBER(C256),ISNUMBER(D256),D256&gt;=C256),D256-C256+1,"")</f>
        <v/>
      </c>
      <c r="G256" s="66" t="str">
        <f aca="false">IF(AND(ISNUMBER(C256),ISNUMBER(D256),D256&gt;=C256),WORKDAY(D256,1),"")</f>
        <v/>
      </c>
      <c r="H256" s="55" t="str">
        <f aca="true">IF(A256="","",IF(NOT(AND(ISNUMBER(C256),ISNUMBER(D256))),"Sem data definida",IF(D256&lt;C256,"⚠ Datas invertidas",IF(TODAY()&lt;C256,IF(C256-TODAY()=1,"Começa amanhã","Começa em "&amp;(C256-TODAY())&amp;" dias"),IF(TODAY()&gt;D256,"Concluídas",IF(TODAY()=D256,"EM FÉRIAS (último dia)","EM FÉRIAS (faltam "&amp;(D256-TODAY())&amp;" dias)"))))))</f>
        <v/>
      </c>
      <c r="I256" s="55" t="str">
        <f aca="false">IF(OR(A256="",NOT(AND(ISNUMBER(C256),ISNUMBER(D256)))),"",IF(D256-C256+1&gt;30,"⚠ Período acima de 30 dias",IF(COUNTIFS($B$2:$B$301,B256,$C$2:$C$301,"&lt;="&amp;D256,$D$2:$D$301,"&gt;="&amp;C256)&gt;1,"⚠ Coincide com férias de outro do setor","")))</f>
        <v/>
      </c>
      <c r="K256" s="0" t="str">
        <f aca="true">IF(AND(ISNUMBER(C256),ISNUMBER(D256),C256&lt;=TODAY(),D256&gt;=TODAY()),D256+ROW()/100000,"")</f>
        <v/>
      </c>
      <c r="L256" s="0" t="str">
        <f aca="true">IF(AND(ISNUMBER(C256),C256&gt;TODAY(),C256&lt;=TODAY()+30),C256+ROW()/100000,"")</f>
        <v/>
      </c>
      <c r="M256" s="0" t="str">
        <f aca="false">IF(AND(ISNUMBER(C256),ISNUMBER(D256),C256&lt;=CALENDÁRIO!$L$4,D256&gt;=CALENDÁRIO!$L$4),ROW(),"")</f>
        <v/>
      </c>
    </row>
    <row r="257" customFormat="false" ht="15" hidden="false" customHeight="true" outlineLevel="0" collapsed="false">
      <c r="A257" s="54"/>
      <c r="B257" s="54"/>
      <c r="C257" s="53"/>
      <c r="D257" s="53"/>
      <c r="E257" s="64"/>
      <c r="F257" s="65" t="str">
        <f aca="false">IF(AND(ISNUMBER(C257),ISNUMBER(D257),D257&gt;=C257),D257-C257+1,"")</f>
        <v/>
      </c>
      <c r="G257" s="66" t="str">
        <f aca="false">IF(AND(ISNUMBER(C257),ISNUMBER(D257),D257&gt;=C257),WORKDAY(D257,1),"")</f>
        <v/>
      </c>
      <c r="H257" s="55" t="str">
        <f aca="true">IF(A257="","",IF(NOT(AND(ISNUMBER(C257),ISNUMBER(D257))),"Sem data definida",IF(D257&lt;C257,"⚠ Datas invertidas",IF(TODAY()&lt;C257,IF(C257-TODAY()=1,"Começa amanhã","Começa em "&amp;(C257-TODAY())&amp;" dias"),IF(TODAY()&gt;D257,"Concluídas",IF(TODAY()=D257,"EM FÉRIAS (último dia)","EM FÉRIAS (faltam "&amp;(D257-TODAY())&amp;" dias)"))))))</f>
        <v/>
      </c>
      <c r="I257" s="55" t="str">
        <f aca="false">IF(OR(A257="",NOT(AND(ISNUMBER(C257),ISNUMBER(D257)))),"",IF(D257-C257+1&gt;30,"⚠ Período acima de 30 dias",IF(COUNTIFS($B$2:$B$301,B257,$C$2:$C$301,"&lt;="&amp;D257,$D$2:$D$301,"&gt;="&amp;C257)&gt;1,"⚠ Coincide com férias de outro do setor","")))</f>
        <v/>
      </c>
      <c r="K257" s="0" t="str">
        <f aca="true">IF(AND(ISNUMBER(C257),ISNUMBER(D257),C257&lt;=TODAY(),D257&gt;=TODAY()),D257+ROW()/100000,"")</f>
        <v/>
      </c>
      <c r="L257" s="0" t="str">
        <f aca="true">IF(AND(ISNUMBER(C257),C257&gt;TODAY(),C257&lt;=TODAY()+30),C257+ROW()/100000,"")</f>
        <v/>
      </c>
      <c r="M257" s="0" t="str">
        <f aca="false">IF(AND(ISNUMBER(C257),ISNUMBER(D257),C257&lt;=CALENDÁRIO!$L$4,D257&gt;=CALENDÁRIO!$L$4),ROW(),"")</f>
        <v/>
      </c>
    </row>
    <row r="258" customFormat="false" ht="15" hidden="false" customHeight="true" outlineLevel="0" collapsed="false">
      <c r="A258" s="54"/>
      <c r="B258" s="54"/>
      <c r="C258" s="53"/>
      <c r="D258" s="53"/>
      <c r="E258" s="64"/>
      <c r="F258" s="65" t="str">
        <f aca="false">IF(AND(ISNUMBER(C258),ISNUMBER(D258),D258&gt;=C258),D258-C258+1,"")</f>
        <v/>
      </c>
      <c r="G258" s="66" t="str">
        <f aca="false">IF(AND(ISNUMBER(C258),ISNUMBER(D258),D258&gt;=C258),WORKDAY(D258,1),"")</f>
        <v/>
      </c>
      <c r="H258" s="55" t="str">
        <f aca="true">IF(A258="","",IF(NOT(AND(ISNUMBER(C258),ISNUMBER(D258))),"Sem data definida",IF(D258&lt;C258,"⚠ Datas invertidas",IF(TODAY()&lt;C258,IF(C258-TODAY()=1,"Começa amanhã","Começa em "&amp;(C258-TODAY())&amp;" dias"),IF(TODAY()&gt;D258,"Concluídas",IF(TODAY()=D258,"EM FÉRIAS (último dia)","EM FÉRIAS (faltam "&amp;(D258-TODAY())&amp;" dias)"))))))</f>
        <v/>
      </c>
      <c r="I258" s="55" t="str">
        <f aca="false">IF(OR(A258="",NOT(AND(ISNUMBER(C258),ISNUMBER(D258)))),"",IF(D258-C258+1&gt;30,"⚠ Período acima de 30 dias",IF(COUNTIFS($B$2:$B$301,B258,$C$2:$C$301,"&lt;="&amp;D258,$D$2:$D$301,"&gt;="&amp;C258)&gt;1,"⚠ Coincide com férias de outro do setor","")))</f>
        <v/>
      </c>
      <c r="K258" s="0" t="str">
        <f aca="true">IF(AND(ISNUMBER(C258),ISNUMBER(D258),C258&lt;=TODAY(),D258&gt;=TODAY()),D258+ROW()/100000,"")</f>
        <v/>
      </c>
      <c r="L258" s="0" t="str">
        <f aca="true">IF(AND(ISNUMBER(C258),C258&gt;TODAY(),C258&lt;=TODAY()+30),C258+ROW()/100000,"")</f>
        <v/>
      </c>
      <c r="M258" s="0" t="str">
        <f aca="false">IF(AND(ISNUMBER(C258),ISNUMBER(D258),C258&lt;=CALENDÁRIO!$L$4,D258&gt;=CALENDÁRIO!$L$4),ROW(),"")</f>
        <v/>
      </c>
    </row>
    <row r="259" customFormat="false" ht="15" hidden="false" customHeight="true" outlineLevel="0" collapsed="false">
      <c r="A259" s="54"/>
      <c r="B259" s="54"/>
      <c r="C259" s="53"/>
      <c r="D259" s="53"/>
      <c r="E259" s="64"/>
      <c r="F259" s="65" t="str">
        <f aca="false">IF(AND(ISNUMBER(C259),ISNUMBER(D259),D259&gt;=C259),D259-C259+1,"")</f>
        <v/>
      </c>
      <c r="G259" s="66" t="str">
        <f aca="false">IF(AND(ISNUMBER(C259),ISNUMBER(D259),D259&gt;=C259),WORKDAY(D259,1),"")</f>
        <v/>
      </c>
      <c r="H259" s="55" t="str">
        <f aca="true">IF(A259="","",IF(NOT(AND(ISNUMBER(C259),ISNUMBER(D259))),"Sem data definida",IF(D259&lt;C259,"⚠ Datas invertidas",IF(TODAY()&lt;C259,IF(C259-TODAY()=1,"Começa amanhã","Começa em "&amp;(C259-TODAY())&amp;" dias"),IF(TODAY()&gt;D259,"Concluídas",IF(TODAY()=D259,"EM FÉRIAS (último dia)","EM FÉRIAS (faltam "&amp;(D259-TODAY())&amp;" dias)"))))))</f>
        <v/>
      </c>
      <c r="I259" s="55" t="str">
        <f aca="false">IF(OR(A259="",NOT(AND(ISNUMBER(C259),ISNUMBER(D259)))),"",IF(D259-C259+1&gt;30,"⚠ Período acima de 30 dias",IF(COUNTIFS($B$2:$B$301,B259,$C$2:$C$301,"&lt;="&amp;D259,$D$2:$D$301,"&gt;="&amp;C259)&gt;1,"⚠ Coincide com férias de outro do setor","")))</f>
        <v/>
      </c>
      <c r="K259" s="0" t="str">
        <f aca="true">IF(AND(ISNUMBER(C259),ISNUMBER(D259),C259&lt;=TODAY(),D259&gt;=TODAY()),D259+ROW()/100000,"")</f>
        <v/>
      </c>
      <c r="L259" s="0" t="str">
        <f aca="true">IF(AND(ISNUMBER(C259),C259&gt;TODAY(),C259&lt;=TODAY()+30),C259+ROW()/100000,"")</f>
        <v/>
      </c>
      <c r="M259" s="0" t="str">
        <f aca="false">IF(AND(ISNUMBER(C259),ISNUMBER(D259),C259&lt;=CALENDÁRIO!$L$4,D259&gt;=CALENDÁRIO!$L$4),ROW(),"")</f>
        <v/>
      </c>
    </row>
    <row r="260" customFormat="false" ht="15" hidden="false" customHeight="true" outlineLevel="0" collapsed="false">
      <c r="A260" s="54"/>
      <c r="B260" s="54"/>
      <c r="C260" s="53"/>
      <c r="D260" s="53"/>
      <c r="E260" s="64"/>
      <c r="F260" s="65" t="str">
        <f aca="false">IF(AND(ISNUMBER(C260),ISNUMBER(D260),D260&gt;=C260),D260-C260+1,"")</f>
        <v/>
      </c>
      <c r="G260" s="66" t="str">
        <f aca="false">IF(AND(ISNUMBER(C260),ISNUMBER(D260),D260&gt;=C260),WORKDAY(D260,1),"")</f>
        <v/>
      </c>
      <c r="H260" s="55" t="str">
        <f aca="true">IF(A260="","",IF(NOT(AND(ISNUMBER(C260),ISNUMBER(D260))),"Sem data definida",IF(D260&lt;C260,"⚠ Datas invertidas",IF(TODAY()&lt;C260,IF(C260-TODAY()=1,"Começa amanhã","Começa em "&amp;(C260-TODAY())&amp;" dias"),IF(TODAY()&gt;D260,"Concluídas",IF(TODAY()=D260,"EM FÉRIAS (último dia)","EM FÉRIAS (faltam "&amp;(D260-TODAY())&amp;" dias)"))))))</f>
        <v/>
      </c>
      <c r="I260" s="55" t="str">
        <f aca="false">IF(OR(A260="",NOT(AND(ISNUMBER(C260),ISNUMBER(D260)))),"",IF(D260-C260+1&gt;30,"⚠ Período acima de 30 dias",IF(COUNTIFS($B$2:$B$301,B260,$C$2:$C$301,"&lt;="&amp;D260,$D$2:$D$301,"&gt;="&amp;C260)&gt;1,"⚠ Coincide com férias de outro do setor","")))</f>
        <v/>
      </c>
      <c r="K260" s="0" t="str">
        <f aca="true">IF(AND(ISNUMBER(C260),ISNUMBER(D260),C260&lt;=TODAY(),D260&gt;=TODAY()),D260+ROW()/100000,"")</f>
        <v/>
      </c>
      <c r="L260" s="0" t="str">
        <f aca="true">IF(AND(ISNUMBER(C260),C260&gt;TODAY(),C260&lt;=TODAY()+30),C260+ROW()/100000,"")</f>
        <v/>
      </c>
      <c r="M260" s="0" t="str">
        <f aca="false">IF(AND(ISNUMBER(C260),ISNUMBER(D260),C260&lt;=CALENDÁRIO!$L$4,D260&gt;=CALENDÁRIO!$L$4),ROW(),"")</f>
        <v/>
      </c>
    </row>
    <row r="261" customFormat="false" ht="15" hidden="false" customHeight="true" outlineLevel="0" collapsed="false">
      <c r="A261" s="54"/>
      <c r="B261" s="54"/>
      <c r="C261" s="53"/>
      <c r="D261" s="53"/>
      <c r="E261" s="64"/>
      <c r="F261" s="65" t="str">
        <f aca="false">IF(AND(ISNUMBER(C261),ISNUMBER(D261),D261&gt;=C261),D261-C261+1,"")</f>
        <v/>
      </c>
      <c r="G261" s="66" t="str">
        <f aca="false">IF(AND(ISNUMBER(C261),ISNUMBER(D261),D261&gt;=C261),WORKDAY(D261,1),"")</f>
        <v/>
      </c>
      <c r="H261" s="55" t="str">
        <f aca="true">IF(A261="","",IF(NOT(AND(ISNUMBER(C261),ISNUMBER(D261))),"Sem data definida",IF(D261&lt;C261,"⚠ Datas invertidas",IF(TODAY()&lt;C261,IF(C261-TODAY()=1,"Começa amanhã","Começa em "&amp;(C261-TODAY())&amp;" dias"),IF(TODAY()&gt;D261,"Concluídas",IF(TODAY()=D261,"EM FÉRIAS (último dia)","EM FÉRIAS (faltam "&amp;(D261-TODAY())&amp;" dias)"))))))</f>
        <v/>
      </c>
      <c r="I261" s="55" t="str">
        <f aca="false">IF(OR(A261="",NOT(AND(ISNUMBER(C261),ISNUMBER(D261)))),"",IF(D261-C261+1&gt;30,"⚠ Período acima de 30 dias",IF(COUNTIFS($B$2:$B$301,B261,$C$2:$C$301,"&lt;="&amp;D261,$D$2:$D$301,"&gt;="&amp;C261)&gt;1,"⚠ Coincide com férias de outro do setor","")))</f>
        <v/>
      </c>
      <c r="K261" s="0" t="str">
        <f aca="true">IF(AND(ISNUMBER(C261),ISNUMBER(D261),C261&lt;=TODAY(),D261&gt;=TODAY()),D261+ROW()/100000,"")</f>
        <v/>
      </c>
      <c r="L261" s="0" t="str">
        <f aca="true">IF(AND(ISNUMBER(C261),C261&gt;TODAY(),C261&lt;=TODAY()+30),C261+ROW()/100000,"")</f>
        <v/>
      </c>
      <c r="M261" s="0" t="str">
        <f aca="false">IF(AND(ISNUMBER(C261),ISNUMBER(D261),C261&lt;=CALENDÁRIO!$L$4,D261&gt;=CALENDÁRIO!$L$4),ROW(),"")</f>
        <v/>
      </c>
    </row>
    <row r="262" customFormat="false" ht="15" hidden="false" customHeight="true" outlineLevel="0" collapsed="false">
      <c r="A262" s="54"/>
      <c r="B262" s="54"/>
      <c r="C262" s="53"/>
      <c r="D262" s="53"/>
      <c r="E262" s="64"/>
      <c r="F262" s="65" t="str">
        <f aca="false">IF(AND(ISNUMBER(C262),ISNUMBER(D262),D262&gt;=C262),D262-C262+1,"")</f>
        <v/>
      </c>
      <c r="G262" s="66" t="str">
        <f aca="false">IF(AND(ISNUMBER(C262),ISNUMBER(D262),D262&gt;=C262),WORKDAY(D262,1),"")</f>
        <v/>
      </c>
      <c r="H262" s="55" t="str">
        <f aca="true">IF(A262="","",IF(NOT(AND(ISNUMBER(C262),ISNUMBER(D262))),"Sem data definida",IF(D262&lt;C262,"⚠ Datas invertidas",IF(TODAY()&lt;C262,IF(C262-TODAY()=1,"Começa amanhã","Começa em "&amp;(C262-TODAY())&amp;" dias"),IF(TODAY()&gt;D262,"Concluídas",IF(TODAY()=D262,"EM FÉRIAS (último dia)","EM FÉRIAS (faltam "&amp;(D262-TODAY())&amp;" dias)"))))))</f>
        <v/>
      </c>
      <c r="I262" s="55" t="str">
        <f aca="false">IF(OR(A262="",NOT(AND(ISNUMBER(C262),ISNUMBER(D262)))),"",IF(D262-C262+1&gt;30,"⚠ Período acima de 30 dias",IF(COUNTIFS($B$2:$B$301,B262,$C$2:$C$301,"&lt;="&amp;D262,$D$2:$D$301,"&gt;="&amp;C262)&gt;1,"⚠ Coincide com férias de outro do setor","")))</f>
        <v/>
      </c>
      <c r="K262" s="0" t="str">
        <f aca="true">IF(AND(ISNUMBER(C262),ISNUMBER(D262),C262&lt;=TODAY(),D262&gt;=TODAY()),D262+ROW()/100000,"")</f>
        <v/>
      </c>
      <c r="L262" s="0" t="str">
        <f aca="true">IF(AND(ISNUMBER(C262),C262&gt;TODAY(),C262&lt;=TODAY()+30),C262+ROW()/100000,"")</f>
        <v/>
      </c>
      <c r="M262" s="0" t="str">
        <f aca="false">IF(AND(ISNUMBER(C262),ISNUMBER(D262),C262&lt;=CALENDÁRIO!$L$4,D262&gt;=CALENDÁRIO!$L$4),ROW(),"")</f>
        <v/>
      </c>
    </row>
    <row r="263" customFormat="false" ht="15" hidden="false" customHeight="true" outlineLevel="0" collapsed="false">
      <c r="A263" s="54"/>
      <c r="B263" s="54"/>
      <c r="C263" s="53"/>
      <c r="D263" s="53"/>
      <c r="E263" s="64"/>
      <c r="F263" s="65" t="str">
        <f aca="false">IF(AND(ISNUMBER(C263),ISNUMBER(D263),D263&gt;=C263),D263-C263+1,"")</f>
        <v/>
      </c>
      <c r="G263" s="66" t="str">
        <f aca="false">IF(AND(ISNUMBER(C263),ISNUMBER(D263),D263&gt;=C263),WORKDAY(D263,1),"")</f>
        <v/>
      </c>
      <c r="H263" s="55" t="str">
        <f aca="true">IF(A263="","",IF(NOT(AND(ISNUMBER(C263),ISNUMBER(D263))),"Sem data definida",IF(D263&lt;C263,"⚠ Datas invertidas",IF(TODAY()&lt;C263,IF(C263-TODAY()=1,"Começa amanhã","Começa em "&amp;(C263-TODAY())&amp;" dias"),IF(TODAY()&gt;D263,"Concluídas",IF(TODAY()=D263,"EM FÉRIAS (último dia)","EM FÉRIAS (faltam "&amp;(D263-TODAY())&amp;" dias)"))))))</f>
        <v/>
      </c>
      <c r="I263" s="55" t="str">
        <f aca="false">IF(OR(A263="",NOT(AND(ISNUMBER(C263),ISNUMBER(D263)))),"",IF(D263-C263+1&gt;30,"⚠ Período acima de 30 dias",IF(COUNTIFS($B$2:$B$301,B263,$C$2:$C$301,"&lt;="&amp;D263,$D$2:$D$301,"&gt;="&amp;C263)&gt;1,"⚠ Coincide com férias de outro do setor","")))</f>
        <v/>
      </c>
      <c r="K263" s="0" t="str">
        <f aca="true">IF(AND(ISNUMBER(C263),ISNUMBER(D263),C263&lt;=TODAY(),D263&gt;=TODAY()),D263+ROW()/100000,"")</f>
        <v/>
      </c>
      <c r="L263" s="0" t="str">
        <f aca="true">IF(AND(ISNUMBER(C263),C263&gt;TODAY(),C263&lt;=TODAY()+30),C263+ROW()/100000,"")</f>
        <v/>
      </c>
      <c r="M263" s="0" t="str">
        <f aca="false">IF(AND(ISNUMBER(C263),ISNUMBER(D263),C263&lt;=CALENDÁRIO!$L$4,D263&gt;=CALENDÁRIO!$L$4),ROW(),"")</f>
        <v/>
      </c>
    </row>
    <row r="264" customFormat="false" ht="15" hidden="false" customHeight="true" outlineLevel="0" collapsed="false">
      <c r="A264" s="54"/>
      <c r="B264" s="54"/>
      <c r="C264" s="53"/>
      <c r="D264" s="53"/>
      <c r="E264" s="64"/>
      <c r="F264" s="65" t="str">
        <f aca="false">IF(AND(ISNUMBER(C264),ISNUMBER(D264),D264&gt;=C264),D264-C264+1,"")</f>
        <v/>
      </c>
      <c r="G264" s="66" t="str">
        <f aca="false">IF(AND(ISNUMBER(C264),ISNUMBER(D264),D264&gt;=C264),WORKDAY(D264,1),"")</f>
        <v/>
      </c>
      <c r="H264" s="55" t="str">
        <f aca="true">IF(A264="","",IF(NOT(AND(ISNUMBER(C264),ISNUMBER(D264))),"Sem data definida",IF(D264&lt;C264,"⚠ Datas invertidas",IF(TODAY()&lt;C264,IF(C264-TODAY()=1,"Começa amanhã","Começa em "&amp;(C264-TODAY())&amp;" dias"),IF(TODAY()&gt;D264,"Concluídas",IF(TODAY()=D264,"EM FÉRIAS (último dia)","EM FÉRIAS (faltam "&amp;(D264-TODAY())&amp;" dias)"))))))</f>
        <v/>
      </c>
      <c r="I264" s="55" t="str">
        <f aca="false">IF(OR(A264="",NOT(AND(ISNUMBER(C264),ISNUMBER(D264)))),"",IF(D264-C264+1&gt;30,"⚠ Período acima de 30 dias",IF(COUNTIFS($B$2:$B$301,B264,$C$2:$C$301,"&lt;="&amp;D264,$D$2:$D$301,"&gt;="&amp;C264)&gt;1,"⚠ Coincide com férias de outro do setor","")))</f>
        <v/>
      </c>
      <c r="K264" s="0" t="str">
        <f aca="true">IF(AND(ISNUMBER(C264),ISNUMBER(D264),C264&lt;=TODAY(),D264&gt;=TODAY()),D264+ROW()/100000,"")</f>
        <v/>
      </c>
      <c r="L264" s="0" t="str">
        <f aca="true">IF(AND(ISNUMBER(C264),C264&gt;TODAY(),C264&lt;=TODAY()+30),C264+ROW()/100000,"")</f>
        <v/>
      </c>
      <c r="M264" s="0" t="str">
        <f aca="false">IF(AND(ISNUMBER(C264),ISNUMBER(D264),C264&lt;=CALENDÁRIO!$L$4,D264&gt;=CALENDÁRIO!$L$4),ROW(),"")</f>
        <v/>
      </c>
    </row>
    <row r="265" customFormat="false" ht="15" hidden="false" customHeight="true" outlineLevel="0" collapsed="false">
      <c r="A265" s="54"/>
      <c r="B265" s="54"/>
      <c r="C265" s="53"/>
      <c r="D265" s="53"/>
      <c r="E265" s="64"/>
      <c r="F265" s="65" t="str">
        <f aca="false">IF(AND(ISNUMBER(C265),ISNUMBER(D265),D265&gt;=C265),D265-C265+1,"")</f>
        <v/>
      </c>
      <c r="G265" s="66" t="str">
        <f aca="false">IF(AND(ISNUMBER(C265),ISNUMBER(D265),D265&gt;=C265),WORKDAY(D265,1),"")</f>
        <v/>
      </c>
      <c r="H265" s="55" t="str">
        <f aca="true">IF(A265="","",IF(NOT(AND(ISNUMBER(C265),ISNUMBER(D265))),"Sem data definida",IF(D265&lt;C265,"⚠ Datas invertidas",IF(TODAY()&lt;C265,IF(C265-TODAY()=1,"Começa amanhã","Começa em "&amp;(C265-TODAY())&amp;" dias"),IF(TODAY()&gt;D265,"Concluídas",IF(TODAY()=D265,"EM FÉRIAS (último dia)","EM FÉRIAS (faltam "&amp;(D265-TODAY())&amp;" dias)"))))))</f>
        <v/>
      </c>
      <c r="I265" s="55" t="str">
        <f aca="false">IF(OR(A265="",NOT(AND(ISNUMBER(C265),ISNUMBER(D265)))),"",IF(D265-C265+1&gt;30,"⚠ Período acima de 30 dias",IF(COUNTIFS($B$2:$B$301,B265,$C$2:$C$301,"&lt;="&amp;D265,$D$2:$D$301,"&gt;="&amp;C265)&gt;1,"⚠ Coincide com férias de outro do setor","")))</f>
        <v/>
      </c>
      <c r="K265" s="0" t="str">
        <f aca="true">IF(AND(ISNUMBER(C265),ISNUMBER(D265),C265&lt;=TODAY(),D265&gt;=TODAY()),D265+ROW()/100000,"")</f>
        <v/>
      </c>
      <c r="L265" s="0" t="str">
        <f aca="true">IF(AND(ISNUMBER(C265),C265&gt;TODAY(),C265&lt;=TODAY()+30),C265+ROW()/100000,"")</f>
        <v/>
      </c>
      <c r="M265" s="0" t="str">
        <f aca="false">IF(AND(ISNUMBER(C265),ISNUMBER(D265),C265&lt;=CALENDÁRIO!$L$4,D265&gt;=CALENDÁRIO!$L$4),ROW(),"")</f>
        <v/>
      </c>
    </row>
    <row r="266" customFormat="false" ht="15" hidden="false" customHeight="true" outlineLevel="0" collapsed="false">
      <c r="A266" s="54"/>
      <c r="B266" s="54"/>
      <c r="C266" s="53"/>
      <c r="D266" s="53"/>
      <c r="E266" s="64"/>
      <c r="F266" s="65" t="str">
        <f aca="false">IF(AND(ISNUMBER(C266),ISNUMBER(D266),D266&gt;=C266),D266-C266+1,"")</f>
        <v/>
      </c>
      <c r="G266" s="66" t="str">
        <f aca="false">IF(AND(ISNUMBER(C266),ISNUMBER(D266),D266&gt;=C266),WORKDAY(D266,1),"")</f>
        <v/>
      </c>
      <c r="H266" s="55" t="str">
        <f aca="true">IF(A266="","",IF(NOT(AND(ISNUMBER(C266),ISNUMBER(D266))),"Sem data definida",IF(D266&lt;C266,"⚠ Datas invertidas",IF(TODAY()&lt;C266,IF(C266-TODAY()=1,"Começa amanhã","Começa em "&amp;(C266-TODAY())&amp;" dias"),IF(TODAY()&gt;D266,"Concluídas",IF(TODAY()=D266,"EM FÉRIAS (último dia)","EM FÉRIAS (faltam "&amp;(D266-TODAY())&amp;" dias)"))))))</f>
        <v/>
      </c>
      <c r="I266" s="55" t="str">
        <f aca="false">IF(OR(A266="",NOT(AND(ISNUMBER(C266),ISNUMBER(D266)))),"",IF(D266-C266+1&gt;30,"⚠ Período acima de 30 dias",IF(COUNTIFS($B$2:$B$301,B266,$C$2:$C$301,"&lt;="&amp;D266,$D$2:$D$301,"&gt;="&amp;C266)&gt;1,"⚠ Coincide com férias de outro do setor","")))</f>
        <v/>
      </c>
      <c r="K266" s="0" t="str">
        <f aca="true">IF(AND(ISNUMBER(C266),ISNUMBER(D266),C266&lt;=TODAY(),D266&gt;=TODAY()),D266+ROW()/100000,"")</f>
        <v/>
      </c>
      <c r="L266" s="0" t="str">
        <f aca="true">IF(AND(ISNUMBER(C266),C266&gt;TODAY(),C266&lt;=TODAY()+30),C266+ROW()/100000,"")</f>
        <v/>
      </c>
      <c r="M266" s="0" t="str">
        <f aca="false">IF(AND(ISNUMBER(C266),ISNUMBER(D266),C266&lt;=CALENDÁRIO!$L$4,D266&gt;=CALENDÁRIO!$L$4),ROW(),"")</f>
        <v/>
      </c>
    </row>
    <row r="267" customFormat="false" ht="15" hidden="false" customHeight="true" outlineLevel="0" collapsed="false">
      <c r="A267" s="54"/>
      <c r="B267" s="54"/>
      <c r="C267" s="53"/>
      <c r="D267" s="53"/>
      <c r="E267" s="64"/>
      <c r="F267" s="65" t="str">
        <f aca="false">IF(AND(ISNUMBER(C267),ISNUMBER(D267),D267&gt;=C267),D267-C267+1,"")</f>
        <v/>
      </c>
      <c r="G267" s="66" t="str">
        <f aca="false">IF(AND(ISNUMBER(C267),ISNUMBER(D267),D267&gt;=C267),WORKDAY(D267,1),"")</f>
        <v/>
      </c>
      <c r="H267" s="55" t="str">
        <f aca="true">IF(A267="","",IF(NOT(AND(ISNUMBER(C267),ISNUMBER(D267))),"Sem data definida",IF(D267&lt;C267,"⚠ Datas invertidas",IF(TODAY()&lt;C267,IF(C267-TODAY()=1,"Começa amanhã","Começa em "&amp;(C267-TODAY())&amp;" dias"),IF(TODAY()&gt;D267,"Concluídas",IF(TODAY()=D267,"EM FÉRIAS (último dia)","EM FÉRIAS (faltam "&amp;(D267-TODAY())&amp;" dias)"))))))</f>
        <v/>
      </c>
      <c r="I267" s="55" t="str">
        <f aca="false">IF(OR(A267="",NOT(AND(ISNUMBER(C267),ISNUMBER(D267)))),"",IF(D267-C267+1&gt;30,"⚠ Período acima de 30 dias",IF(COUNTIFS($B$2:$B$301,B267,$C$2:$C$301,"&lt;="&amp;D267,$D$2:$D$301,"&gt;="&amp;C267)&gt;1,"⚠ Coincide com férias de outro do setor","")))</f>
        <v/>
      </c>
      <c r="K267" s="0" t="str">
        <f aca="true">IF(AND(ISNUMBER(C267),ISNUMBER(D267),C267&lt;=TODAY(),D267&gt;=TODAY()),D267+ROW()/100000,"")</f>
        <v/>
      </c>
      <c r="L267" s="0" t="str">
        <f aca="true">IF(AND(ISNUMBER(C267),C267&gt;TODAY(),C267&lt;=TODAY()+30),C267+ROW()/100000,"")</f>
        <v/>
      </c>
      <c r="M267" s="0" t="str">
        <f aca="false">IF(AND(ISNUMBER(C267),ISNUMBER(D267),C267&lt;=CALENDÁRIO!$L$4,D267&gt;=CALENDÁRIO!$L$4),ROW(),"")</f>
        <v/>
      </c>
    </row>
    <row r="268" customFormat="false" ht="15" hidden="false" customHeight="true" outlineLevel="0" collapsed="false">
      <c r="A268" s="54"/>
      <c r="B268" s="54"/>
      <c r="C268" s="53"/>
      <c r="D268" s="53"/>
      <c r="E268" s="64"/>
      <c r="F268" s="65" t="str">
        <f aca="false">IF(AND(ISNUMBER(C268),ISNUMBER(D268),D268&gt;=C268),D268-C268+1,"")</f>
        <v/>
      </c>
      <c r="G268" s="66" t="str">
        <f aca="false">IF(AND(ISNUMBER(C268),ISNUMBER(D268),D268&gt;=C268),WORKDAY(D268,1),"")</f>
        <v/>
      </c>
      <c r="H268" s="55" t="str">
        <f aca="true">IF(A268="","",IF(NOT(AND(ISNUMBER(C268),ISNUMBER(D268))),"Sem data definida",IF(D268&lt;C268,"⚠ Datas invertidas",IF(TODAY()&lt;C268,IF(C268-TODAY()=1,"Começa amanhã","Começa em "&amp;(C268-TODAY())&amp;" dias"),IF(TODAY()&gt;D268,"Concluídas",IF(TODAY()=D268,"EM FÉRIAS (último dia)","EM FÉRIAS (faltam "&amp;(D268-TODAY())&amp;" dias)"))))))</f>
        <v/>
      </c>
      <c r="I268" s="55" t="str">
        <f aca="false">IF(OR(A268="",NOT(AND(ISNUMBER(C268),ISNUMBER(D268)))),"",IF(D268-C268+1&gt;30,"⚠ Período acima de 30 dias",IF(COUNTIFS($B$2:$B$301,B268,$C$2:$C$301,"&lt;="&amp;D268,$D$2:$D$301,"&gt;="&amp;C268)&gt;1,"⚠ Coincide com férias de outro do setor","")))</f>
        <v/>
      </c>
      <c r="K268" s="0" t="str">
        <f aca="true">IF(AND(ISNUMBER(C268),ISNUMBER(D268),C268&lt;=TODAY(),D268&gt;=TODAY()),D268+ROW()/100000,"")</f>
        <v/>
      </c>
      <c r="L268" s="0" t="str">
        <f aca="true">IF(AND(ISNUMBER(C268),C268&gt;TODAY(),C268&lt;=TODAY()+30),C268+ROW()/100000,"")</f>
        <v/>
      </c>
      <c r="M268" s="0" t="str">
        <f aca="false">IF(AND(ISNUMBER(C268),ISNUMBER(D268),C268&lt;=CALENDÁRIO!$L$4,D268&gt;=CALENDÁRIO!$L$4),ROW(),"")</f>
        <v/>
      </c>
    </row>
    <row r="269" customFormat="false" ht="15" hidden="false" customHeight="true" outlineLevel="0" collapsed="false">
      <c r="A269" s="54"/>
      <c r="B269" s="54"/>
      <c r="C269" s="53"/>
      <c r="D269" s="53"/>
      <c r="E269" s="64"/>
      <c r="F269" s="65" t="str">
        <f aca="false">IF(AND(ISNUMBER(C269),ISNUMBER(D269),D269&gt;=C269),D269-C269+1,"")</f>
        <v/>
      </c>
      <c r="G269" s="66" t="str">
        <f aca="false">IF(AND(ISNUMBER(C269),ISNUMBER(D269),D269&gt;=C269),WORKDAY(D269,1),"")</f>
        <v/>
      </c>
      <c r="H269" s="55" t="str">
        <f aca="true">IF(A269="","",IF(NOT(AND(ISNUMBER(C269),ISNUMBER(D269))),"Sem data definida",IF(D269&lt;C269,"⚠ Datas invertidas",IF(TODAY()&lt;C269,IF(C269-TODAY()=1,"Começa amanhã","Começa em "&amp;(C269-TODAY())&amp;" dias"),IF(TODAY()&gt;D269,"Concluídas",IF(TODAY()=D269,"EM FÉRIAS (último dia)","EM FÉRIAS (faltam "&amp;(D269-TODAY())&amp;" dias)"))))))</f>
        <v/>
      </c>
      <c r="I269" s="55" t="str">
        <f aca="false">IF(OR(A269="",NOT(AND(ISNUMBER(C269),ISNUMBER(D269)))),"",IF(D269-C269+1&gt;30,"⚠ Período acima de 30 dias",IF(COUNTIFS($B$2:$B$301,B269,$C$2:$C$301,"&lt;="&amp;D269,$D$2:$D$301,"&gt;="&amp;C269)&gt;1,"⚠ Coincide com férias de outro do setor","")))</f>
        <v/>
      </c>
      <c r="K269" s="0" t="str">
        <f aca="true">IF(AND(ISNUMBER(C269),ISNUMBER(D269),C269&lt;=TODAY(),D269&gt;=TODAY()),D269+ROW()/100000,"")</f>
        <v/>
      </c>
      <c r="L269" s="0" t="str">
        <f aca="true">IF(AND(ISNUMBER(C269),C269&gt;TODAY(),C269&lt;=TODAY()+30),C269+ROW()/100000,"")</f>
        <v/>
      </c>
      <c r="M269" s="0" t="str">
        <f aca="false">IF(AND(ISNUMBER(C269),ISNUMBER(D269),C269&lt;=CALENDÁRIO!$L$4,D269&gt;=CALENDÁRIO!$L$4),ROW(),"")</f>
        <v/>
      </c>
    </row>
    <row r="270" customFormat="false" ht="15" hidden="false" customHeight="true" outlineLevel="0" collapsed="false">
      <c r="A270" s="54"/>
      <c r="B270" s="54"/>
      <c r="C270" s="53"/>
      <c r="D270" s="53"/>
      <c r="E270" s="64"/>
      <c r="F270" s="65" t="str">
        <f aca="false">IF(AND(ISNUMBER(C270),ISNUMBER(D270),D270&gt;=C270),D270-C270+1,"")</f>
        <v/>
      </c>
      <c r="G270" s="66" t="str">
        <f aca="false">IF(AND(ISNUMBER(C270),ISNUMBER(D270),D270&gt;=C270),WORKDAY(D270,1),"")</f>
        <v/>
      </c>
      <c r="H270" s="55" t="str">
        <f aca="true">IF(A270="","",IF(NOT(AND(ISNUMBER(C270),ISNUMBER(D270))),"Sem data definida",IF(D270&lt;C270,"⚠ Datas invertidas",IF(TODAY()&lt;C270,IF(C270-TODAY()=1,"Começa amanhã","Começa em "&amp;(C270-TODAY())&amp;" dias"),IF(TODAY()&gt;D270,"Concluídas",IF(TODAY()=D270,"EM FÉRIAS (último dia)","EM FÉRIAS (faltam "&amp;(D270-TODAY())&amp;" dias)"))))))</f>
        <v/>
      </c>
      <c r="I270" s="55" t="str">
        <f aca="false">IF(OR(A270="",NOT(AND(ISNUMBER(C270),ISNUMBER(D270)))),"",IF(D270-C270+1&gt;30,"⚠ Período acima de 30 dias",IF(COUNTIFS($B$2:$B$301,B270,$C$2:$C$301,"&lt;="&amp;D270,$D$2:$D$301,"&gt;="&amp;C270)&gt;1,"⚠ Coincide com férias de outro do setor","")))</f>
        <v/>
      </c>
      <c r="K270" s="0" t="str">
        <f aca="true">IF(AND(ISNUMBER(C270),ISNUMBER(D270),C270&lt;=TODAY(),D270&gt;=TODAY()),D270+ROW()/100000,"")</f>
        <v/>
      </c>
      <c r="L270" s="0" t="str">
        <f aca="true">IF(AND(ISNUMBER(C270),C270&gt;TODAY(),C270&lt;=TODAY()+30),C270+ROW()/100000,"")</f>
        <v/>
      </c>
      <c r="M270" s="0" t="str">
        <f aca="false">IF(AND(ISNUMBER(C270),ISNUMBER(D270),C270&lt;=CALENDÁRIO!$L$4,D270&gt;=CALENDÁRIO!$L$4),ROW(),"")</f>
        <v/>
      </c>
    </row>
    <row r="271" customFormat="false" ht="15" hidden="false" customHeight="true" outlineLevel="0" collapsed="false">
      <c r="A271" s="54"/>
      <c r="B271" s="54"/>
      <c r="C271" s="53"/>
      <c r="D271" s="53"/>
      <c r="E271" s="64"/>
      <c r="F271" s="65" t="str">
        <f aca="false">IF(AND(ISNUMBER(C271),ISNUMBER(D271),D271&gt;=C271),D271-C271+1,"")</f>
        <v/>
      </c>
      <c r="G271" s="66" t="str">
        <f aca="false">IF(AND(ISNUMBER(C271),ISNUMBER(D271),D271&gt;=C271),WORKDAY(D271,1),"")</f>
        <v/>
      </c>
      <c r="H271" s="55" t="str">
        <f aca="true">IF(A271="","",IF(NOT(AND(ISNUMBER(C271),ISNUMBER(D271))),"Sem data definida",IF(D271&lt;C271,"⚠ Datas invertidas",IF(TODAY()&lt;C271,IF(C271-TODAY()=1,"Começa amanhã","Começa em "&amp;(C271-TODAY())&amp;" dias"),IF(TODAY()&gt;D271,"Concluídas",IF(TODAY()=D271,"EM FÉRIAS (último dia)","EM FÉRIAS (faltam "&amp;(D271-TODAY())&amp;" dias)"))))))</f>
        <v/>
      </c>
      <c r="I271" s="55" t="str">
        <f aca="false">IF(OR(A271="",NOT(AND(ISNUMBER(C271),ISNUMBER(D271)))),"",IF(D271-C271+1&gt;30,"⚠ Período acima de 30 dias",IF(COUNTIFS($B$2:$B$301,B271,$C$2:$C$301,"&lt;="&amp;D271,$D$2:$D$301,"&gt;="&amp;C271)&gt;1,"⚠ Coincide com férias de outro do setor","")))</f>
        <v/>
      </c>
      <c r="K271" s="0" t="str">
        <f aca="true">IF(AND(ISNUMBER(C271),ISNUMBER(D271),C271&lt;=TODAY(),D271&gt;=TODAY()),D271+ROW()/100000,"")</f>
        <v/>
      </c>
      <c r="L271" s="0" t="str">
        <f aca="true">IF(AND(ISNUMBER(C271),C271&gt;TODAY(),C271&lt;=TODAY()+30),C271+ROW()/100000,"")</f>
        <v/>
      </c>
      <c r="M271" s="0" t="str">
        <f aca="false">IF(AND(ISNUMBER(C271),ISNUMBER(D271),C271&lt;=CALENDÁRIO!$L$4,D271&gt;=CALENDÁRIO!$L$4),ROW(),"")</f>
        <v/>
      </c>
    </row>
    <row r="272" customFormat="false" ht="15" hidden="false" customHeight="true" outlineLevel="0" collapsed="false">
      <c r="A272" s="54"/>
      <c r="B272" s="54"/>
      <c r="C272" s="53"/>
      <c r="D272" s="53"/>
      <c r="E272" s="64"/>
      <c r="F272" s="65" t="str">
        <f aca="false">IF(AND(ISNUMBER(C272),ISNUMBER(D272),D272&gt;=C272),D272-C272+1,"")</f>
        <v/>
      </c>
      <c r="G272" s="66" t="str">
        <f aca="false">IF(AND(ISNUMBER(C272),ISNUMBER(D272),D272&gt;=C272),WORKDAY(D272,1),"")</f>
        <v/>
      </c>
      <c r="H272" s="55" t="str">
        <f aca="true">IF(A272="","",IF(NOT(AND(ISNUMBER(C272),ISNUMBER(D272))),"Sem data definida",IF(D272&lt;C272,"⚠ Datas invertidas",IF(TODAY()&lt;C272,IF(C272-TODAY()=1,"Começa amanhã","Começa em "&amp;(C272-TODAY())&amp;" dias"),IF(TODAY()&gt;D272,"Concluídas",IF(TODAY()=D272,"EM FÉRIAS (último dia)","EM FÉRIAS (faltam "&amp;(D272-TODAY())&amp;" dias)"))))))</f>
        <v/>
      </c>
      <c r="I272" s="55" t="str">
        <f aca="false">IF(OR(A272="",NOT(AND(ISNUMBER(C272),ISNUMBER(D272)))),"",IF(D272-C272+1&gt;30,"⚠ Período acima de 30 dias",IF(COUNTIFS($B$2:$B$301,B272,$C$2:$C$301,"&lt;="&amp;D272,$D$2:$D$301,"&gt;="&amp;C272)&gt;1,"⚠ Coincide com férias de outro do setor","")))</f>
        <v/>
      </c>
      <c r="K272" s="0" t="str">
        <f aca="true">IF(AND(ISNUMBER(C272),ISNUMBER(D272),C272&lt;=TODAY(),D272&gt;=TODAY()),D272+ROW()/100000,"")</f>
        <v/>
      </c>
      <c r="L272" s="0" t="str">
        <f aca="true">IF(AND(ISNUMBER(C272),C272&gt;TODAY(),C272&lt;=TODAY()+30),C272+ROW()/100000,"")</f>
        <v/>
      </c>
      <c r="M272" s="0" t="str">
        <f aca="false">IF(AND(ISNUMBER(C272),ISNUMBER(D272),C272&lt;=CALENDÁRIO!$L$4,D272&gt;=CALENDÁRIO!$L$4),ROW(),"")</f>
        <v/>
      </c>
    </row>
    <row r="273" customFormat="false" ht="15" hidden="false" customHeight="true" outlineLevel="0" collapsed="false">
      <c r="A273" s="54"/>
      <c r="B273" s="54"/>
      <c r="C273" s="53"/>
      <c r="D273" s="53"/>
      <c r="E273" s="64"/>
      <c r="F273" s="65" t="str">
        <f aca="false">IF(AND(ISNUMBER(C273),ISNUMBER(D273),D273&gt;=C273),D273-C273+1,"")</f>
        <v/>
      </c>
      <c r="G273" s="66" t="str">
        <f aca="false">IF(AND(ISNUMBER(C273),ISNUMBER(D273),D273&gt;=C273),WORKDAY(D273,1),"")</f>
        <v/>
      </c>
      <c r="H273" s="55" t="str">
        <f aca="true">IF(A273="","",IF(NOT(AND(ISNUMBER(C273),ISNUMBER(D273))),"Sem data definida",IF(D273&lt;C273,"⚠ Datas invertidas",IF(TODAY()&lt;C273,IF(C273-TODAY()=1,"Começa amanhã","Começa em "&amp;(C273-TODAY())&amp;" dias"),IF(TODAY()&gt;D273,"Concluídas",IF(TODAY()=D273,"EM FÉRIAS (último dia)","EM FÉRIAS (faltam "&amp;(D273-TODAY())&amp;" dias)"))))))</f>
        <v/>
      </c>
      <c r="I273" s="55" t="str">
        <f aca="false">IF(OR(A273="",NOT(AND(ISNUMBER(C273),ISNUMBER(D273)))),"",IF(D273-C273+1&gt;30,"⚠ Período acima de 30 dias",IF(COUNTIFS($B$2:$B$301,B273,$C$2:$C$301,"&lt;="&amp;D273,$D$2:$D$301,"&gt;="&amp;C273)&gt;1,"⚠ Coincide com férias de outro do setor","")))</f>
        <v/>
      </c>
      <c r="K273" s="0" t="str">
        <f aca="true">IF(AND(ISNUMBER(C273),ISNUMBER(D273),C273&lt;=TODAY(),D273&gt;=TODAY()),D273+ROW()/100000,"")</f>
        <v/>
      </c>
      <c r="L273" s="0" t="str">
        <f aca="true">IF(AND(ISNUMBER(C273),C273&gt;TODAY(),C273&lt;=TODAY()+30),C273+ROW()/100000,"")</f>
        <v/>
      </c>
      <c r="M273" s="0" t="str">
        <f aca="false">IF(AND(ISNUMBER(C273),ISNUMBER(D273),C273&lt;=CALENDÁRIO!$L$4,D273&gt;=CALENDÁRIO!$L$4),ROW(),"")</f>
        <v/>
      </c>
    </row>
    <row r="274" customFormat="false" ht="15" hidden="false" customHeight="true" outlineLevel="0" collapsed="false">
      <c r="A274" s="54"/>
      <c r="B274" s="54"/>
      <c r="C274" s="53"/>
      <c r="D274" s="53"/>
      <c r="E274" s="64"/>
      <c r="F274" s="65" t="str">
        <f aca="false">IF(AND(ISNUMBER(C274),ISNUMBER(D274),D274&gt;=C274),D274-C274+1,"")</f>
        <v/>
      </c>
      <c r="G274" s="66" t="str">
        <f aca="false">IF(AND(ISNUMBER(C274),ISNUMBER(D274),D274&gt;=C274),WORKDAY(D274,1),"")</f>
        <v/>
      </c>
      <c r="H274" s="55" t="str">
        <f aca="true">IF(A274="","",IF(NOT(AND(ISNUMBER(C274),ISNUMBER(D274))),"Sem data definida",IF(D274&lt;C274,"⚠ Datas invertidas",IF(TODAY()&lt;C274,IF(C274-TODAY()=1,"Começa amanhã","Começa em "&amp;(C274-TODAY())&amp;" dias"),IF(TODAY()&gt;D274,"Concluídas",IF(TODAY()=D274,"EM FÉRIAS (último dia)","EM FÉRIAS (faltam "&amp;(D274-TODAY())&amp;" dias)"))))))</f>
        <v/>
      </c>
      <c r="I274" s="55" t="str">
        <f aca="false">IF(OR(A274="",NOT(AND(ISNUMBER(C274),ISNUMBER(D274)))),"",IF(D274-C274+1&gt;30,"⚠ Período acima de 30 dias",IF(COUNTIFS($B$2:$B$301,B274,$C$2:$C$301,"&lt;="&amp;D274,$D$2:$D$301,"&gt;="&amp;C274)&gt;1,"⚠ Coincide com férias de outro do setor","")))</f>
        <v/>
      </c>
      <c r="K274" s="0" t="str">
        <f aca="true">IF(AND(ISNUMBER(C274),ISNUMBER(D274),C274&lt;=TODAY(),D274&gt;=TODAY()),D274+ROW()/100000,"")</f>
        <v/>
      </c>
      <c r="L274" s="0" t="str">
        <f aca="true">IF(AND(ISNUMBER(C274),C274&gt;TODAY(),C274&lt;=TODAY()+30),C274+ROW()/100000,"")</f>
        <v/>
      </c>
      <c r="M274" s="0" t="str">
        <f aca="false">IF(AND(ISNUMBER(C274),ISNUMBER(D274),C274&lt;=CALENDÁRIO!$L$4,D274&gt;=CALENDÁRIO!$L$4),ROW(),"")</f>
        <v/>
      </c>
    </row>
    <row r="275" customFormat="false" ht="15" hidden="false" customHeight="true" outlineLevel="0" collapsed="false">
      <c r="A275" s="54"/>
      <c r="B275" s="54"/>
      <c r="C275" s="53"/>
      <c r="D275" s="53"/>
      <c r="E275" s="64"/>
      <c r="F275" s="65" t="str">
        <f aca="false">IF(AND(ISNUMBER(C275),ISNUMBER(D275),D275&gt;=C275),D275-C275+1,"")</f>
        <v/>
      </c>
      <c r="G275" s="66" t="str">
        <f aca="false">IF(AND(ISNUMBER(C275),ISNUMBER(D275),D275&gt;=C275),WORKDAY(D275,1),"")</f>
        <v/>
      </c>
      <c r="H275" s="55" t="str">
        <f aca="true">IF(A275="","",IF(NOT(AND(ISNUMBER(C275),ISNUMBER(D275))),"Sem data definida",IF(D275&lt;C275,"⚠ Datas invertidas",IF(TODAY()&lt;C275,IF(C275-TODAY()=1,"Começa amanhã","Começa em "&amp;(C275-TODAY())&amp;" dias"),IF(TODAY()&gt;D275,"Concluídas",IF(TODAY()=D275,"EM FÉRIAS (último dia)","EM FÉRIAS (faltam "&amp;(D275-TODAY())&amp;" dias)"))))))</f>
        <v/>
      </c>
      <c r="I275" s="55" t="str">
        <f aca="false">IF(OR(A275="",NOT(AND(ISNUMBER(C275),ISNUMBER(D275)))),"",IF(D275-C275+1&gt;30,"⚠ Período acima de 30 dias",IF(COUNTIFS($B$2:$B$301,B275,$C$2:$C$301,"&lt;="&amp;D275,$D$2:$D$301,"&gt;="&amp;C275)&gt;1,"⚠ Coincide com férias de outro do setor","")))</f>
        <v/>
      </c>
      <c r="K275" s="0" t="str">
        <f aca="true">IF(AND(ISNUMBER(C275),ISNUMBER(D275),C275&lt;=TODAY(),D275&gt;=TODAY()),D275+ROW()/100000,"")</f>
        <v/>
      </c>
      <c r="L275" s="0" t="str">
        <f aca="true">IF(AND(ISNUMBER(C275),C275&gt;TODAY(),C275&lt;=TODAY()+30),C275+ROW()/100000,"")</f>
        <v/>
      </c>
      <c r="M275" s="0" t="str">
        <f aca="false">IF(AND(ISNUMBER(C275),ISNUMBER(D275),C275&lt;=CALENDÁRIO!$L$4,D275&gt;=CALENDÁRIO!$L$4),ROW(),"")</f>
        <v/>
      </c>
    </row>
    <row r="276" customFormat="false" ht="15" hidden="false" customHeight="true" outlineLevel="0" collapsed="false">
      <c r="A276" s="54"/>
      <c r="B276" s="54"/>
      <c r="C276" s="53"/>
      <c r="D276" s="53"/>
      <c r="E276" s="64"/>
      <c r="F276" s="65" t="str">
        <f aca="false">IF(AND(ISNUMBER(C276),ISNUMBER(D276),D276&gt;=C276),D276-C276+1,"")</f>
        <v/>
      </c>
      <c r="G276" s="66" t="str">
        <f aca="false">IF(AND(ISNUMBER(C276),ISNUMBER(D276),D276&gt;=C276),WORKDAY(D276,1),"")</f>
        <v/>
      </c>
      <c r="H276" s="55" t="str">
        <f aca="true">IF(A276="","",IF(NOT(AND(ISNUMBER(C276),ISNUMBER(D276))),"Sem data definida",IF(D276&lt;C276,"⚠ Datas invertidas",IF(TODAY()&lt;C276,IF(C276-TODAY()=1,"Começa amanhã","Começa em "&amp;(C276-TODAY())&amp;" dias"),IF(TODAY()&gt;D276,"Concluídas",IF(TODAY()=D276,"EM FÉRIAS (último dia)","EM FÉRIAS (faltam "&amp;(D276-TODAY())&amp;" dias)"))))))</f>
        <v/>
      </c>
      <c r="I276" s="55" t="str">
        <f aca="false">IF(OR(A276="",NOT(AND(ISNUMBER(C276),ISNUMBER(D276)))),"",IF(D276-C276+1&gt;30,"⚠ Período acima de 30 dias",IF(COUNTIFS($B$2:$B$301,B276,$C$2:$C$301,"&lt;="&amp;D276,$D$2:$D$301,"&gt;="&amp;C276)&gt;1,"⚠ Coincide com férias de outro do setor","")))</f>
        <v/>
      </c>
      <c r="K276" s="0" t="str">
        <f aca="true">IF(AND(ISNUMBER(C276),ISNUMBER(D276),C276&lt;=TODAY(),D276&gt;=TODAY()),D276+ROW()/100000,"")</f>
        <v/>
      </c>
      <c r="L276" s="0" t="str">
        <f aca="true">IF(AND(ISNUMBER(C276),C276&gt;TODAY(),C276&lt;=TODAY()+30),C276+ROW()/100000,"")</f>
        <v/>
      </c>
      <c r="M276" s="0" t="str">
        <f aca="false">IF(AND(ISNUMBER(C276),ISNUMBER(D276),C276&lt;=CALENDÁRIO!$L$4,D276&gt;=CALENDÁRIO!$L$4),ROW(),"")</f>
        <v/>
      </c>
    </row>
    <row r="277" customFormat="false" ht="15" hidden="false" customHeight="true" outlineLevel="0" collapsed="false">
      <c r="A277" s="54"/>
      <c r="B277" s="54"/>
      <c r="C277" s="53"/>
      <c r="D277" s="53"/>
      <c r="E277" s="64"/>
      <c r="F277" s="65" t="str">
        <f aca="false">IF(AND(ISNUMBER(C277),ISNUMBER(D277),D277&gt;=C277),D277-C277+1,"")</f>
        <v/>
      </c>
      <c r="G277" s="66" t="str">
        <f aca="false">IF(AND(ISNUMBER(C277),ISNUMBER(D277),D277&gt;=C277),WORKDAY(D277,1),"")</f>
        <v/>
      </c>
      <c r="H277" s="55" t="str">
        <f aca="true">IF(A277="","",IF(NOT(AND(ISNUMBER(C277),ISNUMBER(D277))),"Sem data definida",IF(D277&lt;C277,"⚠ Datas invertidas",IF(TODAY()&lt;C277,IF(C277-TODAY()=1,"Começa amanhã","Começa em "&amp;(C277-TODAY())&amp;" dias"),IF(TODAY()&gt;D277,"Concluídas",IF(TODAY()=D277,"EM FÉRIAS (último dia)","EM FÉRIAS (faltam "&amp;(D277-TODAY())&amp;" dias)"))))))</f>
        <v/>
      </c>
      <c r="I277" s="55" t="str">
        <f aca="false">IF(OR(A277="",NOT(AND(ISNUMBER(C277),ISNUMBER(D277)))),"",IF(D277-C277+1&gt;30,"⚠ Período acima de 30 dias",IF(COUNTIFS($B$2:$B$301,B277,$C$2:$C$301,"&lt;="&amp;D277,$D$2:$D$301,"&gt;="&amp;C277)&gt;1,"⚠ Coincide com férias de outro do setor","")))</f>
        <v/>
      </c>
      <c r="K277" s="0" t="str">
        <f aca="true">IF(AND(ISNUMBER(C277),ISNUMBER(D277),C277&lt;=TODAY(),D277&gt;=TODAY()),D277+ROW()/100000,"")</f>
        <v/>
      </c>
      <c r="L277" s="0" t="str">
        <f aca="true">IF(AND(ISNUMBER(C277),C277&gt;TODAY(),C277&lt;=TODAY()+30),C277+ROW()/100000,"")</f>
        <v/>
      </c>
      <c r="M277" s="0" t="str">
        <f aca="false">IF(AND(ISNUMBER(C277),ISNUMBER(D277),C277&lt;=CALENDÁRIO!$L$4,D277&gt;=CALENDÁRIO!$L$4),ROW(),"")</f>
        <v/>
      </c>
    </row>
    <row r="278" customFormat="false" ht="15" hidden="false" customHeight="true" outlineLevel="0" collapsed="false">
      <c r="A278" s="54"/>
      <c r="B278" s="54"/>
      <c r="C278" s="53"/>
      <c r="D278" s="53"/>
      <c r="E278" s="64"/>
      <c r="F278" s="65" t="str">
        <f aca="false">IF(AND(ISNUMBER(C278),ISNUMBER(D278),D278&gt;=C278),D278-C278+1,"")</f>
        <v/>
      </c>
      <c r="G278" s="66" t="str">
        <f aca="false">IF(AND(ISNUMBER(C278),ISNUMBER(D278),D278&gt;=C278),WORKDAY(D278,1),"")</f>
        <v/>
      </c>
      <c r="H278" s="55" t="str">
        <f aca="true">IF(A278="","",IF(NOT(AND(ISNUMBER(C278),ISNUMBER(D278))),"Sem data definida",IF(D278&lt;C278,"⚠ Datas invertidas",IF(TODAY()&lt;C278,IF(C278-TODAY()=1,"Começa amanhã","Começa em "&amp;(C278-TODAY())&amp;" dias"),IF(TODAY()&gt;D278,"Concluídas",IF(TODAY()=D278,"EM FÉRIAS (último dia)","EM FÉRIAS (faltam "&amp;(D278-TODAY())&amp;" dias)"))))))</f>
        <v/>
      </c>
      <c r="I278" s="55" t="str">
        <f aca="false">IF(OR(A278="",NOT(AND(ISNUMBER(C278),ISNUMBER(D278)))),"",IF(D278-C278+1&gt;30,"⚠ Período acima de 30 dias",IF(COUNTIFS($B$2:$B$301,B278,$C$2:$C$301,"&lt;="&amp;D278,$D$2:$D$301,"&gt;="&amp;C278)&gt;1,"⚠ Coincide com férias de outro do setor","")))</f>
        <v/>
      </c>
      <c r="K278" s="0" t="str">
        <f aca="true">IF(AND(ISNUMBER(C278),ISNUMBER(D278),C278&lt;=TODAY(),D278&gt;=TODAY()),D278+ROW()/100000,"")</f>
        <v/>
      </c>
      <c r="L278" s="0" t="str">
        <f aca="true">IF(AND(ISNUMBER(C278),C278&gt;TODAY(),C278&lt;=TODAY()+30),C278+ROW()/100000,"")</f>
        <v/>
      </c>
      <c r="M278" s="0" t="str">
        <f aca="false">IF(AND(ISNUMBER(C278),ISNUMBER(D278),C278&lt;=CALENDÁRIO!$L$4,D278&gt;=CALENDÁRIO!$L$4),ROW(),"")</f>
        <v/>
      </c>
    </row>
    <row r="279" customFormat="false" ht="15" hidden="false" customHeight="true" outlineLevel="0" collapsed="false">
      <c r="A279" s="54"/>
      <c r="B279" s="54"/>
      <c r="C279" s="53"/>
      <c r="D279" s="53"/>
      <c r="E279" s="64"/>
      <c r="F279" s="65" t="str">
        <f aca="false">IF(AND(ISNUMBER(C279),ISNUMBER(D279),D279&gt;=C279),D279-C279+1,"")</f>
        <v/>
      </c>
      <c r="G279" s="66" t="str">
        <f aca="false">IF(AND(ISNUMBER(C279),ISNUMBER(D279),D279&gt;=C279),WORKDAY(D279,1),"")</f>
        <v/>
      </c>
      <c r="H279" s="55" t="str">
        <f aca="true">IF(A279="","",IF(NOT(AND(ISNUMBER(C279),ISNUMBER(D279))),"Sem data definida",IF(D279&lt;C279,"⚠ Datas invertidas",IF(TODAY()&lt;C279,IF(C279-TODAY()=1,"Começa amanhã","Começa em "&amp;(C279-TODAY())&amp;" dias"),IF(TODAY()&gt;D279,"Concluídas",IF(TODAY()=D279,"EM FÉRIAS (último dia)","EM FÉRIAS (faltam "&amp;(D279-TODAY())&amp;" dias)"))))))</f>
        <v/>
      </c>
      <c r="I279" s="55" t="str">
        <f aca="false">IF(OR(A279="",NOT(AND(ISNUMBER(C279),ISNUMBER(D279)))),"",IF(D279-C279+1&gt;30,"⚠ Período acima de 30 dias",IF(COUNTIFS($B$2:$B$301,B279,$C$2:$C$301,"&lt;="&amp;D279,$D$2:$D$301,"&gt;="&amp;C279)&gt;1,"⚠ Coincide com férias de outro do setor","")))</f>
        <v/>
      </c>
      <c r="K279" s="0" t="str">
        <f aca="true">IF(AND(ISNUMBER(C279),ISNUMBER(D279),C279&lt;=TODAY(),D279&gt;=TODAY()),D279+ROW()/100000,"")</f>
        <v/>
      </c>
      <c r="L279" s="0" t="str">
        <f aca="true">IF(AND(ISNUMBER(C279),C279&gt;TODAY(),C279&lt;=TODAY()+30),C279+ROW()/100000,"")</f>
        <v/>
      </c>
      <c r="M279" s="0" t="str">
        <f aca="false">IF(AND(ISNUMBER(C279),ISNUMBER(D279),C279&lt;=CALENDÁRIO!$L$4,D279&gt;=CALENDÁRIO!$L$4),ROW(),"")</f>
        <v/>
      </c>
    </row>
    <row r="280" customFormat="false" ht="15" hidden="false" customHeight="true" outlineLevel="0" collapsed="false">
      <c r="A280" s="54"/>
      <c r="B280" s="54"/>
      <c r="C280" s="53"/>
      <c r="D280" s="53"/>
      <c r="E280" s="64"/>
      <c r="F280" s="65" t="str">
        <f aca="false">IF(AND(ISNUMBER(C280),ISNUMBER(D280),D280&gt;=C280),D280-C280+1,"")</f>
        <v/>
      </c>
      <c r="G280" s="66" t="str">
        <f aca="false">IF(AND(ISNUMBER(C280),ISNUMBER(D280),D280&gt;=C280),WORKDAY(D280,1),"")</f>
        <v/>
      </c>
      <c r="H280" s="55" t="str">
        <f aca="true">IF(A280="","",IF(NOT(AND(ISNUMBER(C280),ISNUMBER(D280))),"Sem data definida",IF(D280&lt;C280,"⚠ Datas invertidas",IF(TODAY()&lt;C280,IF(C280-TODAY()=1,"Começa amanhã","Começa em "&amp;(C280-TODAY())&amp;" dias"),IF(TODAY()&gt;D280,"Concluídas",IF(TODAY()=D280,"EM FÉRIAS (último dia)","EM FÉRIAS (faltam "&amp;(D280-TODAY())&amp;" dias)"))))))</f>
        <v/>
      </c>
      <c r="I280" s="55" t="str">
        <f aca="false">IF(OR(A280="",NOT(AND(ISNUMBER(C280),ISNUMBER(D280)))),"",IF(D280-C280+1&gt;30,"⚠ Período acima de 30 dias",IF(COUNTIFS($B$2:$B$301,B280,$C$2:$C$301,"&lt;="&amp;D280,$D$2:$D$301,"&gt;="&amp;C280)&gt;1,"⚠ Coincide com férias de outro do setor","")))</f>
        <v/>
      </c>
      <c r="K280" s="0" t="str">
        <f aca="true">IF(AND(ISNUMBER(C280),ISNUMBER(D280),C280&lt;=TODAY(),D280&gt;=TODAY()),D280+ROW()/100000,"")</f>
        <v/>
      </c>
      <c r="L280" s="0" t="str">
        <f aca="true">IF(AND(ISNUMBER(C280),C280&gt;TODAY(),C280&lt;=TODAY()+30),C280+ROW()/100000,"")</f>
        <v/>
      </c>
      <c r="M280" s="0" t="str">
        <f aca="false">IF(AND(ISNUMBER(C280),ISNUMBER(D280),C280&lt;=CALENDÁRIO!$L$4,D280&gt;=CALENDÁRIO!$L$4),ROW(),"")</f>
        <v/>
      </c>
    </row>
    <row r="281" customFormat="false" ht="15" hidden="false" customHeight="true" outlineLevel="0" collapsed="false">
      <c r="A281" s="54"/>
      <c r="B281" s="54"/>
      <c r="C281" s="53"/>
      <c r="D281" s="53"/>
      <c r="E281" s="64"/>
      <c r="F281" s="65" t="str">
        <f aca="false">IF(AND(ISNUMBER(C281),ISNUMBER(D281),D281&gt;=C281),D281-C281+1,"")</f>
        <v/>
      </c>
      <c r="G281" s="66" t="str">
        <f aca="false">IF(AND(ISNUMBER(C281),ISNUMBER(D281),D281&gt;=C281),WORKDAY(D281,1),"")</f>
        <v/>
      </c>
      <c r="H281" s="55" t="str">
        <f aca="true">IF(A281="","",IF(NOT(AND(ISNUMBER(C281),ISNUMBER(D281))),"Sem data definida",IF(D281&lt;C281,"⚠ Datas invertidas",IF(TODAY()&lt;C281,IF(C281-TODAY()=1,"Começa amanhã","Começa em "&amp;(C281-TODAY())&amp;" dias"),IF(TODAY()&gt;D281,"Concluídas",IF(TODAY()=D281,"EM FÉRIAS (último dia)","EM FÉRIAS (faltam "&amp;(D281-TODAY())&amp;" dias)"))))))</f>
        <v/>
      </c>
      <c r="I281" s="55" t="str">
        <f aca="false">IF(OR(A281="",NOT(AND(ISNUMBER(C281),ISNUMBER(D281)))),"",IF(D281-C281+1&gt;30,"⚠ Período acima de 30 dias",IF(COUNTIFS($B$2:$B$301,B281,$C$2:$C$301,"&lt;="&amp;D281,$D$2:$D$301,"&gt;="&amp;C281)&gt;1,"⚠ Coincide com férias de outro do setor","")))</f>
        <v/>
      </c>
      <c r="K281" s="0" t="str">
        <f aca="true">IF(AND(ISNUMBER(C281),ISNUMBER(D281),C281&lt;=TODAY(),D281&gt;=TODAY()),D281+ROW()/100000,"")</f>
        <v/>
      </c>
      <c r="L281" s="0" t="str">
        <f aca="true">IF(AND(ISNUMBER(C281),C281&gt;TODAY(),C281&lt;=TODAY()+30),C281+ROW()/100000,"")</f>
        <v/>
      </c>
      <c r="M281" s="0" t="str">
        <f aca="false">IF(AND(ISNUMBER(C281),ISNUMBER(D281),C281&lt;=CALENDÁRIO!$L$4,D281&gt;=CALENDÁRIO!$L$4),ROW(),"")</f>
        <v/>
      </c>
    </row>
    <row r="282" customFormat="false" ht="15" hidden="false" customHeight="true" outlineLevel="0" collapsed="false">
      <c r="A282" s="54"/>
      <c r="B282" s="54"/>
      <c r="C282" s="53"/>
      <c r="D282" s="53"/>
      <c r="E282" s="64"/>
      <c r="F282" s="65" t="str">
        <f aca="false">IF(AND(ISNUMBER(C282),ISNUMBER(D282),D282&gt;=C282),D282-C282+1,"")</f>
        <v/>
      </c>
      <c r="G282" s="66" t="str">
        <f aca="false">IF(AND(ISNUMBER(C282),ISNUMBER(D282),D282&gt;=C282),WORKDAY(D282,1),"")</f>
        <v/>
      </c>
      <c r="H282" s="55" t="str">
        <f aca="true">IF(A282="","",IF(NOT(AND(ISNUMBER(C282),ISNUMBER(D282))),"Sem data definida",IF(D282&lt;C282,"⚠ Datas invertidas",IF(TODAY()&lt;C282,IF(C282-TODAY()=1,"Começa amanhã","Começa em "&amp;(C282-TODAY())&amp;" dias"),IF(TODAY()&gt;D282,"Concluídas",IF(TODAY()=D282,"EM FÉRIAS (último dia)","EM FÉRIAS (faltam "&amp;(D282-TODAY())&amp;" dias)"))))))</f>
        <v/>
      </c>
      <c r="I282" s="55" t="str">
        <f aca="false">IF(OR(A282="",NOT(AND(ISNUMBER(C282),ISNUMBER(D282)))),"",IF(D282-C282+1&gt;30,"⚠ Período acima de 30 dias",IF(COUNTIFS($B$2:$B$301,B282,$C$2:$C$301,"&lt;="&amp;D282,$D$2:$D$301,"&gt;="&amp;C282)&gt;1,"⚠ Coincide com férias de outro do setor","")))</f>
        <v/>
      </c>
      <c r="K282" s="0" t="str">
        <f aca="true">IF(AND(ISNUMBER(C282),ISNUMBER(D282),C282&lt;=TODAY(),D282&gt;=TODAY()),D282+ROW()/100000,"")</f>
        <v/>
      </c>
      <c r="L282" s="0" t="str">
        <f aca="true">IF(AND(ISNUMBER(C282),C282&gt;TODAY(),C282&lt;=TODAY()+30),C282+ROW()/100000,"")</f>
        <v/>
      </c>
      <c r="M282" s="0" t="str">
        <f aca="false">IF(AND(ISNUMBER(C282),ISNUMBER(D282),C282&lt;=CALENDÁRIO!$L$4,D282&gt;=CALENDÁRIO!$L$4),ROW(),"")</f>
        <v/>
      </c>
    </row>
    <row r="283" customFormat="false" ht="15" hidden="false" customHeight="true" outlineLevel="0" collapsed="false">
      <c r="A283" s="54"/>
      <c r="B283" s="54"/>
      <c r="C283" s="53"/>
      <c r="D283" s="53"/>
      <c r="E283" s="64"/>
      <c r="F283" s="65" t="str">
        <f aca="false">IF(AND(ISNUMBER(C283),ISNUMBER(D283),D283&gt;=C283),D283-C283+1,"")</f>
        <v/>
      </c>
      <c r="G283" s="66" t="str">
        <f aca="false">IF(AND(ISNUMBER(C283),ISNUMBER(D283),D283&gt;=C283),WORKDAY(D283,1),"")</f>
        <v/>
      </c>
      <c r="H283" s="55" t="str">
        <f aca="true">IF(A283="","",IF(NOT(AND(ISNUMBER(C283),ISNUMBER(D283))),"Sem data definida",IF(D283&lt;C283,"⚠ Datas invertidas",IF(TODAY()&lt;C283,IF(C283-TODAY()=1,"Começa amanhã","Começa em "&amp;(C283-TODAY())&amp;" dias"),IF(TODAY()&gt;D283,"Concluídas",IF(TODAY()=D283,"EM FÉRIAS (último dia)","EM FÉRIAS (faltam "&amp;(D283-TODAY())&amp;" dias)"))))))</f>
        <v/>
      </c>
      <c r="I283" s="55" t="str">
        <f aca="false">IF(OR(A283="",NOT(AND(ISNUMBER(C283),ISNUMBER(D283)))),"",IF(D283-C283+1&gt;30,"⚠ Período acima de 30 dias",IF(COUNTIFS($B$2:$B$301,B283,$C$2:$C$301,"&lt;="&amp;D283,$D$2:$D$301,"&gt;="&amp;C283)&gt;1,"⚠ Coincide com férias de outro do setor","")))</f>
        <v/>
      </c>
      <c r="K283" s="0" t="str">
        <f aca="true">IF(AND(ISNUMBER(C283),ISNUMBER(D283),C283&lt;=TODAY(),D283&gt;=TODAY()),D283+ROW()/100000,"")</f>
        <v/>
      </c>
      <c r="L283" s="0" t="str">
        <f aca="true">IF(AND(ISNUMBER(C283),C283&gt;TODAY(),C283&lt;=TODAY()+30),C283+ROW()/100000,"")</f>
        <v/>
      </c>
      <c r="M283" s="0" t="str">
        <f aca="false">IF(AND(ISNUMBER(C283),ISNUMBER(D283),C283&lt;=CALENDÁRIO!$L$4,D283&gt;=CALENDÁRIO!$L$4),ROW(),"")</f>
        <v/>
      </c>
    </row>
    <row r="284" customFormat="false" ht="15" hidden="false" customHeight="true" outlineLevel="0" collapsed="false">
      <c r="A284" s="54"/>
      <c r="B284" s="54"/>
      <c r="C284" s="53"/>
      <c r="D284" s="53"/>
      <c r="E284" s="64"/>
      <c r="F284" s="65" t="str">
        <f aca="false">IF(AND(ISNUMBER(C284),ISNUMBER(D284),D284&gt;=C284),D284-C284+1,"")</f>
        <v/>
      </c>
      <c r="G284" s="66" t="str">
        <f aca="false">IF(AND(ISNUMBER(C284),ISNUMBER(D284),D284&gt;=C284),WORKDAY(D284,1),"")</f>
        <v/>
      </c>
      <c r="H284" s="55" t="str">
        <f aca="true">IF(A284="","",IF(NOT(AND(ISNUMBER(C284),ISNUMBER(D284))),"Sem data definida",IF(D284&lt;C284,"⚠ Datas invertidas",IF(TODAY()&lt;C284,IF(C284-TODAY()=1,"Começa amanhã","Começa em "&amp;(C284-TODAY())&amp;" dias"),IF(TODAY()&gt;D284,"Concluídas",IF(TODAY()=D284,"EM FÉRIAS (último dia)","EM FÉRIAS (faltam "&amp;(D284-TODAY())&amp;" dias)"))))))</f>
        <v/>
      </c>
      <c r="I284" s="55" t="str">
        <f aca="false">IF(OR(A284="",NOT(AND(ISNUMBER(C284),ISNUMBER(D284)))),"",IF(D284-C284+1&gt;30,"⚠ Período acima de 30 dias",IF(COUNTIFS($B$2:$B$301,B284,$C$2:$C$301,"&lt;="&amp;D284,$D$2:$D$301,"&gt;="&amp;C284)&gt;1,"⚠ Coincide com férias de outro do setor","")))</f>
        <v/>
      </c>
      <c r="K284" s="0" t="str">
        <f aca="true">IF(AND(ISNUMBER(C284),ISNUMBER(D284),C284&lt;=TODAY(),D284&gt;=TODAY()),D284+ROW()/100000,"")</f>
        <v/>
      </c>
      <c r="L284" s="0" t="str">
        <f aca="true">IF(AND(ISNUMBER(C284),C284&gt;TODAY(),C284&lt;=TODAY()+30),C284+ROW()/100000,"")</f>
        <v/>
      </c>
      <c r="M284" s="0" t="str">
        <f aca="false">IF(AND(ISNUMBER(C284),ISNUMBER(D284),C284&lt;=CALENDÁRIO!$L$4,D284&gt;=CALENDÁRIO!$L$4),ROW(),"")</f>
        <v/>
      </c>
    </row>
    <row r="285" customFormat="false" ht="15" hidden="false" customHeight="true" outlineLevel="0" collapsed="false">
      <c r="A285" s="54"/>
      <c r="B285" s="54"/>
      <c r="C285" s="53"/>
      <c r="D285" s="53"/>
      <c r="E285" s="64"/>
      <c r="F285" s="65" t="str">
        <f aca="false">IF(AND(ISNUMBER(C285),ISNUMBER(D285),D285&gt;=C285),D285-C285+1,"")</f>
        <v/>
      </c>
      <c r="G285" s="66" t="str">
        <f aca="false">IF(AND(ISNUMBER(C285),ISNUMBER(D285),D285&gt;=C285),WORKDAY(D285,1),"")</f>
        <v/>
      </c>
      <c r="H285" s="55" t="str">
        <f aca="true">IF(A285="","",IF(NOT(AND(ISNUMBER(C285),ISNUMBER(D285))),"Sem data definida",IF(D285&lt;C285,"⚠ Datas invertidas",IF(TODAY()&lt;C285,IF(C285-TODAY()=1,"Começa amanhã","Começa em "&amp;(C285-TODAY())&amp;" dias"),IF(TODAY()&gt;D285,"Concluídas",IF(TODAY()=D285,"EM FÉRIAS (último dia)","EM FÉRIAS (faltam "&amp;(D285-TODAY())&amp;" dias)"))))))</f>
        <v/>
      </c>
      <c r="I285" s="55" t="str">
        <f aca="false">IF(OR(A285="",NOT(AND(ISNUMBER(C285),ISNUMBER(D285)))),"",IF(D285-C285+1&gt;30,"⚠ Período acima de 30 dias",IF(COUNTIFS($B$2:$B$301,B285,$C$2:$C$301,"&lt;="&amp;D285,$D$2:$D$301,"&gt;="&amp;C285)&gt;1,"⚠ Coincide com férias de outro do setor","")))</f>
        <v/>
      </c>
      <c r="K285" s="0" t="str">
        <f aca="true">IF(AND(ISNUMBER(C285),ISNUMBER(D285),C285&lt;=TODAY(),D285&gt;=TODAY()),D285+ROW()/100000,"")</f>
        <v/>
      </c>
      <c r="L285" s="0" t="str">
        <f aca="true">IF(AND(ISNUMBER(C285),C285&gt;TODAY(),C285&lt;=TODAY()+30),C285+ROW()/100000,"")</f>
        <v/>
      </c>
      <c r="M285" s="0" t="str">
        <f aca="false">IF(AND(ISNUMBER(C285),ISNUMBER(D285),C285&lt;=CALENDÁRIO!$L$4,D285&gt;=CALENDÁRIO!$L$4),ROW(),"")</f>
        <v/>
      </c>
    </row>
    <row r="286" customFormat="false" ht="15" hidden="false" customHeight="true" outlineLevel="0" collapsed="false">
      <c r="A286" s="54"/>
      <c r="B286" s="54"/>
      <c r="C286" s="53"/>
      <c r="D286" s="53"/>
      <c r="E286" s="64"/>
      <c r="F286" s="65" t="str">
        <f aca="false">IF(AND(ISNUMBER(C286),ISNUMBER(D286),D286&gt;=C286),D286-C286+1,"")</f>
        <v/>
      </c>
      <c r="G286" s="66" t="str">
        <f aca="false">IF(AND(ISNUMBER(C286),ISNUMBER(D286),D286&gt;=C286),WORKDAY(D286,1),"")</f>
        <v/>
      </c>
      <c r="H286" s="55" t="str">
        <f aca="true">IF(A286="","",IF(NOT(AND(ISNUMBER(C286),ISNUMBER(D286))),"Sem data definida",IF(D286&lt;C286,"⚠ Datas invertidas",IF(TODAY()&lt;C286,IF(C286-TODAY()=1,"Começa amanhã","Começa em "&amp;(C286-TODAY())&amp;" dias"),IF(TODAY()&gt;D286,"Concluídas",IF(TODAY()=D286,"EM FÉRIAS (último dia)","EM FÉRIAS (faltam "&amp;(D286-TODAY())&amp;" dias)"))))))</f>
        <v/>
      </c>
      <c r="I286" s="55" t="str">
        <f aca="false">IF(OR(A286="",NOT(AND(ISNUMBER(C286),ISNUMBER(D286)))),"",IF(D286-C286+1&gt;30,"⚠ Período acima de 30 dias",IF(COUNTIFS($B$2:$B$301,B286,$C$2:$C$301,"&lt;="&amp;D286,$D$2:$D$301,"&gt;="&amp;C286)&gt;1,"⚠ Coincide com férias de outro do setor","")))</f>
        <v/>
      </c>
      <c r="K286" s="0" t="str">
        <f aca="true">IF(AND(ISNUMBER(C286),ISNUMBER(D286),C286&lt;=TODAY(),D286&gt;=TODAY()),D286+ROW()/100000,"")</f>
        <v/>
      </c>
      <c r="L286" s="0" t="str">
        <f aca="true">IF(AND(ISNUMBER(C286),C286&gt;TODAY(),C286&lt;=TODAY()+30),C286+ROW()/100000,"")</f>
        <v/>
      </c>
      <c r="M286" s="0" t="str">
        <f aca="false">IF(AND(ISNUMBER(C286),ISNUMBER(D286),C286&lt;=CALENDÁRIO!$L$4,D286&gt;=CALENDÁRIO!$L$4),ROW(),"")</f>
        <v/>
      </c>
    </row>
    <row r="287" customFormat="false" ht="15" hidden="false" customHeight="true" outlineLevel="0" collapsed="false">
      <c r="A287" s="54"/>
      <c r="B287" s="54"/>
      <c r="C287" s="53"/>
      <c r="D287" s="53"/>
      <c r="E287" s="64"/>
      <c r="F287" s="65" t="str">
        <f aca="false">IF(AND(ISNUMBER(C287),ISNUMBER(D287),D287&gt;=C287),D287-C287+1,"")</f>
        <v/>
      </c>
      <c r="G287" s="66" t="str">
        <f aca="false">IF(AND(ISNUMBER(C287),ISNUMBER(D287),D287&gt;=C287),WORKDAY(D287,1),"")</f>
        <v/>
      </c>
      <c r="H287" s="55" t="str">
        <f aca="true">IF(A287="","",IF(NOT(AND(ISNUMBER(C287),ISNUMBER(D287))),"Sem data definida",IF(D287&lt;C287,"⚠ Datas invertidas",IF(TODAY()&lt;C287,IF(C287-TODAY()=1,"Começa amanhã","Começa em "&amp;(C287-TODAY())&amp;" dias"),IF(TODAY()&gt;D287,"Concluídas",IF(TODAY()=D287,"EM FÉRIAS (último dia)","EM FÉRIAS (faltam "&amp;(D287-TODAY())&amp;" dias)"))))))</f>
        <v/>
      </c>
      <c r="I287" s="55" t="str">
        <f aca="false">IF(OR(A287="",NOT(AND(ISNUMBER(C287),ISNUMBER(D287)))),"",IF(D287-C287+1&gt;30,"⚠ Período acima de 30 dias",IF(COUNTIFS($B$2:$B$301,B287,$C$2:$C$301,"&lt;="&amp;D287,$D$2:$D$301,"&gt;="&amp;C287)&gt;1,"⚠ Coincide com férias de outro do setor","")))</f>
        <v/>
      </c>
      <c r="K287" s="0" t="str">
        <f aca="true">IF(AND(ISNUMBER(C287),ISNUMBER(D287),C287&lt;=TODAY(),D287&gt;=TODAY()),D287+ROW()/100000,"")</f>
        <v/>
      </c>
      <c r="L287" s="0" t="str">
        <f aca="true">IF(AND(ISNUMBER(C287),C287&gt;TODAY(),C287&lt;=TODAY()+30),C287+ROW()/100000,"")</f>
        <v/>
      </c>
      <c r="M287" s="0" t="str">
        <f aca="false">IF(AND(ISNUMBER(C287),ISNUMBER(D287),C287&lt;=CALENDÁRIO!$L$4,D287&gt;=CALENDÁRIO!$L$4),ROW(),"")</f>
        <v/>
      </c>
    </row>
    <row r="288" customFormat="false" ht="15" hidden="false" customHeight="true" outlineLevel="0" collapsed="false">
      <c r="A288" s="54"/>
      <c r="B288" s="54"/>
      <c r="C288" s="53"/>
      <c r="D288" s="53"/>
      <c r="E288" s="64"/>
      <c r="F288" s="65" t="str">
        <f aca="false">IF(AND(ISNUMBER(C288),ISNUMBER(D288),D288&gt;=C288),D288-C288+1,"")</f>
        <v/>
      </c>
      <c r="G288" s="66" t="str">
        <f aca="false">IF(AND(ISNUMBER(C288),ISNUMBER(D288),D288&gt;=C288),WORKDAY(D288,1),"")</f>
        <v/>
      </c>
      <c r="H288" s="55" t="str">
        <f aca="true">IF(A288="","",IF(NOT(AND(ISNUMBER(C288),ISNUMBER(D288))),"Sem data definida",IF(D288&lt;C288,"⚠ Datas invertidas",IF(TODAY()&lt;C288,IF(C288-TODAY()=1,"Começa amanhã","Começa em "&amp;(C288-TODAY())&amp;" dias"),IF(TODAY()&gt;D288,"Concluídas",IF(TODAY()=D288,"EM FÉRIAS (último dia)","EM FÉRIAS (faltam "&amp;(D288-TODAY())&amp;" dias)"))))))</f>
        <v/>
      </c>
      <c r="I288" s="55" t="str">
        <f aca="false">IF(OR(A288="",NOT(AND(ISNUMBER(C288),ISNUMBER(D288)))),"",IF(D288-C288+1&gt;30,"⚠ Período acima de 30 dias",IF(COUNTIFS($B$2:$B$301,B288,$C$2:$C$301,"&lt;="&amp;D288,$D$2:$D$301,"&gt;="&amp;C288)&gt;1,"⚠ Coincide com férias de outro do setor","")))</f>
        <v/>
      </c>
      <c r="K288" s="0" t="str">
        <f aca="true">IF(AND(ISNUMBER(C288),ISNUMBER(D288),C288&lt;=TODAY(),D288&gt;=TODAY()),D288+ROW()/100000,"")</f>
        <v/>
      </c>
      <c r="L288" s="0" t="str">
        <f aca="true">IF(AND(ISNUMBER(C288),C288&gt;TODAY(),C288&lt;=TODAY()+30),C288+ROW()/100000,"")</f>
        <v/>
      </c>
      <c r="M288" s="0" t="str">
        <f aca="false">IF(AND(ISNUMBER(C288),ISNUMBER(D288),C288&lt;=CALENDÁRIO!$L$4,D288&gt;=CALENDÁRIO!$L$4),ROW(),"")</f>
        <v/>
      </c>
    </row>
    <row r="289" customFormat="false" ht="15" hidden="false" customHeight="true" outlineLevel="0" collapsed="false">
      <c r="A289" s="54"/>
      <c r="B289" s="54"/>
      <c r="C289" s="53"/>
      <c r="D289" s="53"/>
      <c r="E289" s="64"/>
      <c r="F289" s="65" t="str">
        <f aca="false">IF(AND(ISNUMBER(C289),ISNUMBER(D289),D289&gt;=C289),D289-C289+1,"")</f>
        <v/>
      </c>
      <c r="G289" s="66" t="str">
        <f aca="false">IF(AND(ISNUMBER(C289),ISNUMBER(D289),D289&gt;=C289),WORKDAY(D289,1),"")</f>
        <v/>
      </c>
      <c r="H289" s="55" t="str">
        <f aca="true">IF(A289="","",IF(NOT(AND(ISNUMBER(C289),ISNUMBER(D289))),"Sem data definida",IF(D289&lt;C289,"⚠ Datas invertidas",IF(TODAY()&lt;C289,IF(C289-TODAY()=1,"Começa amanhã","Começa em "&amp;(C289-TODAY())&amp;" dias"),IF(TODAY()&gt;D289,"Concluídas",IF(TODAY()=D289,"EM FÉRIAS (último dia)","EM FÉRIAS (faltam "&amp;(D289-TODAY())&amp;" dias)"))))))</f>
        <v/>
      </c>
      <c r="I289" s="55" t="str">
        <f aca="false">IF(OR(A289="",NOT(AND(ISNUMBER(C289),ISNUMBER(D289)))),"",IF(D289-C289+1&gt;30,"⚠ Período acima de 30 dias",IF(COUNTIFS($B$2:$B$301,B289,$C$2:$C$301,"&lt;="&amp;D289,$D$2:$D$301,"&gt;="&amp;C289)&gt;1,"⚠ Coincide com férias de outro do setor","")))</f>
        <v/>
      </c>
      <c r="K289" s="0" t="str">
        <f aca="true">IF(AND(ISNUMBER(C289),ISNUMBER(D289),C289&lt;=TODAY(),D289&gt;=TODAY()),D289+ROW()/100000,"")</f>
        <v/>
      </c>
      <c r="L289" s="0" t="str">
        <f aca="true">IF(AND(ISNUMBER(C289),C289&gt;TODAY(),C289&lt;=TODAY()+30),C289+ROW()/100000,"")</f>
        <v/>
      </c>
      <c r="M289" s="0" t="str">
        <f aca="false">IF(AND(ISNUMBER(C289),ISNUMBER(D289),C289&lt;=CALENDÁRIO!$L$4,D289&gt;=CALENDÁRIO!$L$4),ROW(),"")</f>
        <v/>
      </c>
    </row>
    <row r="290" customFormat="false" ht="15" hidden="false" customHeight="true" outlineLevel="0" collapsed="false">
      <c r="A290" s="54"/>
      <c r="B290" s="54"/>
      <c r="C290" s="53"/>
      <c r="D290" s="53"/>
      <c r="E290" s="64"/>
      <c r="F290" s="65" t="str">
        <f aca="false">IF(AND(ISNUMBER(C290),ISNUMBER(D290),D290&gt;=C290),D290-C290+1,"")</f>
        <v/>
      </c>
      <c r="G290" s="66" t="str">
        <f aca="false">IF(AND(ISNUMBER(C290),ISNUMBER(D290),D290&gt;=C290),WORKDAY(D290,1),"")</f>
        <v/>
      </c>
      <c r="H290" s="55" t="str">
        <f aca="true">IF(A290="","",IF(NOT(AND(ISNUMBER(C290),ISNUMBER(D290))),"Sem data definida",IF(D290&lt;C290,"⚠ Datas invertidas",IF(TODAY()&lt;C290,IF(C290-TODAY()=1,"Começa amanhã","Começa em "&amp;(C290-TODAY())&amp;" dias"),IF(TODAY()&gt;D290,"Concluídas",IF(TODAY()=D290,"EM FÉRIAS (último dia)","EM FÉRIAS (faltam "&amp;(D290-TODAY())&amp;" dias)"))))))</f>
        <v/>
      </c>
      <c r="I290" s="55" t="str">
        <f aca="false">IF(OR(A290="",NOT(AND(ISNUMBER(C290),ISNUMBER(D290)))),"",IF(D290-C290+1&gt;30,"⚠ Período acima de 30 dias",IF(COUNTIFS($B$2:$B$301,B290,$C$2:$C$301,"&lt;="&amp;D290,$D$2:$D$301,"&gt;="&amp;C290)&gt;1,"⚠ Coincide com férias de outro do setor","")))</f>
        <v/>
      </c>
      <c r="K290" s="0" t="str">
        <f aca="true">IF(AND(ISNUMBER(C290),ISNUMBER(D290),C290&lt;=TODAY(),D290&gt;=TODAY()),D290+ROW()/100000,"")</f>
        <v/>
      </c>
      <c r="L290" s="0" t="str">
        <f aca="true">IF(AND(ISNUMBER(C290),C290&gt;TODAY(),C290&lt;=TODAY()+30),C290+ROW()/100000,"")</f>
        <v/>
      </c>
      <c r="M290" s="0" t="str">
        <f aca="false">IF(AND(ISNUMBER(C290),ISNUMBER(D290),C290&lt;=CALENDÁRIO!$L$4,D290&gt;=CALENDÁRIO!$L$4),ROW(),"")</f>
        <v/>
      </c>
    </row>
    <row r="291" customFormat="false" ht="15" hidden="false" customHeight="true" outlineLevel="0" collapsed="false">
      <c r="A291" s="54"/>
      <c r="B291" s="54"/>
      <c r="C291" s="53"/>
      <c r="D291" s="53"/>
      <c r="E291" s="64"/>
      <c r="F291" s="65" t="str">
        <f aca="false">IF(AND(ISNUMBER(C291),ISNUMBER(D291),D291&gt;=C291),D291-C291+1,"")</f>
        <v/>
      </c>
      <c r="G291" s="66" t="str">
        <f aca="false">IF(AND(ISNUMBER(C291),ISNUMBER(D291),D291&gt;=C291),WORKDAY(D291,1),"")</f>
        <v/>
      </c>
      <c r="H291" s="55" t="str">
        <f aca="true">IF(A291="","",IF(NOT(AND(ISNUMBER(C291),ISNUMBER(D291))),"Sem data definida",IF(D291&lt;C291,"⚠ Datas invertidas",IF(TODAY()&lt;C291,IF(C291-TODAY()=1,"Começa amanhã","Começa em "&amp;(C291-TODAY())&amp;" dias"),IF(TODAY()&gt;D291,"Concluídas",IF(TODAY()=D291,"EM FÉRIAS (último dia)","EM FÉRIAS (faltam "&amp;(D291-TODAY())&amp;" dias)"))))))</f>
        <v/>
      </c>
      <c r="I291" s="55" t="str">
        <f aca="false">IF(OR(A291="",NOT(AND(ISNUMBER(C291),ISNUMBER(D291)))),"",IF(D291-C291+1&gt;30,"⚠ Período acima de 30 dias",IF(COUNTIFS($B$2:$B$301,B291,$C$2:$C$301,"&lt;="&amp;D291,$D$2:$D$301,"&gt;="&amp;C291)&gt;1,"⚠ Coincide com férias de outro do setor","")))</f>
        <v/>
      </c>
      <c r="K291" s="0" t="str">
        <f aca="true">IF(AND(ISNUMBER(C291),ISNUMBER(D291),C291&lt;=TODAY(),D291&gt;=TODAY()),D291+ROW()/100000,"")</f>
        <v/>
      </c>
      <c r="L291" s="0" t="str">
        <f aca="true">IF(AND(ISNUMBER(C291),C291&gt;TODAY(),C291&lt;=TODAY()+30),C291+ROW()/100000,"")</f>
        <v/>
      </c>
      <c r="M291" s="0" t="str">
        <f aca="false">IF(AND(ISNUMBER(C291),ISNUMBER(D291),C291&lt;=CALENDÁRIO!$L$4,D291&gt;=CALENDÁRIO!$L$4),ROW(),"")</f>
        <v/>
      </c>
    </row>
    <row r="292" customFormat="false" ht="15" hidden="false" customHeight="true" outlineLevel="0" collapsed="false">
      <c r="A292" s="54"/>
      <c r="B292" s="54"/>
      <c r="C292" s="53"/>
      <c r="D292" s="53"/>
      <c r="E292" s="64"/>
      <c r="F292" s="65" t="str">
        <f aca="false">IF(AND(ISNUMBER(C292),ISNUMBER(D292),D292&gt;=C292),D292-C292+1,"")</f>
        <v/>
      </c>
      <c r="G292" s="66" t="str">
        <f aca="false">IF(AND(ISNUMBER(C292),ISNUMBER(D292),D292&gt;=C292),WORKDAY(D292,1),"")</f>
        <v/>
      </c>
      <c r="H292" s="55" t="str">
        <f aca="true">IF(A292="","",IF(NOT(AND(ISNUMBER(C292),ISNUMBER(D292))),"Sem data definida",IF(D292&lt;C292,"⚠ Datas invertidas",IF(TODAY()&lt;C292,IF(C292-TODAY()=1,"Começa amanhã","Começa em "&amp;(C292-TODAY())&amp;" dias"),IF(TODAY()&gt;D292,"Concluídas",IF(TODAY()=D292,"EM FÉRIAS (último dia)","EM FÉRIAS (faltam "&amp;(D292-TODAY())&amp;" dias)"))))))</f>
        <v/>
      </c>
      <c r="I292" s="55" t="str">
        <f aca="false">IF(OR(A292="",NOT(AND(ISNUMBER(C292),ISNUMBER(D292)))),"",IF(D292-C292+1&gt;30,"⚠ Período acima de 30 dias",IF(COUNTIFS($B$2:$B$301,B292,$C$2:$C$301,"&lt;="&amp;D292,$D$2:$D$301,"&gt;="&amp;C292)&gt;1,"⚠ Coincide com férias de outro do setor","")))</f>
        <v/>
      </c>
      <c r="K292" s="0" t="str">
        <f aca="true">IF(AND(ISNUMBER(C292),ISNUMBER(D292),C292&lt;=TODAY(),D292&gt;=TODAY()),D292+ROW()/100000,"")</f>
        <v/>
      </c>
      <c r="L292" s="0" t="str">
        <f aca="true">IF(AND(ISNUMBER(C292),C292&gt;TODAY(),C292&lt;=TODAY()+30),C292+ROW()/100000,"")</f>
        <v/>
      </c>
      <c r="M292" s="0" t="str">
        <f aca="false">IF(AND(ISNUMBER(C292),ISNUMBER(D292),C292&lt;=CALENDÁRIO!$L$4,D292&gt;=CALENDÁRIO!$L$4),ROW(),"")</f>
        <v/>
      </c>
    </row>
    <row r="293" customFormat="false" ht="15" hidden="false" customHeight="true" outlineLevel="0" collapsed="false">
      <c r="A293" s="54"/>
      <c r="B293" s="54"/>
      <c r="C293" s="53"/>
      <c r="D293" s="53"/>
      <c r="E293" s="64"/>
      <c r="F293" s="65" t="str">
        <f aca="false">IF(AND(ISNUMBER(C293),ISNUMBER(D293),D293&gt;=C293),D293-C293+1,"")</f>
        <v/>
      </c>
      <c r="G293" s="66" t="str">
        <f aca="false">IF(AND(ISNUMBER(C293),ISNUMBER(D293),D293&gt;=C293),WORKDAY(D293,1),"")</f>
        <v/>
      </c>
      <c r="H293" s="55" t="str">
        <f aca="true">IF(A293="","",IF(NOT(AND(ISNUMBER(C293),ISNUMBER(D293))),"Sem data definida",IF(D293&lt;C293,"⚠ Datas invertidas",IF(TODAY()&lt;C293,IF(C293-TODAY()=1,"Começa amanhã","Começa em "&amp;(C293-TODAY())&amp;" dias"),IF(TODAY()&gt;D293,"Concluídas",IF(TODAY()=D293,"EM FÉRIAS (último dia)","EM FÉRIAS (faltam "&amp;(D293-TODAY())&amp;" dias)"))))))</f>
        <v/>
      </c>
      <c r="I293" s="55" t="str">
        <f aca="false">IF(OR(A293="",NOT(AND(ISNUMBER(C293),ISNUMBER(D293)))),"",IF(D293-C293+1&gt;30,"⚠ Período acima de 30 dias",IF(COUNTIFS($B$2:$B$301,B293,$C$2:$C$301,"&lt;="&amp;D293,$D$2:$D$301,"&gt;="&amp;C293)&gt;1,"⚠ Coincide com férias de outro do setor","")))</f>
        <v/>
      </c>
      <c r="K293" s="0" t="str">
        <f aca="true">IF(AND(ISNUMBER(C293),ISNUMBER(D293),C293&lt;=TODAY(),D293&gt;=TODAY()),D293+ROW()/100000,"")</f>
        <v/>
      </c>
      <c r="L293" s="0" t="str">
        <f aca="true">IF(AND(ISNUMBER(C293),C293&gt;TODAY(),C293&lt;=TODAY()+30),C293+ROW()/100000,"")</f>
        <v/>
      </c>
      <c r="M293" s="0" t="str">
        <f aca="false">IF(AND(ISNUMBER(C293),ISNUMBER(D293),C293&lt;=CALENDÁRIO!$L$4,D293&gt;=CALENDÁRIO!$L$4),ROW(),"")</f>
        <v/>
      </c>
    </row>
    <row r="294" customFormat="false" ht="15" hidden="false" customHeight="true" outlineLevel="0" collapsed="false">
      <c r="A294" s="54"/>
      <c r="B294" s="54"/>
      <c r="C294" s="53"/>
      <c r="D294" s="53"/>
      <c r="E294" s="64"/>
      <c r="F294" s="65" t="str">
        <f aca="false">IF(AND(ISNUMBER(C294),ISNUMBER(D294),D294&gt;=C294),D294-C294+1,"")</f>
        <v/>
      </c>
      <c r="G294" s="66" t="str">
        <f aca="false">IF(AND(ISNUMBER(C294),ISNUMBER(D294),D294&gt;=C294),WORKDAY(D294,1),"")</f>
        <v/>
      </c>
      <c r="H294" s="55" t="str">
        <f aca="true">IF(A294="","",IF(NOT(AND(ISNUMBER(C294),ISNUMBER(D294))),"Sem data definida",IF(D294&lt;C294,"⚠ Datas invertidas",IF(TODAY()&lt;C294,IF(C294-TODAY()=1,"Começa amanhã","Começa em "&amp;(C294-TODAY())&amp;" dias"),IF(TODAY()&gt;D294,"Concluídas",IF(TODAY()=D294,"EM FÉRIAS (último dia)","EM FÉRIAS (faltam "&amp;(D294-TODAY())&amp;" dias)"))))))</f>
        <v/>
      </c>
      <c r="I294" s="55" t="str">
        <f aca="false">IF(OR(A294="",NOT(AND(ISNUMBER(C294),ISNUMBER(D294)))),"",IF(D294-C294+1&gt;30,"⚠ Período acima de 30 dias",IF(COUNTIFS($B$2:$B$301,B294,$C$2:$C$301,"&lt;="&amp;D294,$D$2:$D$301,"&gt;="&amp;C294)&gt;1,"⚠ Coincide com férias de outro do setor","")))</f>
        <v/>
      </c>
      <c r="K294" s="0" t="str">
        <f aca="true">IF(AND(ISNUMBER(C294),ISNUMBER(D294),C294&lt;=TODAY(),D294&gt;=TODAY()),D294+ROW()/100000,"")</f>
        <v/>
      </c>
      <c r="L294" s="0" t="str">
        <f aca="true">IF(AND(ISNUMBER(C294),C294&gt;TODAY(),C294&lt;=TODAY()+30),C294+ROW()/100000,"")</f>
        <v/>
      </c>
      <c r="M294" s="0" t="str">
        <f aca="false">IF(AND(ISNUMBER(C294),ISNUMBER(D294),C294&lt;=CALENDÁRIO!$L$4,D294&gt;=CALENDÁRIO!$L$4),ROW(),"")</f>
        <v/>
      </c>
    </row>
    <row r="295" customFormat="false" ht="15" hidden="false" customHeight="true" outlineLevel="0" collapsed="false">
      <c r="A295" s="54"/>
      <c r="B295" s="54"/>
      <c r="C295" s="53"/>
      <c r="D295" s="53"/>
      <c r="E295" s="64"/>
      <c r="F295" s="65" t="str">
        <f aca="false">IF(AND(ISNUMBER(C295),ISNUMBER(D295),D295&gt;=C295),D295-C295+1,"")</f>
        <v/>
      </c>
      <c r="G295" s="66" t="str">
        <f aca="false">IF(AND(ISNUMBER(C295),ISNUMBER(D295),D295&gt;=C295),WORKDAY(D295,1),"")</f>
        <v/>
      </c>
      <c r="H295" s="55" t="str">
        <f aca="true">IF(A295="","",IF(NOT(AND(ISNUMBER(C295),ISNUMBER(D295))),"Sem data definida",IF(D295&lt;C295,"⚠ Datas invertidas",IF(TODAY()&lt;C295,IF(C295-TODAY()=1,"Começa amanhã","Começa em "&amp;(C295-TODAY())&amp;" dias"),IF(TODAY()&gt;D295,"Concluídas",IF(TODAY()=D295,"EM FÉRIAS (último dia)","EM FÉRIAS (faltam "&amp;(D295-TODAY())&amp;" dias)"))))))</f>
        <v/>
      </c>
      <c r="I295" s="55" t="str">
        <f aca="false">IF(OR(A295="",NOT(AND(ISNUMBER(C295),ISNUMBER(D295)))),"",IF(D295-C295+1&gt;30,"⚠ Período acima de 30 dias",IF(COUNTIFS($B$2:$B$301,B295,$C$2:$C$301,"&lt;="&amp;D295,$D$2:$D$301,"&gt;="&amp;C295)&gt;1,"⚠ Coincide com férias de outro do setor","")))</f>
        <v/>
      </c>
      <c r="K295" s="0" t="str">
        <f aca="true">IF(AND(ISNUMBER(C295),ISNUMBER(D295),C295&lt;=TODAY(),D295&gt;=TODAY()),D295+ROW()/100000,"")</f>
        <v/>
      </c>
      <c r="L295" s="0" t="str">
        <f aca="true">IF(AND(ISNUMBER(C295),C295&gt;TODAY(),C295&lt;=TODAY()+30),C295+ROW()/100000,"")</f>
        <v/>
      </c>
      <c r="M295" s="0" t="str">
        <f aca="false">IF(AND(ISNUMBER(C295),ISNUMBER(D295),C295&lt;=CALENDÁRIO!$L$4,D295&gt;=CALENDÁRIO!$L$4),ROW(),"")</f>
        <v/>
      </c>
    </row>
    <row r="296" customFormat="false" ht="15" hidden="false" customHeight="true" outlineLevel="0" collapsed="false">
      <c r="A296" s="54"/>
      <c r="B296" s="54"/>
      <c r="C296" s="53"/>
      <c r="D296" s="53"/>
      <c r="E296" s="64"/>
      <c r="F296" s="65" t="str">
        <f aca="false">IF(AND(ISNUMBER(C296),ISNUMBER(D296),D296&gt;=C296),D296-C296+1,"")</f>
        <v/>
      </c>
      <c r="G296" s="66" t="str">
        <f aca="false">IF(AND(ISNUMBER(C296),ISNUMBER(D296),D296&gt;=C296),WORKDAY(D296,1),"")</f>
        <v/>
      </c>
      <c r="H296" s="55" t="str">
        <f aca="true">IF(A296="","",IF(NOT(AND(ISNUMBER(C296),ISNUMBER(D296))),"Sem data definida",IF(D296&lt;C296,"⚠ Datas invertidas",IF(TODAY()&lt;C296,IF(C296-TODAY()=1,"Começa amanhã","Começa em "&amp;(C296-TODAY())&amp;" dias"),IF(TODAY()&gt;D296,"Concluídas",IF(TODAY()=D296,"EM FÉRIAS (último dia)","EM FÉRIAS (faltam "&amp;(D296-TODAY())&amp;" dias)"))))))</f>
        <v/>
      </c>
      <c r="I296" s="55" t="str">
        <f aca="false">IF(OR(A296="",NOT(AND(ISNUMBER(C296),ISNUMBER(D296)))),"",IF(D296-C296+1&gt;30,"⚠ Período acima de 30 dias",IF(COUNTIFS($B$2:$B$301,B296,$C$2:$C$301,"&lt;="&amp;D296,$D$2:$D$301,"&gt;="&amp;C296)&gt;1,"⚠ Coincide com férias de outro do setor","")))</f>
        <v/>
      </c>
      <c r="K296" s="0" t="str">
        <f aca="true">IF(AND(ISNUMBER(C296),ISNUMBER(D296),C296&lt;=TODAY(),D296&gt;=TODAY()),D296+ROW()/100000,"")</f>
        <v/>
      </c>
      <c r="L296" s="0" t="str">
        <f aca="true">IF(AND(ISNUMBER(C296),C296&gt;TODAY(),C296&lt;=TODAY()+30),C296+ROW()/100000,"")</f>
        <v/>
      </c>
      <c r="M296" s="0" t="str">
        <f aca="false">IF(AND(ISNUMBER(C296),ISNUMBER(D296),C296&lt;=CALENDÁRIO!$L$4,D296&gt;=CALENDÁRIO!$L$4),ROW(),"")</f>
        <v/>
      </c>
    </row>
    <row r="297" customFormat="false" ht="15" hidden="false" customHeight="true" outlineLevel="0" collapsed="false">
      <c r="A297" s="54"/>
      <c r="B297" s="54"/>
      <c r="C297" s="53"/>
      <c r="D297" s="53"/>
      <c r="E297" s="64"/>
      <c r="F297" s="65" t="str">
        <f aca="false">IF(AND(ISNUMBER(C297),ISNUMBER(D297),D297&gt;=C297),D297-C297+1,"")</f>
        <v/>
      </c>
      <c r="G297" s="66" t="str">
        <f aca="false">IF(AND(ISNUMBER(C297),ISNUMBER(D297),D297&gt;=C297),WORKDAY(D297,1),"")</f>
        <v/>
      </c>
      <c r="H297" s="55" t="str">
        <f aca="true">IF(A297="","",IF(NOT(AND(ISNUMBER(C297),ISNUMBER(D297))),"Sem data definida",IF(D297&lt;C297,"⚠ Datas invertidas",IF(TODAY()&lt;C297,IF(C297-TODAY()=1,"Começa amanhã","Começa em "&amp;(C297-TODAY())&amp;" dias"),IF(TODAY()&gt;D297,"Concluídas",IF(TODAY()=D297,"EM FÉRIAS (último dia)","EM FÉRIAS (faltam "&amp;(D297-TODAY())&amp;" dias)"))))))</f>
        <v/>
      </c>
      <c r="I297" s="55" t="str">
        <f aca="false">IF(OR(A297="",NOT(AND(ISNUMBER(C297),ISNUMBER(D297)))),"",IF(D297-C297+1&gt;30,"⚠ Período acima de 30 dias",IF(COUNTIFS($B$2:$B$301,B297,$C$2:$C$301,"&lt;="&amp;D297,$D$2:$D$301,"&gt;="&amp;C297)&gt;1,"⚠ Coincide com férias de outro do setor","")))</f>
        <v/>
      </c>
      <c r="K297" s="0" t="str">
        <f aca="true">IF(AND(ISNUMBER(C297),ISNUMBER(D297),C297&lt;=TODAY(),D297&gt;=TODAY()),D297+ROW()/100000,"")</f>
        <v/>
      </c>
      <c r="L297" s="0" t="str">
        <f aca="true">IF(AND(ISNUMBER(C297),C297&gt;TODAY(),C297&lt;=TODAY()+30),C297+ROW()/100000,"")</f>
        <v/>
      </c>
      <c r="M297" s="0" t="str">
        <f aca="false">IF(AND(ISNUMBER(C297),ISNUMBER(D297),C297&lt;=CALENDÁRIO!$L$4,D297&gt;=CALENDÁRIO!$L$4),ROW(),"")</f>
        <v/>
      </c>
    </row>
    <row r="298" customFormat="false" ht="15" hidden="false" customHeight="true" outlineLevel="0" collapsed="false">
      <c r="A298" s="54"/>
      <c r="B298" s="54"/>
      <c r="C298" s="53"/>
      <c r="D298" s="53"/>
      <c r="E298" s="64"/>
      <c r="F298" s="65" t="str">
        <f aca="false">IF(AND(ISNUMBER(C298),ISNUMBER(D298),D298&gt;=C298),D298-C298+1,"")</f>
        <v/>
      </c>
      <c r="G298" s="66" t="str">
        <f aca="false">IF(AND(ISNUMBER(C298),ISNUMBER(D298),D298&gt;=C298),WORKDAY(D298,1),"")</f>
        <v/>
      </c>
      <c r="H298" s="55" t="str">
        <f aca="true">IF(A298="","",IF(NOT(AND(ISNUMBER(C298),ISNUMBER(D298))),"Sem data definida",IF(D298&lt;C298,"⚠ Datas invertidas",IF(TODAY()&lt;C298,IF(C298-TODAY()=1,"Começa amanhã","Começa em "&amp;(C298-TODAY())&amp;" dias"),IF(TODAY()&gt;D298,"Concluídas",IF(TODAY()=D298,"EM FÉRIAS (último dia)","EM FÉRIAS (faltam "&amp;(D298-TODAY())&amp;" dias)"))))))</f>
        <v/>
      </c>
      <c r="I298" s="55" t="str">
        <f aca="false">IF(OR(A298="",NOT(AND(ISNUMBER(C298),ISNUMBER(D298)))),"",IF(D298-C298+1&gt;30,"⚠ Período acima de 30 dias",IF(COUNTIFS($B$2:$B$301,B298,$C$2:$C$301,"&lt;="&amp;D298,$D$2:$D$301,"&gt;="&amp;C298)&gt;1,"⚠ Coincide com férias de outro do setor","")))</f>
        <v/>
      </c>
      <c r="K298" s="0" t="str">
        <f aca="true">IF(AND(ISNUMBER(C298),ISNUMBER(D298),C298&lt;=TODAY(),D298&gt;=TODAY()),D298+ROW()/100000,"")</f>
        <v/>
      </c>
      <c r="L298" s="0" t="str">
        <f aca="true">IF(AND(ISNUMBER(C298),C298&gt;TODAY(),C298&lt;=TODAY()+30),C298+ROW()/100000,"")</f>
        <v/>
      </c>
      <c r="M298" s="0" t="str">
        <f aca="false">IF(AND(ISNUMBER(C298),ISNUMBER(D298),C298&lt;=CALENDÁRIO!$L$4,D298&gt;=CALENDÁRIO!$L$4),ROW(),"")</f>
        <v/>
      </c>
    </row>
    <row r="299" customFormat="false" ht="15" hidden="false" customHeight="true" outlineLevel="0" collapsed="false">
      <c r="A299" s="54"/>
      <c r="B299" s="54"/>
      <c r="C299" s="53"/>
      <c r="D299" s="53"/>
      <c r="E299" s="64"/>
      <c r="F299" s="65" t="str">
        <f aca="false">IF(AND(ISNUMBER(C299),ISNUMBER(D299),D299&gt;=C299),D299-C299+1,"")</f>
        <v/>
      </c>
      <c r="G299" s="66" t="str">
        <f aca="false">IF(AND(ISNUMBER(C299),ISNUMBER(D299),D299&gt;=C299),WORKDAY(D299,1),"")</f>
        <v/>
      </c>
      <c r="H299" s="55" t="str">
        <f aca="true">IF(A299="","",IF(NOT(AND(ISNUMBER(C299),ISNUMBER(D299))),"Sem data definida",IF(D299&lt;C299,"⚠ Datas invertidas",IF(TODAY()&lt;C299,IF(C299-TODAY()=1,"Começa amanhã","Começa em "&amp;(C299-TODAY())&amp;" dias"),IF(TODAY()&gt;D299,"Concluídas",IF(TODAY()=D299,"EM FÉRIAS (último dia)","EM FÉRIAS (faltam "&amp;(D299-TODAY())&amp;" dias)"))))))</f>
        <v/>
      </c>
      <c r="I299" s="55" t="str">
        <f aca="false">IF(OR(A299="",NOT(AND(ISNUMBER(C299),ISNUMBER(D299)))),"",IF(D299-C299+1&gt;30,"⚠ Período acima de 30 dias",IF(COUNTIFS($B$2:$B$301,B299,$C$2:$C$301,"&lt;="&amp;D299,$D$2:$D$301,"&gt;="&amp;C299)&gt;1,"⚠ Coincide com férias de outro do setor","")))</f>
        <v/>
      </c>
      <c r="K299" s="0" t="str">
        <f aca="true">IF(AND(ISNUMBER(C299),ISNUMBER(D299),C299&lt;=TODAY(),D299&gt;=TODAY()),D299+ROW()/100000,"")</f>
        <v/>
      </c>
      <c r="L299" s="0" t="str">
        <f aca="true">IF(AND(ISNUMBER(C299),C299&gt;TODAY(),C299&lt;=TODAY()+30),C299+ROW()/100000,"")</f>
        <v/>
      </c>
      <c r="M299" s="0" t="str">
        <f aca="false">IF(AND(ISNUMBER(C299),ISNUMBER(D299),C299&lt;=CALENDÁRIO!$L$4,D299&gt;=CALENDÁRIO!$L$4),ROW(),"")</f>
        <v/>
      </c>
    </row>
    <row r="300" customFormat="false" ht="15" hidden="false" customHeight="true" outlineLevel="0" collapsed="false">
      <c r="A300" s="54"/>
      <c r="B300" s="54"/>
      <c r="C300" s="53"/>
      <c r="D300" s="53"/>
      <c r="E300" s="64"/>
      <c r="F300" s="65" t="str">
        <f aca="false">IF(AND(ISNUMBER(C300),ISNUMBER(D300),D300&gt;=C300),D300-C300+1,"")</f>
        <v/>
      </c>
      <c r="G300" s="66" t="str">
        <f aca="false">IF(AND(ISNUMBER(C300),ISNUMBER(D300),D300&gt;=C300),WORKDAY(D300,1),"")</f>
        <v/>
      </c>
      <c r="H300" s="55" t="str">
        <f aca="true">IF(A300="","",IF(NOT(AND(ISNUMBER(C300),ISNUMBER(D300))),"Sem data definida",IF(D300&lt;C300,"⚠ Datas invertidas",IF(TODAY()&lt;C300,IF(C300-TODAY()=1,"Começa amanhã","Começa em "&amp;(C300-TODAY())&amp;" dias"),IF(TODAY()&gt;D300,"Concluídas",IF(TODAY()=D300,"EM FÉRIAS (último dia)","EM FÉRIAS (faltam "&amp;(D300-TODAY())&amp;" dias)"))))))</f>
        <v/>
      </c>
      <c r="I300" s="55" t="str">
        <f aca="false">IF(OR(A300="",NOT(AND(ISNUMBER(C300),ISNUMBER(D300)))),"",IF(D300-C300+1&gt;30,"⚠ Período acima de 30 dias",IF(COUNTIFS($B$2:$B$301,B300,$C$2:$C$301,"&lt;="&amp;D300,$D$2:$D$301,"&gt;="&amp;C300)&gt;1,"⚠ Coincide com férias de outro do setor","")))</f>
        <v/>
      </c>
      <c r="K300" s="0" t="str">
        <f aca="true">IF(AND(ISNUMBER(C300),ISNUMBER(D300),C300&lt;=TODAY(),D300&gt;=TODAY()),D300+ROW()/100000,"")</f>
        <v/>
      </c>
      <c r="L300" s="0" t="str">
        <f aca="true">IF(AND(ISNUMBER(C300),C300&gt;TODAY(),C300&lt;=TODAY()+30),C300+ROW()/100000,"")</f>
        <v/>
      </c>
      <c r="M300" s="0" t="str">
        <f aca="false">IF(AND(ISNUMBER(C300),ISNUMBER(D300),C300&lt;=CALENDÁRIO!$L$4,D300&gt;=CALENDÁRIO!$L$4),ROW(),"")</f>
        <v/>
      </c>
    </row>
    <row r="301" customFormat="false" ht="15" hidden="false" customHeight="true" outlineLevel="0" collapsed="false">
      <c r="A301" s="54"/>
      <c r="B301" s="54"/>
      <c r="C301" s="53"/>
      <c r="D301" s="53"/>
      <c r="E301" s="64"/>
      <c r="F301" s="65" t="str">
        <f aca="false">IF(AND(ISNUMBER(C301),ISNUMBER(D301),D301&gt;=C301),D301-C301+1,"")</f>
        <v/>
      </c>
      <c r="G301" s="66" t="str">
        <f aca="false">IF(AND(ISNUMBER(C301),ISNUMBER(D301),D301&gt;=C301),WORKDAY(D301,1),"")</f>
        <v/>
      </c>
      <c r="H301" s="55" t="str">
        <f aca="true">IF(A301="","",IF(NOT(AND(ISNUMBER(C301),ISNUMBER(D301))),"Sem data definida",IF(D301&lt;C301,"⚠ Datas invertidas",IF(TODAY()&lt;C301,IF(C301-TODAY()=1,"Começa amanhã","Começa em "&amp;(C301-TODAY())&amp;" dias"),IF(TODAY()&gt;D301,"Concluídas",IF(TODAY()=D301,"EM FÉRIAS (último dia)","EM FÉRIAS (faltam "&amp;(D301-TODAY())&amp;" dias)"))))))</f>
        <v/>
      </c>
      <c r="I301" s="55" t="str">
        <f aca="false">IF(OR(A301="",NOT(AND(ISNUMBER(C301),ISNUMBER(D301)))),"",IF(D301-C301+1&gt;30,"⚠ Período acima de 30 dias",IF(COUNTIFS($B$2:$B$301,B301,$C$2:$C$301,"&lt;="&amp;D301,$D$2:$D$301,"&gt;="&amp;C301)&gt;1,"⚠ Coincide com férias de outro do setor","")))</f>
        <v/>
      </c>
      <c r="K301" s="0" t="str">
        <f aca="true">IF(AND(ISNUMBER(C301),ISNUMBER(D301),C301&lt;=TODAY(),D301&gt;=TODAY()),D301+ROW()/100000,"")</f>
        <v/>
      </c>
      <c r="L301" s="0" t="str">
        <f aca="true">IF(AND(ISNUMBER(C301),C301&gt;TODAY(),C301&lt;=TODAY()+30),C301+ROW()/100000,"")</f>
        <v/>
      </c>
      <c r="M301" s="0" t="str">
        <f aca="false">IF(AND(ISNUMBER(C301),ISNUMBER(D301),C301&lt;=CALENDÁRIO!$L$4,D301&gt;=CALENDÁRIO!$L$4),ROW(),"")</f>
        <v/>
      </c>
    </row>
  </sheetData>
  <autoFilter ref="A1:I301"/>
  <conditionalFormatting sqref="H2:H301">
    <cfRule type="expression" priority="2" aboveAverage="0" equalAverage="0" bottom="0" percent="0" rank="0" text="" dxfId="13">
      <formula>LEFT($H2,1)="⚠"</formula>
    </cfRule>
  </conditionalFormatting>
  <conditionalFormatting sqref="I2:I301">
    <cfRule type="expression" priority="3" aboveAverage="0" equalAverage="0" bottom="0" percent="0" rank="0" text="" dxfId="13">
      <formula>LEFT($I2,1)="⚠"</formula>
    </cfRule>
  </conditionalFormatting>
  <conditionalFormatting sqref="A2:I301">
    <cfRule type="expression" priority="4" aboveAverage="0" equalAverage="0" bottom="0" percent="0" rank="0" text="" dxfId="1">
      <formula>AND(ISNUMBER($C2),ISNUMBER($D2),$C2&lt;=TODAY(),$D2&gt;=TODAY())</formula>
    </cfRule>
    <cfRule type="expression" priority="5" aboveAverage="0" equalAverage="0" bottom="0" percent="0" rank="0" text="" dxfId="6">
      <formula>AND(ISNUMBER($C2),$C2&gt;TODAY(),$C2&lt;=TODAY()+30)</formula>
    </cfRule>
    <cfRule type="expression" priority="6" aboveAverage="0" equalAverage="0" bottom="0" percent="0" rank="0" text="" dxfId="14">
      <formula>AND(ISNUMBER($D2),$D2&lt;TODAY())</formula>
    </cfRule>
    <cfRule type="expression" priority="7" aboveAverage="0" equalAverage="0" bottom="0" percent="0" rank="0" text="" dxfId="16">
      <formula>AND($A2&lt;&gt;"",OR(NOT(ISNUMBER($C2)),NOT(ISNUMBER($D2))))</formula>
    </cfRule>
  </conditionalFormatting>
  <dataValidations count="4">
    <dataValidation allowBlank="true" error="Digite uma data válida no formato dd/mm/aaaa." errorStyle="stop" errorTitle="Data inválida" operator="between" prompt="Data de início das férias (dd/mm/aaaa)." promptTitle="Data" showDropDown="false" showErrorMessage="true" showInputMessage="true" sqref="C2:C301" type="date">
      <formula1>DATE(2020,1,1)</formula1>
      <formula2>DATE(2100,12,31)</formula2>
    </dataValidation>
    <dataValidation allowBlank="true" error="A data de fim precisa ser uma data válida e igual ou posterior ao início." errorStyle="stop" errorTitle="Data final inválida" operator="between" prompt="Último dia de férias (dd/mm/aaaa)." promptTitle="Data" showDropDown="false" showErrorMessage="true" showInputMessage="true" sqref="D2:D301" type="custom">
      <formula1>OR(D2="",AND(ISNUMBER(D2),D2&gt;=C2))</formula1>
      <formula2>0</formula2>
    </dataValidation>
    <dataValidation allowBlank="true" error="Este setor não está na aba LISTAS. Deseja manter mesmo assim?" errorStyle="warning" errorTitle="Setor fora da lista" operator="between" showDropDown="false" showErrorMessage="true" showInputMessage="false" sqref="B2:B301" type="list">
      <formula1>LISTAS!$B$2:$B$20</formula1>
      <formula2>0</formula2>
    </dataValidation>
    <dataValidation allowBlank="true" error="Este nome não está na lista de Funcionários (aba LISTAS, coluna F). Nomes escritos de forma diferente impedem os alertas entre abas. Manter mesmo assim?" errorStyle="warning" errorTitle="Nome fora da lista" operator="between" showDropDown="false" showErrorMessage="true" showInputMessage="false" sqref="A2:A301" type="list">
      <formula1>LISTAS!$F$2:$F$300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7.75" hidden="false" customHeight="true" outlineLevel="0" collapsed="false">
      <c r="B2" s="74" t="s">
        <v>86</v>
      </c>
      <c r="C2" s="74"/>
    </row>
    <row r="4" customFormat="false" ht="36" hidden="false" customHeight="true" outlineLevel="0" collapsed="false">
      <c r="B4" s="75" t="s">
        <v>87</v>
      </c>
      <c r="C4" s="76" t="s">
        <v>88</v>
      </c>
    </row>
    <row r="5" customFormat="false" ht="51" hidden="false" customHeight="true" outlineLevel="0" collapsed="false">
      <c r="B5" s="75" t="s">
        <v>89</v>
      </c>
      <c r="C5" s="76" t="s">
        <v>90</v>
      </c>
    </row>
    <row r="6" customFormat="false" ht="36" hidden="false" customHeight="true" outlineLevel="0" collapsed="false">
      <c r="B6" s="75" t="s">
        <v>91</v>
      </c>
      <c r="C6" s="76" t="s">
        <v>92</v>
      </c>
    </row>
    <row r="7" customFormat="false" ht="36" hidden="false" customHeight="true" outlineLevel="0" collapsed="false">
      <c r="B7" s="75" t="s">
        <v>93</v>
      </c>
      <c r="C7" s="76" t="s">
        <v>94</v>
      </c>
    </row>
    <row r="8" customFormat="false" ht="66" hidden="false" customHeight="true" outlineLevel="0" collapsed="false">
      <c r="B8" s="75" t="s">
        <v>95</v>
      </c>
      <c r="C8" s="76" t="s">
        <v>96</v>
      </c>
    </row>
    <row r="9" customFormat="false" ht="36" hidden="false" customHeight="true" outlineLevel="0" collapsed="false">
      <c r="B9" s="75" t="s">
        <v>97</v>
      </c>
      <c r="C9" s="76" t="s">
        <v>98</v>
      </c>
    </row>
    <row r="10" customFormat="false" ht="81" hidden="false" customHeight="true" outlineLevel="0" collapsed="false">
      <c r="B10" s="75" t="s">
        <v>99</v>
      </c>
      <c r="C10" s="76" t="s">
        <v>100</v>
      </c>
    </row>
    <row r="11" customFormat="false" ht="21" hidden="false" customHeight="true" outlineLevel="0" collapsed="false">
      <c r="B11" s="75" t="s">
        <v>101</v>
      </c>
      <c r="C11" s="76" t="s">
        <v>102</v>
      </c>
    </row>
    <row r="12" customFormat="false" ht="36" hidden="false" customHeight="true" outlineLevel="0" collapsed="false">
      <c r="B12" s="75" t="s">
        <v>103</v>
      </c>
      <c r="C12" s="76" t="s">
        <v>104</v>
      </c>
    </row>
    <row r="13" customFormat="false" ht="36" hidden="false" customHeight="true" outlineLevel="0" collapsed="false">
      <c r="B13" s="75" t="s">
        <v>105</v>
      </c>
      <c r="C13" s="76" t="s">
        <v>106</v>
      </c>
    </row>
    <row r="14" customFormat="false" ht="36" hidden="false" customHeight="true" outlineLevel="0" collapsed="false">
      <c r="B14" s="75" t="s">
        <v>107</v>
      </c>
      <c r="C14" s="76" t="s">
        <v>108</v>
      </c>
    </row>
    <row r="15" customFormat="false" ht="36" hidden="false" customHeight="true" outlineLevel="0" collapsed="false">
      <c r="B15" s="75" t="s">
        <v>109</v>
      </c>
      <c r="C15" s="76" t="s">
        <v>110</v>
      </c>
    </row>
    <row r="16" customFormat="false" ht="36" hidden="false" customHeight="true" outlineLevel="0" collapsed="false">
      <c r="B16" s="75" t="s">
        <v>111</v>
      </c>
      <c r="C16" s="76" t="s">
        <v>112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6" min="6" style="0" width="26"/>
  </cols>
  <sheetData>
    <row r="1" customFormat="false" ht="15" hidden="false" customHeight="true" outlineLevel="0" collapsed="false">
      <c r="A1" s="77" t="s">
        <v>72</v>
      </c>
      <c r="B1" s="43" t="s">
        <v>113</v>
      </c>
      <c r="D1" s="43" t="s">
        <v>114</v>
      </c>
      <c r="F1" s="43" t="s">
        <v>115</v>
      </c>
    </row>
    <row r="2" customFormat="false" ht="15" hidden="false" customHeight="true" outlineLevel="0" collapsed="false">
      <c r="A2" s="49" t="s">
        <v>116</v>
      </c>
      <c r="B2" s="0" t="s">
        <v>61</v>
      </c>
      <c r="D2" s="0" t="s">
        <v>117</v>
      </c>
      <c r="F2" s="0" t="s">
        <v>58</v>
      </c>
    </row>
    <row r="3" customFormat="false" ht="15" hidden="false" customHeight="true" outlineLevel="0" collapsed="false">
      <c r="A3" s="49" t="s">
        <v>118</v>
      </c>
      <c r="B3" s="0" t="s">
        <v>51</v>
      </c>
      <c r="D3" s="0" t="s">
        <v>119</v>
      </c>
      <c r="F3" s="0" t="s">
        <v>68</v>
      </c>
    </row>
    <row r="4" customFormat="false" ht="15" hidden="false" customHeight="false" outlineLevel="0" collapsed="false">
      <c r="B4" s="0" t="s">
        <v>54</v>
      </c>
      <c r="D4" s="0" t="s">
        <v>120</v>
      </c>
      <c r="F4" s="0" t="s">
        <v>53</v>
      </c>
    </row>
    <row r="5" customFormat="false" ht="15" hidden="false" customHeight="false" outlineLevel="0" collapsed="false">
      <c r="D5" s="0" t="s">
        <v>121</v>
      </c>
      <c r="F5" s="0" t="s">
        <v>84</v>
      </c>
    </row>
    <row r="6" customFormat="false" ht="15" hidden="false" customHeight="false" outlineLevel="0" collapsed="false">
      <c r="D6" s="0" t="s">
        <v>122</v>
      </c>
      <c r="F6" s="0" t="s">
        <v>52</v>
      </c>
    </row>
    <row r="7" customFormat="false" ht="15" hidden="false" customHeight="false" outlineLevel="0" collapsed="false">
      <c r="D7" s="0" t="s">
        <v>123</v>
      </c>
      <c r="F7" s="0" t="s">
        <v>70</v>
      </c>
    </row>
    <row r="8" customFormat="false" ht="15" hidden="false" customHeight="false" outlineLevel="0" collapsed="false">
      <c r="D8" s="0" t="s">
        <v>124</v>
      </c>
      <c r="F8" s="0" t="s">
        <v>62</v>
      </c>
    </row>
    <row r="9" customFormat="false" ht="15" hidden="false" customHeight="false" outlineLevel="0" collapsed="false">
      <c r="D9" s="0" t="s">
        <v>125</v>
      </c>
      <c r="F9" s="0" t="s">
        <v>63</v>
      </c>
    </row>
    <row r="10" customFormat="false" ht="15" hidden="false" customHeight="false" outlineLevel="0" collapsed="false">
      <c r="D10" s="0" t="s">
        <v>126</v>
      </c>
      <c r="F10" s="0" t="s">
        <v>65</v>
      </c>
    </row>
    <row r="11" customFormat="false" ht="15" hidden="false" customHeight="false" outlineLevel="0" collapsed="false">
      <c r="D11" s="0" t="s">
        <v>127</v>
      </c>
      <c r="F11" s="0" t="s">
        <v>55</v>
      </c>
    </row>
    <row r="12" customFormat="false" ht="15" hidden="false" customHeight="false" outlineLevel="0" collapsed="false">
      <c r="D12" s="0" t="s">
        <v>128</v>
      </c>
      <c r="F12" s="0" t="s">
        <v>59</v>
      </c>
    </row>
    <row r="13" customFormat="false" ht="15" hidden="false" customHeight="false" outlineLevel="0" collapsed="false">
      <c r="D13" s="0" t="s">
        <v>129</v>
      </c>
      <c r="F13" s="0" t="s">
        <v>69</v>
      </c>
    </row>
    <row r="14" customFormat="false" ht="15" hidden="false" customHeight="false" outlineLevel="0" collapsed="false">
      <c r="F14" s="0" t="s">
        <v>71</v>
      </c>
    </row>
    <row r="15" customFormat="false" ht="15" hidden="false" customHeight="false" outlineLevel="0" collapsed="false">
      <c r="F15" s="0" t="s">
        <v>66</v>
      </c>
    </row>
    <row r="16" customFormat="false" ht="15" hidden="false" customHeight="false" outlineLevel="0" collapsed="false">
      <c r="F16" s="0" t="s">
        <v>64</v>
      </c>
    </row>
    <row r="17" customFormat="false" ht="15" hidden="false" customHeight="false" outlineLevel="0" collapsed="false">
      <c r="F17" s="0" t="s">
        <v>60</v>
      </c>
    </row>
    <row r="18" customFormat="false" ht="15" hidden="false" customHeight="false" outlineLevel="0" collapsed="false">
      <c r="F18" s="0" t="s">
        <v>56</v>
      </c>
    </row>
    <row r="19" customFormat="false" ht="15" hidden="false" customHeight="false" outlineLevel="0" collapsed="false">
      <c r="F19" s="0" t="s">
        <v>57</v>
      </c>
    </row>
    <row r="20" customFormat="false" ht="15" hidden="false" customHeight="false" outlineLevel="0" collapsed="false">
      <c r="F20" s="0" t="s">
        <v>50</v>
      </c>
    </row>
    <row r="21" customFormat="false" ht="15" hidden="false" customHeight="false" outlineLevel="0" collapsed="false">
      <c r="F21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3" t="s">
        <v>13</v>
      </c>
      <c r="B1" s="43" t="s">
        <v>11</v>
      </c>
      <c r="C1" s="43" t="s">
        <v>12</v>
      </c>
      <c r="D1" s="43" t="s">
        <v>22</v>
      </c>
      <c r="E1" s="43" t="s">
        <v>14</v>
      </c>
      <c r="F1" s="43" t="s">
        <v>25</v>
      </c>
      <c r="G1" s="43" t="s">
        <v>77</v>
      </c>
      <c r="H1" s="43" t="s">
        <v>130</v>
      </c>
      <c r="I1" s="43" t="s">
        <v>79</v>
      </c>
      <c r="J1" s="43" t="s">
        <v>23</v>
      </c>
    </row>
    <row r="2" customFormat="false" ht="15" hidden="false" customHeight="false" outlineLevel="0" collapsed="false">
      <c r="A2" s="0" t="str">
        <f aca="false">IF(ISNUMBER(FOLGAS!$C2),"Folga","")</f>
        <v/>
      </c>
      <c r="B2" s="0" t="str">
        <f aca="false">IF(ISNUMBER(FOLGAS!$C2),FOLGAS!$A2&amp;"","")</f>
        <v/>
      </c>
      <c r="C2" s="0" t="str">
        <f aca="false">IF(ISNUMBER(FOLGAS!$C2),FOLGAS!$B2&amp;"","")</f>
        <v/>
      </c>
      <c r="D2" s="78" t="str">
        <f aca="false">IF(ISNUMBER(FOLGAS!$C2),FOLGAS!$C2,"")</f>
        <v/>
      </c>
      <c r="E2" s="0" t="str">
        <f aca="false">IF(ISNUMBER(FOLGAS!$C2),FOLGAS!$D2&amp;"","")</f>
        <v/>
      </c>
      <c r="F2" s="0" t="str">
        <f aca="false">IF(ISNUMBER(FOLGAS!$C2),FOLGAS!$G2&amp;"","")</f>
        <v/>
      </c>
      <c r="G2" s="0" t="str">
        <f aca="true">IF(D2="","",IF(D2=TODAY(),D2+ROW()/100000,""))</f>
        <v/>
      </c>
      <c r="H2" s="0" t="str">
        <f aca="true">IF(D2="","",IF(AND(D2&gt;TODAY(),D2&lt;=TODAY()+7),D2+ROW()/100000,""))</f>
        <v/>
      </c>
      <c r="I2" s="0" t="str">
        <f aca="false">IF(D2="","",IF(D2=CALENDÁRIO!$L$4,ROW(),""))</f>
        <v/>
      </c>
      <c r="J2" s="0" t="str">
        <f aca="false">IF(D2="","",CHOOSE(WEEKDAY(D2),"Domingo","Segunda","Terça","Quarta","Quinta","Sexta","Sábado"))</f>
        <v/>
      </c>
    </row>
    <row r="3" customFormat="false" ht="15" hidden="false" customHeight="false" outlineLevel="0" collapsed="false">
      <c r="A3" s="0" t="str">
        <f aca="false">IF(ISNUMBER(FOLGAS!$C3),"Folga","")</f>
        <v/>
      </c>
      <c r="B3" s="0" t="str">
        <f aca="false">IF(ISNUMBER(FOLGAS!$C3),FOLGAS!$A3&amp;"","")</f>
        <v/>
      </c>
      <c r="C3" s="0" t="str">
        <f aca="false">IF(ISNUMBER(FOLGAS!$C3),FOLGAS!$B3&amp;"","")</f>
        <v/>
      </c>
      <c r="D3" s="78" t="str">
        <f aca="false">IF(ISNUMBER(FOLGAS!$C3),FOLGAS!$C3,"")</f>
        <v/>
      </c>
      <c r="E3" s="0" t="str">
        <f aca="false">IF(ISNUMBER(FOLGAS!$C3),FOLGAS!$D3&amp;"","")</f>
        <v/>
      </c>
      <c r="F3" s="0" t="str">
        <f aca="false">IF(ISNUMBER(FOLGAS!$C3),FOLGAS!$G3&amp;"","")</f>
        <v/>
      </c>
      <c r="G3" s="0" t="str">
        <f aca="true">IF(D3="","",IF(D3=TODAY(),D3+ROW()/100000,""))</f>
        <v/>
      </c>
      <c r="H3" s="0" t="str">
        <f aca="true">IF(D3="","",IF(AND(D3&gt;TODAY(),D3&lt;=TODAY()+7),D3+ROW()/100000,""))</f>
        <v/>
      </c>
      <c r="I3" s="0" t="str">
        <f aca="false">IF(D3="","",IF(D3=CALENDÁRIO!$L$4,ROW(),""))</f>
        <v/>
      </c>
      <c r="J3" s="0" t="str">
        <f aca="false">IF(D3="","",CHOOSE(WEEKDAY(D3),"Domingo","Segunda","Terça","Quarta","Quinta","Sexta","Sábado"))</f>
        <v/>
      </c>
    </row>
    <row r="4" customFormat="false" ht="15" hidden="false" customHeight="false" outlineLevel="0" collapsed="false">
      <c r="A4" s="0" t="str">
        <f aca="false">IF(ISNUMBER(FOLGAS!$C4),"Folga","")</f>
        <v/>
      </c>
      <c r="B4" s="0" t="str">
        <f aca="false">IF(ISNUMBER(FOLGAS!$C4),FOLGAS!$A4&amp;"","")</f>
        <v/>
      </c>
      <c r="C4" s="0" t="str">
        <f aca="false">IF(ISNUMBER(FOLGAS!$C4),FOLGAS!$B4&amp;"","")</f>
        <v/>
      </c>
      <c r="D4" s="78" t="str">
        <f aca="false">IF(ISNUMBER(FOLGAS!$C4),FOLGAS!$C4,"")</f>
        <v/>
      </c>
      <c r="E4" s="0" t="str">
        <f aca="false">IF(ISNUMBER(FOLGAS!$C4),FOLGAS!$D4&amp;"","")</f>
        <v/>
      </c>
      <c r="F4" s="0" t="str">
        <f aca="false">IF(ISNUMBER(FOLGAS!$C4),FOLGAS!$G4&amp;"","")</f>
        <v/>
      </c>
      <c r="G4" s="0" t="str">
        <f aca="true">IF(D4="","",IF(D4=TODAY(),D4+ROW()/100000,""))</f>
        <v/>
      </c>
      <c r="H4" s="0" t="str">
        <f aca="true">IF(D4="","",IF(AND(D4&gt;TODAY(),D4&lt;=TODAY()+7),D4+ROW()/100000,""))</f>
        <v/>
      </c>
      <c r="I4" s="0" t="str">
        <f aca="false">IF(D4="","",IF(D4=CALENDÁRIO!$L$4,ROW(),""))</f>
        <v/>
      </c>
      <c r="J4" s="0" t="str">
        <f aca="false">IF(D4="","",CHOOSE(WEEKDAY(D4),"Domingo","Segunda","Terça","Quarta","Quinta","Sexta","Sábado"))</f>
        <v/>
      </c>
    </row>
    <row r="5" customFormat="false" ht="15" hidden="false" customHeight="false" outlineLevel="0" collapsed="false">
      <c r="A5" s="0" t="str">
        <f aca="false">IF(ISNUMBER(FOLGAS!$C5),"Folga","")</f>
        <v/>
      </c>
      <c r="B5" s="0" t="str">
        <f aca="false">IF(ISNUMBER(FOLGAS!$C5),FOLGAS!$A5&amp;"","")</f>
        <v/>
      </c>
      <c r="C5" s="0" t="str">
        <f aca="false">IF(ISNUMBER(FOLGAS!$C5),FOLGAS!$B5&amp;"","")</f>
        <v/>
      </c>
      <c r="D5" s="78" t="str">
        <f aca="false">IF(ISNUMBER(FOLGAS!$C5),FOLGAS!$C5,"")</f>
        <v/>
      </c>
      <c r="E5" s="0" t="str">
        <f aca="false">IF(ISNUMBER(FOLGAS!$C5),FOLGAS!$D5&amp;"","")</f>
        <v/>
      </c>
      <c r="F5" s="0" t="str">
        <f aca="false">IF(ISNUMBER(FOLGAS!$C5),FOLGAS!$G5&amp;"","")</f>
        <v/>
      </c>
      <c r="G5" s="0" t="str">
        <f aca="true">IF(D5="","",IF(D5=TODAY(),D5+ROW()/100000,""))</f>
        <v/>
      </c>
      <c r="H5" s="0" t="str">
        <f aca="true">IF(D5="","",IF(AND(D5&gt;TODAY(),D5&lt;=TODAY()+7),D5+ROW()/100000,""))</f>
        <v/>
      </c>
      <c r="I5" s="0" t="str">
        <f aca="false">IF(D5="","",IF(D5=CALENDÁRIO!$L$4,ROW(),""))</f>
        <v/>
      </c>
      <c r="J5" s="0" t="str">
        <f aca="false">IF(D5="","",CHOOSE(WEEKDAY(D5),"Domingo","Segunda","Terça","Quarta","Quinta","Sexta","Sábado"))</f>
        <v/>
      </c>
    </row>
    <row r="6" customFormat="false" ht="15" hidden="false" customHeight="false" outlineLevel="0" collapsed="false">
      <c r="A6" s="0" t="str">
        <f aca="false">IF(ISNUMBER(FOLGAS!$C6),"Folga","")</f>
        <v/>
      </c>
      <c r="B6" s="0" t="str">
        <f aca="false">IF(ISNUMBER(FOLGAS!$C6),FOLGAS!$A6&amp;"","")</f>
        <v/>
      </c>
      <c r="C6" s="0" t="str">
        <f aca="false">IF(ISNUMBER(FOLGAS!$C6),FOLGAS!$B6&amp;"","")</f>
        <v/>
      </c>
      <c r="D6" s="78" t="str">
        <f aca="false">IF(ISNUMBER(FOLGAS!$C6),FOLGAS!$C6,"")</f>
        <v/>
      </c>
      <c r="E6" s="0" t="str">
        <f aca="false">IF(ISNUMBER(FOLGAS!$C6),FOLGAS!$D6&amp;"","")</f>
        <v/>
      </c>
      <c r="F6" s="0" t="str">
        <f aca="false">IF(ISNUMBER(FOLGAS!$C6),FOLGAS!$G6&amp;"","")</f>
        <v/>
      </c>
      <c r="G6" s="0" t="str">
        <f aca="true">IF(D6="","",IF(D6=TODAY(),D6+ROW()/100000,""))</f>
        <v/>
      </c>
      <c r="H6" s="0" t="str">
        <f aca="true">IF(D6="","",IF(AND(D6&gt;TODAY(),D6&lt;=TODAY()+7),D6+ROW()/100000,""))</f>
        <v/>
      </c>
      <c r="I6" s="0" t="str">
        <f aca="false">IF(D6="","",IF(D6=CALENDÁRIO!$L$4,ROW(),""))</f>
        <v/>
      </c>
      <c r="J6" s="0" t="str">
        <f aca="false">IF(D6="","",CHOOSE(WEEKDAY(D6),"Domingo","Segunda","Terça","Quarta","Quinta","Sexta","Sábado"))</f>
        <v/>
      </c>
    </row>
    <row r="7" customFormat="false" ht="15" hidden="false" customHeight="false" outlineLevel="0" collapsed="false">
      <c r="A7" s="0" t="str">
        <f aca="false">IF(ISNUMBER(FOLGAS!$C7),"Folga","")</f>
        <v/>
      </c>
      <c r="B7" s="0" t="str">
        <f aca="false">IF(ISNUMBER(FOLGAS!$C7),FOLGAS!$A7&amp;"","")</f>
        <v/>
      </c>
      <c r="C7" s="0" t="str">
        <f aca="false">IF(ISNUMBER(FOLGAS!$C7),FOLGAS!$B7&amp;"","")</f>
        <v/>
      </c>
      <c r="D7" s="78" t="str">
        <f aca="false">IF(ISNUMBER(FOLGAS!$C7),FOLGAS!$C7,"")</f>
        <v/>
      </c>
      <c r="E7" s="0" t="str">
        <f aca="false">IF(ISNUMBER(FOLGAS!$C7),FOLGAS!$D7&amp;"","")</f>
        <v/>
      </c>
      <c r="F7" s="0" t="str">
        <f aca="false">IF(ISNUMBER(FOLGAS!$C7),FOLGAS!$G7&amp;"","")</f>
        <v/>
      </c>
      <c r="G7" s="0" t="str">
        <f aca="true">IF(D7="","",IF(D7=TODAY(),D7+ROW()/100000,""))</f>
        <v/>
      </c>
      <c r="H7" s="0" t="str">
        <f aca="true">IF(D7="","",IF(AND(D7&gt;TODAY(),D7&lt;=TODAY()+7),D7+ROW()/100000,""))</f>
        <v/>
      </c>
      <c r="I7" s="0" t="str">
        <f aca="false">IF(D7="","",IF(D7=CALENDÁRIO!$L$4,ROW(),""))</f>
        <v/>
      </c>
      <c r="J7" s="0" t="str">
        <f aca="false">IF(D7="","",CHOOSE(WEEKDAY(D7),"Domingo","Segunda","Terça","Quarta","Quinta","Sexta","Sábado"))</f>
        <v/>
      </c>
    </row>
    <row r="8" customFormat="false" ht="15" hidden="false" customHeight="false" outlineLevel="0" collapsed="false">
      <c r="A8" s="0" t="str">
        <f aca="false">IF(ISNUMBER(FOLGAS!$C8),"Folga","")</f>
        <v/>
      </c>
      <c r="B8" s="0" t="str">
        <f aca="false">IF(ISNUMBER(FOLGAS!$C8),FOLGAS!$A8&amp;"","")</f>
        <v/>
      </c>
      <c r="C8" s="0" t="str">
        <f aca="false">IF(ISNUMBER(FOLGAS!$C8),FOLGAS!$B8&amp;"","")</f>
        <v/>
      </c>
      <c r="D8" s="78" t="str">
        <f aca="false">IF(ISNUMBER(FOLGAS!$C8),FOLGAS!$C8,"")</f>
        <v/>
      </c>
      <c r="E8" s="0" t="str">
        <f aca="false">IF(ISNUMBER(FOLGAS!$C8),FOLGAS!$D8&amp;"","")</f>
        <v/>
      </c>
      <c r="F8" s="0" t="str">
        <f aca="false">IF(ISNUMBER(FOLGAS!$C8),FOLGAS!$G8&amp;"","")</f>
        <v/>
      </c>
      <c r="G8" s="0" t="str">
        <f aca="true">IF(D8="","",IF(D8=TODAY(),D8+ROW()/100000,""))</f>
        <v/>
      </c>
      <c r="H8" s="0" t="str">
        <f aca="true">IF(D8="","",IF(AND(D8&gt;TODAY(),D8&lt;=TODAY()+7),D8+ROW()/100000,""))</f>
        <v/>
      </c>
      <c r="I8" s="0" t="str">
        <f aca="false">IF(D8="","",IF(D8=CALENDÁRIO!$L$4,ROW(),""))</f>
        <v/>
      </c>
      <c r="J8" s="0" t="str">
        <f aca="false">IF(D8="","",CHOOSE(WEEKDAY(D8),"Domingo","Segunda","Terça","Quarta","Quinta","Sexta","Sábado"))</f>
        <v/>
      </c>
    </row>
    <row r="9" customFormat="false" ht="15" hidden="false" customHeight="false" outlineLevel="0" collapsed="false">
      <c r="A9" s="0" t="str">
        <f aca="false">IF(ISNUMBER(FOLGAS!$C9),"Folga","")</f>
        <v/>
      </c>
      <c r="B9" s="0" t="str">
        <f aca="false">IF(ISNUMBER(FOLGAS!$C9),FOLGAS!$A9&amp;"","")</f>
        <v/>
      </c>
      <c r="C9" s="0" t="str">
        <f aca="false">IF(ISNUMBER(FOLGAS!$C9),FOLGAS!$B9&amp;"","")</f>
        <v/>
      </c>
      <c r="D9" s="78" t="str">
        <f aca="false">IF(ISNUMBER(FOLGAS!$C9),FOLGAS!$C9,"")</f>
        <v/>
      </c>
      <c r="E9" s="0" t="str">
        <f aca="false">IF(ISNUMBER(FOLGAS!$C9),FOLGAS!$D9&amp;"","")</f>
        <v/>
      </c>
      <c r="F9" s="0" t="str">
        <f aca="false">IF(ISNUMBER(FOLGAS!$C9),FOLGAS!$G9&amp;"","")</f>
        <v/>
      </c>
      <c r="G9" s="0" t="str">
        <f aca="true">IF(D9="","",IF(D9=TODAY(),D9+ROW()/100000,""))</f>
        <v/>
      </c>
      <c r="H9" s="0" t="str">
        <f aca="true">IF(D9="","",IF(AND(D9&gt;TODAY(),D9&lt;=TODAY()+7),D9+ROW()/100000,""))</f>
        <v/>
      </c>
      <c r="I9" s="0" t="str">
        <f aca="false">IF(D9="","",IF(D9=CALENDÁRIO!$L$4,ROW(),""))</f>
        <v/>
      </c>
      <c r="J9" s="0" t="str">
        <f aca="false">IF(D9="","",CHOOSE(WEEKDAY(D9),"Domingo","Segunda","Terça","Quarta","Quinta","Sexta","Sábado"))</f>
        <v/>
      </c>
    </row>
    <row r="10" customFormat="false" ht="15" hidden="false" customHeight="false" outlineLevel="0" collapsed="false">
      <c r="A10" s="0" t="str">
        <f aca="false">IF(ISNUMBER(FOLGAS!$C10),"Folga","")</f>
        <v/>
      </c>
      <c r="B10" s="0" t="str">
        <f aca="false">IF(ISNUMBER(FOLGAS!$C10),FOLGAS!$A10&amp;"","")</f>
        <v/>
      </c>
      <c r="C10" s="0" t="str">
        <f aca="false">IF(ISNUMBER(FOLGAS!$C10),FOLGAS!$B10&amp;"","")</f>
        <v/>
      </c>
      <c r="D10" s="78" t="str">
        <f aca="false">IF(ISNUMBER(FOLGAS!$C10),FOLGAS!$C10,"")</f>
        <v/>
      </c>
      <c r="E10" s="0" t="str">
        <f aca="false">IF(ISNUMBER(FOLGAS!$C10),FOLGAS!$D10&amp;"","")</f>
        <v/>
      </c>
      <c r="F10" s="0" t="str">
        <f aca="false">IF(ISNUMBER(FOLGAS!$C10),FOLGAS!$G10&amp;"","")</f>
        <v/>
      </c>
      <c r="G10" s="0" t="str">
        <f aca="true">IF(D10="","",IF(D10=TODAY(),D10+ROW()/100000,""))</f>
        <v/>
      </c>
      <c r="H10" s="0" t="str">
        <f aca="true">IF(D10="","",IF(AND(D10&gt;TODAY(),D10&lt;=TODAY()+7),D10+ROW()/100000,""))</f>
        <v/>
      </c>
      <c r="I10" s="0" t="str">
        <f aca="false">IF(D10="","",IF(D10=CALENDÁRIO!$L$4,ROW(),""))</f>
        <v/>
      </c>
      <c r="J10" s="0" t="str">
        <f aca="false">IF(D10="","",CHOOSE(WEEKDAY(D10),"Domingo","Segunda","Terça","Quarta","Quinta","Sexta","Sábado"))</f>
        <v/>
      </c>
    </row>
    <row r="11" customFormat="false" ht="15" hidden="false" customHeight="false" outlineLevel="0" collapsed="false">
      <c r="A11" s="0" t="str">
        <f aca="false">IF(ISNUMBER(FOLGAS!$C11),"Folga","")</f>
        <v/>
      </c>
      <c r="B11" s="0" t="str">
        <f aca="false">IF(ISNUMBER(FOLGAS!$C11),FOLGAS!$A11&amp;"","")</f>
        <v/>
      </c>
      <c r="C11" s="0" t="str">
        <f aca="false">IF(ISNUMBER(FOLGAS!$C11),FOLGAS!$B11&amp;"","")</f>
        <v/>
      </c>
      <c r="D11" s="78" t="str">
        <f aca="false">IF(ISNUMBER(FOLGAS!$C11),FOLGAS!$C11,"")</f>
        <v/>
      </c>
      <c r="E11" s="0" t="str">
        <f aca="false">IF(ISNUMBER(FOLGAS!$C11),FOLGAS!$D11&amp;"","")</f>
        <v/>
      </c>
      <c r="F11" s="0" t="str">
        <f aca="false">IF(ISNUMBER(FOLGAS!$C11),FOLGAS!$G11&amp;"","")</f>
        <v/>
      </c>
      <c r="G11" s="0" t="str">
        <f aca="true">IF(D11="","",IF(D11=TODAY(),D11+ROW()/100000,""))</f>
        <v/>
      </c>
      <c r="H11" s="0" t="str">
        <f aca="true">IF(D11="","",IF(AND(D11&gt;TODAY(),D11&lt;=TODAY()+7),D11+ROW()/100000,""))</f>
        <v/>
      </c>
      <c r="I11" s="0" t="str">
        <f aca="false">IF(D11="","",IF(D11=CALENDÁRIO!$L$4,ROW(),""))</f>
        <v/>
      </c>
      <c r="J11" s="0" t="str">
        <f aca="false">IF(D11="","",CHOOSE(WEEKDAY(D11),"Domingo","Segunda","Terça","Quarta","Quinta","Sexta","Sábado"))</f>
        <v/>
      </c>
    </row>
    <row r="12" customFormat="false" ht="15" hidden="false" customHeight="false" outlineLevel="0" collapsed="false">
      <c r="A12" s="0" t="str">
        <f aca="false">IF(ISNUMBER(FOLGAS!$C12),"Folga","")</f>
        <v/>
      </c>
      <c r="B12" s="0" t="str">
        <f aca="false">IF(ISNUMBER(FOLGAS!$C12),FOLGAS!$A12&amp;"","")</f>
        <v/>
      </c>
      <c r="C12" s="0" t="str">
        <f aca="false">IF(ISNUMBER(FOLGAS!$C12),FOLGAS!$B12&amp;"","")</f>
        <v/>
      </c>
      <c r="D12" s="78" t="str">
        <f aca="false">IF(ISNUMBER(FOLGAS!$C12),FOLGAS!$C12,"")</f>
        <v/>
      </c>
      <c r="E12" s="0" t="str">
        <f aca="false">IF(ISNUMBER(FOLGAS!$C12),FOLGAS!$D12&amp;"","")</f>
        <v/>
      </c>
      <c r="F12" s="0" t="str">
        <f aca="false">IF(ISNUMBER(FOLGAS!$C12),FOLGAS!$G12&amp;"","")</f>
        <v/>
      </c>
      <c r="G12" s="0" t="str">
        <f aca="true">IF(D12="","",IF(D12=TODAY(),D12+ROW()/100000,""))</f>
        <v/>
      </c>
      <c r="H12" s="0" t="str">
        <f aca="true">IF(D12="","",IF(AND(D12&gt;TODAY(),D12&lt;=TODAY()+7),D12+ROW()/100000,""))</f>
        <v/>
      </c>
      <c r="I12" s="0" t="str">
        <f aca="false">IF(D12="","",IF(D12=CALENDÁRIO!$L$4,ROW(),""))</f>
        <v/>
      </c>
      <c r="J12" s="0" t="str">
        <f aca="false">IF(D12="","",CHOOSE(WEEKDAY(D12),"Domingo","Segunda","Terça","Quarta","Quinta","Sexta","Sábado"))</f>
        <v/>
      </c>
    </row>
    <row r="13" customFormat="false" ht="15" hidden="false" customHeight="false" outlineLevel="0" collapsed="false">
      <c r="A13" s="0" t="str">
        <f aca="false">IF(ISNUMBER(FOLGAS!$C13),"Folga","")</f>
        <v/>
      </c>
      <c r="B13" s="0" t="str">
        <f aca="false">IF(ISNUMBER(FOLGAS!$C13),FOLGAS!$A13&amp;"","")</f>
        <v/>
      </c>
      <c r="C13" s="0" t="str">
        <f aca="false">IF(ISNUMBER(FOLGAS!$C13),FOLGAS!$B13&amp;"","")</f>
        <v/>
      </c>
      <c r="D13" s="78" t="str">
        <f aca="false">IF(ISNUMBER(FOLGAS!$C13),FOLGAS!$C13,"")</f>
        <v/>
      </c>
      <c r="E13" s="0" t="str">
        <f aca="false">IF(ISNUMBER(FOLGAS!$C13),FOLGAS!$D13&amp;"","")</f>
        <v/>
      </c>
      <c r="F13" s="0" t="str">
        <f aca="false">IF(ISNUMBER(FOLGAS!$C13),FOLGAS!$G13&amp;"","")</f>
        <v/>
      </c>
      <c r="G13" s="0" t="str">
        <f aca="true">IF(D13="","",IF(D13=TODAY(),D13+ROW()/100000,""))</f>
        <v/>
      </c>
      <c r="H13" s="0" t="str">
        <f aca="true">IF(D13="","",IF(AND(D13&gt;TODAY(),D13&lt;=TODAY()+7),D13+ROW()/100000,""))</f>
        <v/>
      </c>
      <c r="I13" s="0" t="str">
        <f aca="false">IF(D13="","",IF(D13=CALENDÁRIO!$L$4,ROW(),""))</f>
        <v/>
      </c>
      <c r="J13" s="0" t="str">
        <f aca="false">IF(D13="","",CHOOSE(WEEKDAY(D13),"Domingo","Segunda","Terça","Quarta","Quinta","Sexta","Sábado"))</f>
        <v/>
      </c>
    </row>
    <row r="14" customFormat="false" ht="15" hidden="false" customHeight="false" outlineLevel="0" collapsed="false">
      <c r="A14" s="0" t="str">
        <f aca="false">IF(ISNUMBER(FOLGAS!$C14),"Folga","")</f>
        <v/>
      </c>
      <c r="B14" s="0" t="str">
        <f aca="false">IF(ISNUMBER(FOLGAS!$C14),FOLGAS!$A14&amp;"","")</f>
        <v/>
      </c>
      <c r="C14" s="0" t="str">
        <f aca="false">IF(ISNUMBER(FOLGAS!$C14),FOLGAS!$B14&amp;"","")</f>
        <v/>
      </c>
      <c r="D14" s="78" t="str">
        <f aca="false">IF(ISNUMBER(FOLGAS!$C14),FOLGAS!$C14,"")</f>
        <v/>
      </c>
      <c r="E14" s="0" t="str">
        <f aca="false">IF(ISNUMBER(FOLGAS!$C14),FOLGAS!$D14&amp;"","")</f>
        <v/>
      </c>
      <c r="F14" s="0" t="str">
        <f aca="false">IF(ISNUMBER(FOLGAS!$C14),FOLGAS!$G14&amp;"","")</f>
        <v/>
      </c>
      <c r="G14" s="0" t="str">
        <f aca="true">IF(D14="","",IF(D14=TODAY(),D14+ROW()/100000,""))</f>
        <v/>
      </c>
      <c r="H14" s="0" t="str">
        <f aca="true">IF(D14="","",IF(AND(D14&gt;TODAY(),D14&lt;=TODAY()+7),D14+ROW()/100000,""))</f>
        <v/>
      </c>
      <c r="I14" s="0" t="str">
        <f aca="false">IF(D14="","",IF(D14=CALENDÁRIO!$L$4,ROW(),""))</f>
        <v/>
      </c>
      <c r="J14" s="0" t="str">
        <f aca="false">IF(D14="","",CHOOSE(WEEKDAY(D14),"Domingo","Segunda","Terça","Quarta","Quinta","Sexta","Sábado"))</f>
        <v/>
      </c>
    </row>
    <row r="15" customFormat="false" ht="15" hidden="false" customHeight="false" outlineLevel="0" collapsed="false">
      <c r="A15" s="0" t="str">
        <f aca="false">IF(ISNUMBER(FOLGAS!$C15),"Folga","")</f>
        <v/>
      </c>
      <c r="B15" s="0" t="str">
        <f aca="false">IF(ISNUMBER(FOLGAS!$C15),FOLGAS!$A15&amp;"","")</f>
        <v/>
      </c>
      <c r="C15" s="0" t="str">
        <f aca="false">IF(ISNUMBER(FOLGAS!$C15),FOLGAS!$B15&amp;"","")</f>
        <v/>
      </c>
      <c r="D15" s="78" t="str">
        <f aca="false">IF(ISNUMBER(FOLGAS!$C15),FOLGAS!$C15,"")</f>
        <v/>
      </c>
      <c r="E15" s="0" t="str">
        <f aca="false">IF(ISNUMBER(FOLGAS!$C15),FOLGAS!$D15&amp;"","")</f>
        <v/>
      </c>
      <c r="F15" s="0" t="str">
        <f aca="false">IF(ISNUMBER(FOLGAS!$C15),FOLGAS!$G15&amp;"","")</f>
        <v/>
      </c>
      <c r="G15" s="0" t="str">
        <f aca="true">IF(D15="","",IF(D15=TODAY(),D15+ROW()/100000,""))</f>
        <v/>
      </c>
      <c r="H15" s="0" t="str">
        <f aca="true">IF(D15="","",IF(AND(D15&gt;TODAY(),D15&lt;=TODAY()+7),D15+ROW()/100000,""))</f>
        <v/>
      </c>
      <c r="I15" s="0" t="str">
        <f aca="false">IF(D15="","",IF(D15=CALENDÁRIO!$L$4,ROW(),""))</f>
        <v/>
      </c>
      <c r="J15" s="0" t="str">
        <f aca="false">IF(D15="","",CHOOSE(WEEKDAY(D15),"Domingo","Segunda","Terça","Quarta","Quinta","Sexta","Sábado"))</f>
        <v/>
      </c>
    </row>
    <row r="16" customFormat="false" ht="15" hidden="false" customHeight="false" outlineLevel="0" collapsed="false">
      <c r="A16" s="0" t="str">
        <f aca="false">IF(ISNUMBER(FOLGAS!$C16),"Folga","")</f>
        <v/>
      </c>
      <c r="B16" s="0" t="str">
        <f aca="false">IF(ISNUMBER(FOLGAS!$C16),FOLGAS!$A16&amp;"","")</f>
        <v/>
      </c>
      <c r="C16" s="0" t="str">
        <f aca="false">IF(ISNUMBER(FOLGAS!$C16),FOLGAS!$B16&amp;"","")</f>
        <v/>
      </c>
      <c r="D16" s="78" t="str">
        <f aca="false">IF(ISNUMBER(FOLGAS!$C16),FOLGAS!$C16,"")</f>
        <v/>
      </c>
      <c r="E16" s="0" t="str">
        <f aca="false">IF(ISNUMBER(FOLGAS!$C16),FOLGAS!$D16&amp;"","")</f>
        <v/>
      </c>
      <c r="F16" s="0" t="str">
        <f aca="false">IF(ISNUMBER(FOLGAS!$C16),FOLGAS!$G16&amp;"","")</f>
        <v/>
      </c>
      <c r="G16" s="0" t="str">
        <f aca="true">IF(D16="","",IF(D16=TODAY(),D16+ROW()/100000,""))</f>
        <v/>
      </c>
      <c r="H16" s="0" t="str">
        <f aca="true">IF(D16="","",IF(AND(D16&gt;TODAY(),D16&lt;=TODAY()+7),D16+ROW()/100000,""))</f>
        <v/>
      </c>
      <c r="I16" s="0" t="str">
        <f aca="false">IF(D16="","",IF(D16=CALENDÁRIO!$L$4,ROW(),""))</f>
        <v/>
      </c>
      <c r="J16" s="0" t="str">
        <f aca="false">IF(D16="","",CHOOSE(WEEKDAY(D16),"Domingo","Segunda","Terça","Quarta","Quinta","Sexta","Sábado"))</f>
        <v/>
      </c>
    </row>
    <row r="17" customFormat="false" ht="15" hidden="false" customHeight="false" outlineLevel="0" collapsed="false">
      <c r="A17" s="0" t="str">
        <f aca="false">IF(ISNUMBER(FOLGAS!$C17),"Folga","")</f>
        <v/>
      </c>
      <c r="B17" s="0" t="str">
        <f aca="false">IF(ISNUMBER(FOLGAS!$C17),FOLGAS!$A17&amp;"","")</f>
        <v/>
      </c>
      <c r="C17" s="0" t="str">
        <f aca="false">IF(ISNUMBER(FOLGAS!$C17),FOLGAS!$B17&amp;"","")</f>
        <v/>
      </c>
      <c r="D17" s="78" t="str">
        <f aca="false">IF(ISNUMBER(FOLGAS!$C17),FOLGAS!$C17,"")</f>
        <v/>
      </c>
      <c r="E17" s="0" t="str">
        <f aca="false">IF(ISNUMBER(FOLGAS!$C17),FOLGAS!$D17&amp;"","")</f>
        <v/>
      </c>
      <c r="F17" s="0" t="str">
        <f aca="false">IF(ISNUMBER(FOLGAS!$C17),FOLGAS!$G17&amp;"","")</f>
        <v/>
      </c>
      <c r="G17" s="0" t="str">
        <f aca="true">IF(D17="","",IF(D17=TODAY(),D17+ROW()/100000,""))</f>
        <v/>
      </c>
      <c r="H17" s="0" t="str">
        <f aca="true">IF(D17="","",IF(AND(D17&gt;TODAY(),D17&lt;=TODAY()+7),D17+ROW()/100000,""))</f>
        <v/>
      </c>
      <c r="I17" s="0" t="str">
        <f aca="false">IF(D17="","",IF(D17=CALENDÁRIO!$L$4,ROW(),""))</f>
        <v/>
      </c>
      <c r="J17" s="0" t="str">
        <f aca="false">IF(D17="","",CHOOSE(WEEKDAY(D17),"Domingo","Segunda","Terça","Quarta","Quinta","Sexta","Sábado"))</f>
        <v/>
      </c>
    </row>
    <row r="18" customFormat="false" ht="15" hidden="false" customHeight="false" outlineLevel="0" collapsed="false">
      <c r="A18" s="0" t="str">
        <f aca="false">IF(ISNUMBER(FOLGAS!$C18),"Folga","")</f>
        <v/>
      </c>
      <c r="B18" s="0" t="str">
        <f aca="false">IF(ISNUMBER(FOLGAS!$C18),FOLGAS!$A18&amp;"","")</f>
        <v/>
      </c>
      <c r="C18" s="0" t="str">
        <f aca="false">IF(ISNUMBER(FOLGAS!$C18),FOLGAS!$B18&amp;"","")</f>
        <v/>
      </c>
      <c r="D18" s="78" t="str">
        <f aca="false">IF(ISNUMBER(FOLGAS!$C18),FOLGAS!$C18,"")</f>
        <v/>
      </c>
      <c r="E18" s="0" t="str">
        <f aca="false">IF(ISNUMBER(FOLGAS!$C18),FOLGAS!$D18&amp;"","")</f>
        <v/>
      </c>
      <c r="F18" s="0" t="str">
        <f aca="false">IF(ISNUMBER(FOLGAS!$C18),FOLGAS!$G18&amp;"","")</f>
        <v/>
      </c>
      <c r="G18" s="0" t="str">
        <f aca="true">IF(D18="","",IF(D18=TODAY(),D18+ROW()/100000,""))</f>
        <v/>
      </c>
      <c r="H18" s="0" t="str">
        <f aca="true">IF(D18="","",IF(AND(D18&gt;TODAY(),D18&lt;=TODAY()+7),D18+ROW()/100000,""))</f>
        <v/>
      </c>
      <c r="I18" s="0" t="str">
        <f aca="false">IF(D18="","",IF(D18=CALENDÁRIO!$L$4,ROW(),""))</f>
        <v/>
      </c>
      <c r="J18" s="0" t="str">
        <f aca="false">IF(D18="","",CHOOSE(WEEKDAY(D18),"Domingo","Segunda","Terça","Quarta","Quinta","Sexta","Sábado"))</f>
        <v/>
      </c>
    </row>
    <row r="19" customFormat="false" ht="15" hidden="false" customHeight="false" outlineLevel="0" collapsed="false">
      <c r="A19" s="0" t="str">
        <f aca="false">IF(ISNUMBER(FOLGAS!$C19),"Folga","")</f>
        <v/>
      </c>
      <c r="B19" s="0" t="str">
        <f aca="false">IF(ISNUMBER(FOLGAS!$C19),FOLGAS!$A19&amp;"","")</f>
        <v/>
      </c>
      <c r="C19" s="0" t="str">
        <f aca="false">IF(ISNUMBER(FOLGAS!$C19),FOLGAS!$B19&amp;"","")</f>
        <v/>
      </c>
      <c r="D19" s="78" t="str">
        <f aca="false">IF(ISNUMBER(FOLGAS!$C19),FOLGAS!$C19,"")</f>
        <v/>
      </c>
      <c r="E19" s="0" t="str">
        <f aca="false">IF(ISNUMBER(FOLGAS!$C19),FOLGAS!$D19&amp;"","")</f>
        <v/>
      </c>
      <c r="F19" s="0" t="str">
        <f aca="false">IF(ISNUMBER(FOLGAS!$C19),FOLGAS!$G19&amp;"","")</f>
        <v/>
      </c>
      <c r="G19" s="0" t="str">
        <f aca="true">IF(D19="","",IF(D19=TODAY(),D19+ROW()/100000,""))</f>
        <v/>
      </c>
      <c r="H19" s="0" t="str">
        <f aca="true">IF(D19="","",IF(AND(D19&gt;TODAY(),D19&lt;=TODAY()+7),D19+ROW()/100000,""))</f>
        <v/>
      </c>
      <c r="I19" s="0" t="str">
        <f aca="false">IF(D19="","",IF(D19=CALENDÁRIO!$L$4,ROW(),""))</f>
        <v/>
      </c>
      <c r="J19" s="0" t="str">
        <f aca="false">IF(D19="","",CHOOSE(WEEKDAY(D19),"Domingo","Segunda","Terça","Quarta","Quinta","Sexta","Sábado"))</f>
        <v/>
      </c>
    </row>
    <row r="20" customFormat="false" ht="15" hidden="false" customHeight="false" outlineLevel="0" collapsed="false">
      <c r="A20" s="0" t="str">
        <f aca="false">IF(ISNUMBER(FOLGAS!$C20),"Folga","")</f>
        <v/>
      </c>
      <c r="B20" s="0" t="str">
        <f aca="false">IF(ISNUMBER(FOLGAS!$C20),FOLGAS!$A20&amp;"","")</f>
        <v/>
      </c>
      <c r="C20" s="0" t="str">
        <f aca="false">IF(ISNUMBER(FOLGAS!$C20),FOLGAS!$B20&amp;"","")</f>
        <v/>
      </c>
      <c r="D20" s="78" t="str">
        <f aca="false">IF(ISNUMBER(FOLGAS!$C20),FOLGAS!$C20,"")</f>
        <v/>
      </c>
      <c r="E20" s="0" t="str">
        <f aca="false">IF(ISNUMBER(FOLGAS!$C20),FOLGAS!$D20&amp;"","")</f>
        <v/>
      </c>
      <c r="F20" s="0" t="str">
        <f aca="false">IF(ISNUMBER(FOLGAS!$C20),FOLGAS!$G20&amp;"","")</f>
        <v/>
      </c>
      <c r="G20" s="0" t="str">
        <f aca="true">IF(D20="","",IF(D20=TODAY(),D20+ROW()/100000,""))</f>
        <v/>
      </c>
      <c r="H20" s="0" t="str">
        <f aca="true">IF(D20="","",IF(AND(D20&gt;TODAY(),D20&lt;=TODAY()+7),D20+ROW()/100000,""))</f>
        <v/>
      </c>
      <c r="I20" s="0" t="str">
        <f aca="false">IF(D20="","",IF(D20=CALENDÁRIO!$L$4,ROW(),""))</f>
        <v/>
      </c>
      <c r="J20" s="0" t="str">
        <f aca="false">IF(D20="","",CHOOSE(WEEKDAY(D20),"Domingo","Segunda","Terça","Quarta","Quinta","Sexta","Sábado"))</f>
        <v/>
      </c>
    </row>
    <row r="21" customFormat="false" ht="15" hidden="false" customHeight="false" outlineLevel="0" collapsed="false">
      <c r="A21" s="0" t="str">
        <f aca="false">IF(ISNUMBER(FOLGAS!$C21),"Folga","")</f>
        <v/>
      </c>
      <c r="B21" s="0" t="str">
        <f aca="false">IF(ISNUMBER(FOLGAS!$C21),FOLGAS!$A21&amp;"","")</f>
        <v/>
      </c>
      <c r="C21" s="0" t="str">
        <f aca="false">IF(ISNUMBER(FOLGAS!$C21),FOLGAS!$B21&amp;"","")</f>
        <v/>
      </c>
      <c r="D21" s="78" t="str">
        <f aca="false">IF(ISNUMBER(FOLGAS!$C21),FOLGAS!$C21,"")</f>
        <v/>
      </c>
      <c r="E21" s="0" t="str">
        <f aca="false">IF(ISNUMBER(FOLGAS!$C21),FOLGAS!$D21&amp;"","")</f>
        <v/>
      </c>
      <c r="F21" s="0" t="str">
        <f aca="false">IF(ISNUMBER(FOLGAS!$C21),FOLGAS!$G21&amp;"","")</f>
        <v/>
      </c>
      <c r="G21" s="0" t="str">
        <f aca="true">IF(D21="","",IF(D21=TODAY(),D21+ROW()/100000,""))</f>
        <v/>
      </c>
      <c r="H21" s="0" t="str">
        <f aca="true">IF(D21="","",IF(AND(D21&gt;TODAY(),D21&lt;=TODAY()+7),D21+ROW()/100000,""))</f>
        <v/>
      </c>
      <c r="I21" s="0" t="str">
        <f aca="false">IF(D21="","",IF(D21=CALENDÁRIO!$L$4,ROW(),""))</f>
        <v/>
      </c>
      <c r="J21" s="0" t="str">
        <f aca="false">IF(D21="","",CHOOSE(WEEKDAY(D21),"Domingo","Segunda","Terça","Quarta","Quinta","Sexta","Sábado"))</f>
        <v/>
      </c>
    </row>
    <row r="22" customFormat="false" ht="15" hidden="false" customHeight="false" outlineLevel="0" collapsed="false">
      <c r="A22" s="0" t="str">
        <f aca="false">IF(ISNUMBER(FOLGAS!$C22),"Folga","")</f>
        <v/>
      </c>
      <c r="B22" s="0" t="str">
        <f aca="false">IF(ISNUMBER(FOLGAS!$C22),FOLGAS!$A22&amp;"","")</f>
        <v/>
      </c>
      <c r="C22" s="0" t="str">
        <f aca="false">IF(ISNUMBER(FOLGAS!$C22),FOLGAS!$B22&amp;"","")</f>
        <v/>
      </c>
      <c r="D22" s="78" t="str">
        <f aca="false">IF(ISNUMBER(FOLGAS!$C22),FOLGAS!$C22,"")</f>
        <v/>
      </c>
      <c r="E22" s="0" t="str">
        <f aca="false">IF(ISNUMBER(FOLGAS!$C22),FOLGAS!$D22&amp;"","")</f>
        <v/>
      </c>
      <c r="F22" s="0" t="str">
        <f aca="false">IF(ISNUMBER(FOLGAS!$C22),FOLGAS!$G22&amp;"","")</f>
        <v/>
      </c>
      <c r="G22" s="0" t="str">
        <f aca="true">IF(D22="","",IF(D22=TODAY(),D22+ROW()/100000,""))</f>
        <v/>
      </c>
      <c r="H22" s="0" t="str">
        <f aca="true">IF(D22="","",IF(AND(D22&gt;TODAY(),D22&lt;=TODAY()+7),D22+ROW()/100000,""))</f>
        <v/>
      </c>
      <c r="I22" s="0" t="str">
        <f aca="false">IF(D22="","",IF(D22=CALENDÁRIO!$L$4,ROW(),""))</f>
        <v/>
      </c>
      <c r="J22" s="0" t="str">
        <f aca="false">IF(D22="","",CHOOSE(WEEKDAY(D22),"Domingo","Segunda","Terça","Quarta","Quinta","Sexta","Sábado"))</f>
        <v/>
      </c>
    </row>
    <row r="23" customFormat="false" ht="15" hidden="false" customHeight="false" outlineLevel="0" collapsed="false">
      <c r="A23" s="0" t="str">
        <f aca="false">IF(ISNUMBER(FOLGAS!$C23),"Folga","")</f>
        <v/>
      </c>
      <c r="B23" s="0" t="str">
        <f aca="false">IF(ISNUMBER(FOLGAS!$C23),FOLGAS!$A23&amp;"","")</f>
        <v/>
      </c>
      <c r="C23" s="0" t="str">
        <f aca="false">IF(ISNUMBER(FOLGAS!$C23),FOLGAS!$B23&amp;"","")</f>
        <v/>
      </c>
      <c r="D23" s="78" t="str">
        <f aca="false">IF(ISNUMBER(FOLGAS!$C23),FOLGAS!$C23,"")</f>
        <v/>
      </c>
      <c r="E23" s="0" t="str">
        <f aca="false">IF(ISNUMBER(FOLGAS!$C23),FOLGAS!$D23&amp;"","")</f>
        <v/>
      </c>
      <c r="F23" s="0" t="str">
        <f aca="false">IF(ISNUMBER(FOLGAS!$C23),FOLGAS!$G23&amp;"","")</f>
        <v/>
      </c>
      <c r="G23" s="0" t="str">
        <f aca="true">IF(D23="","",IF(D23=TODAY(),D23+ROW()/100000,""))</f>
        <v/>
      </c>
      <c r="H23" s="0" t="str">
        <f aca="true">IF(D23="","",IF(AND(D23&gt;TODAY(),D23&lt;=TODAY()+7),D23+ROW()/100000,""))</f>
        <v/>
      </c>
      <c r="I23" s="0" t="str">
        <f aca="false">IF(D23="","",IF(D23=CALENDÁRIO!$L$4,ROW(),""))</f>
        <v/>
      </c>
      <c r="J23" s="0" t="str">
        <f aca="false">IF(D23="","",CHOOSE(WEEKDAY(D23),"Domingo","Segunda","Terça","Quarta","Quinta","Sexta","Sábado"))</f>
        <v/>
      </c>
    </row>
    <row r="24" customFormat="false" ht="15" hidden="false" customHeight="false" outlineLevel="0" collapsed="false">
      <c r="A24" s="0" t="str">
        <f aca="false">IF(ISNUMBER(FOLGAS!$C24),"Folga","")</f>
        <v/>
      </c>
      <c r="B24" s="0" t="str">
        <f aca="false">IF(ISNUMBER(FOLGAS!$C24),FOLGAS!$A24&amp;"","")</f>
        <v/>
      </c>
      <c r="C24" s="0" t="str">
        <f aca="false">IF(ISNUMBER(FOLGAS!$C24),FOLGAS!$B24&amp;"","")</f>
        <v/>
      </c>
      <c r="D24" s="78" t="str">
        <f aca="false">IF(ISNUMBER(FOLGAS!$C24),FOLGAS!$C24,"")</f>
        <v/>
      </c>
      <c r="E24" s="0" t="str">
        <f aca="false">IF(ISNUMBER(FOLGAS!$C24),FOLGAS!$D24&amp;"","")</f>
        <v/>
      </c>
      <c r="F24" s="0" t="str">
        <f aca="false">IF(ISNUMBER(FOLGAS!$C24),FOLGAS!$G24&amp;"","")</f>
        <v/>
      </c>
      <c r="G24" s="0" t="str">
        <f aca="true">IF(D24="","",IF(D24=TODAY(),D24+ROW()/100000,""))</f>
        <v/>
      </c>
      <c r="H24" s="0" t="str">
        <f aca="true">IF(D24="","",IF(AND(D24&gt;TODAY(),D24&lt;=TODAY()+7),D24+ROW()/100000,""))</f>
        <v/>
      </c>
      <c r="I24" s="0" t="str">
        <f aca="false">IF(D24="","",IF(D24=CALENDÁRIO!$L$4,ROW(),""))</f>
        <v/>
      </c>
      <c r="J24" s="0" t="str">
        <f aca="false">IF(D24="","",CHOOSE(WEEKDAY(D24),"Domingo","Segunda","Terça","Quarta","Quinta","Sexta","Sábado"))</f>
        <v/>
      </c>
    </row>
    <row r="25" customFormat="false" ht="15" hidden="false" customHeight="false" outlineLevel="0" collapsed="false">
      <c r="A25" s="0" t="str">
        <f aca="false">IF(ISNUMBER(FOLGAS!$C25),"Folga","")</f>
        <v/>
      </c>
      <c r="B25" s="0" t="str">
        <f aca="false">IF(ISNUMBER(FOLGAS!$C25),FOLGAS!$A25&amp;"","")</f>
        <v/>
      </c>
      <c r="C25" s="0" t="str">
        <f aca="false">IF(ISNUMBER(FOLGAS!$C25),FOLGAS!$B25&amp;"","")</f>
        <v/>
      </c>
      <c r="D25" s="78" t="str">
        <f aca="false">IF(ISNUMBER(FOLGAS!$C25),FOLGAS!$C25,"")</f>
        <v/>
      </c>
      <c r="E25" s="0" t="str">
        <f aca="false">IF(ISNUMBER(FOLGAS!$C25),FOLGAS!$D25&amp;"","")</f>
        <v/>
      </c>
      <c r="F25" s="0" t="str">
        <f aca="false">IF(ISNUMBER(FOLGAS!$C25),FOLGAS!$G25&amp;"","")</f>
        <v/>
      </c>
      <c r="G25" s="0" t="str">
        <f aca="true">IF(D25="","",IF(D25=TODAY(),D25+ROW()/100000,""))</f>
        <v/>
      </c>
      <c r="H25" s="0" t="str">
        <f aca="true">IF(D25="","",IF(AND(D25&gt;TODAY(),D25&lt;=TODAY()+7),D25+ROW()/100000,""))</f>
        <v/>
      </c>
      <c r="I25" s="0" t="str">
        <f aca="false">IF(D25="","",IF(D25=CALENDÁRIO!$L$4,ROW(),""))</f>
        <v/>
      </c>
      <c r="J25" s="0" t="str">
        <f aca="false">IF(D25="","",CHOOSE(WEEKDAY(D25),"Domingo","Segunda","Terça","Quarta","Quinta","Sexta","Sábado"))</f>
        <v/>
      </c>
    </row>
    <row r="26" customFormat="false" ht="15" hidden="false" customHeight="false" outlineLevel="0" collapsed="false">
      <c r="A26" s="0" t="str">
        <f aca="false">IF(ISNUMBER(FOLGAS!$C26),"Folga","")</f>
        <v/>
      </c>
      <c r="B26" s="0" t="str">
        <f aca="false">IF(ISNUMBER(FOLGAS!$C26),FOLGAS!$A26&amp;"","")</f>
        <v/>
      </c>
      <c r="C26" s="0" t="str">
        <f aca="false">IF(ISNUMBER(FOLGAS!$C26),FOLGAS!$B26&amp;"","")</f>
        <v/>
      </c>
      <c r="D26" s="78" t="str">
        <f aca="false">IF(ISNUMBER(FOLGAS!$C26),FOLGAS!$C26,"")</f>
        <v/>
      </c>
      <c r="E26" s="0" t="str">
        <f aca="false">IF(ISNUMBER(FOLGAS!$C26),FOLGAS!$D26&amp;"","")</f>
        <v/>
      </c>
      <c r="F26" s="0" t="str">
        <f aca="false">IF(ISNUMBER(FOLGAS!$C26),FOLGAS!$G26&amp;"","")</f>
        <v/>
      </c>
      <c r="G26" s="0" t="str">
        <f aca="true">IF(D26="","",IF(D26=TODAY(),D26+ROW()/100000,""))</f>
        <v/>
      </c>
      <c r="H26" s="0" t="str">
        <f aca="true">IF(D26="","",IF(AND(D26&gt;TODAY(),D26&lt;=TODAY()+7),D26+ROW()/100000,""))</f>
        <v/>
      </c>
      <c r="I26" s="0" t="str">
        <f aca="false">IF(D26="","",IF(D26=CALENDÁRIO!$L$4,ROW(),""))</f>
        <v/>
      </c>
      <c r="J26" s="0" t="str">
        <f aca="false">IF(D26="","",CHOOSE(WEEKDAY(D26),"Domingo","Segunda","Terça","Quarta","Quinta","Sexta","Sábado"))</f>
        <v/>
      </c>
    </row>
    <row r="27" customFormat="false" ht="15" hidden="false" customHeight="false" outlineLevel="0" collapsed="false">
      <c r="A27" s="0" t="str">
        <f aca="false">IF(ISNUMBER(FOLGAS!$C27),"Folga","")</f>
        <v/>
      </c>
      <c r="B27" s="0" t="str">
        <f aca="false">IF(ISNUMBER(FOLGAS!$C27),FOLGAS!$A27&amp;"","")</f>
        <v/>
      </c>
      <c r="C27" s="0" t="str">
        <f aca="false">IF(ISNUMBER(FOLGAS!$C27),FOLGAS!$B27&amp;"","")</f>
        <v/>
      </c>
      <c r="D27" s="78" t="str">
        <f aca="false">IF(ISNUMBER(FOLGAS!$C27),FOLGAS!$C27,"")</f>
        <v/>
      </c>
      <c r="E27" s="0" t="str">
        <f aca="false">IF(ISNUMBER(FOLGAS!$C27),FOLGAS!$D27&amp;"","")</f>
        <v/>
      </c>
      <c r="F27" s="0" t="str">
        <f aca="false">IF(ISNUMBER(FOLGAS!$C27),FOLGAS!$G27&amp;"","")</f>
        <v/>
      </c>
      <c r="G27" s="0" t="str">
        <f aca="true">IF(D27="","",IF(D27=TODAY(),D27+ROW()/100000,""))</f>
        <v/>
      </c>
      <c r="H27" s="0" t="str">
        <f aca="true">IF(D27="","",IF(AND(D27&gt;TODAY(),D27&lt;=TODAY()+7),D27+ROW()/100000,""))</f>
        <v/>
      </c>
      <c r="I27" s="0" t="str">
        <f aca="false">IF(D27="","",IF(D27=CALENDÁRIO!$L$4,ROW(),""))</f>
        <v/>
      </c>
      <c r="J27" s="0" t="str">
        <f aca="false">IF(D27="","",CHOOSE(WEEKDAY(D27),"Domingo","Segunda","Terça","Quarta","Quinta","Sexta","Sábado"))</f>
        <v/>
      </c>
    </row>
    <row r="28" customFormat="false" ht="15" hidden="false" customHeight="false" outlineLevel="0" collapsed="false">
      <c r="A28" s="0" t="str">
        <f aca="false">IF(ISNUMBER(FOLGAS!$C28),"Folga","")</f>
        <v/>
      </c>
      <c r="B28" s="0" t="str">
        <f aca="false">IF(ISNUMBER(FOLGAS!$C28),FOLGAS!$A28&amp;"","")</f>
        <v/>
      </c>
      <c r="C28" s="0" t="str">
        <f aca="false">IF(ISNUMBER(FOLGAS!$C28),FOLGAS!$B28&amp;"","")</f>
        <v/>
      </c>
      <c r="D28" s="78" t="str">
        <f aca="false">IF(ISNUMBER(FOLGAS!$C28),FOLGAS!$C28,"")</f>
        <v/>
      </c>
      <c r="E28" s="0" t="str">
        <f aca="false">IF(ISNUMBER(FOLGAS!$C28),FOLGAS!$D28&amp;"","")</f>
        <v/>
      </c>
      <c r="F28" s="0" t="str">
        <f aca="false">IF(ISNUMBER(FOLGAS!$C28),FOLGAS!$G28&amp;"","")</f>
        <v/>
      </c>
      <c r="G28" s="0" t="str">
        <f aca="true">IF(D28="","",IF(D28=TODAY(),D28+ROW()/100000,""))</f>
        <v/>
      </c>
      <c r="H28" s="0" t="str">
        <f aca="true">IF(D28="","",IF(AND(D28&gt;TODAY(),D28&lt;=TODAY()+7),D28+ROW()/100000,""))</f>
        <v/>
      </c>
      <c r="I28" s="0" t="str">
        <f aca="false">IF(D28="","",IF(D28=CALENDÁRIO!$L$4,ROW(),""))</f>
        <v/>
      </c>
      <c r="J28" s="0" t="str">
        <f aca="false">IF(D28="","",CHOOSE(WEEKDAY(D28),"Domingo","Segunda","Terça","Quarta","Quinta","Sexta","Sábado"))</f>
        <v/>
      </c>
    </row>
    <row r="29" customFormat="false" ht="15" hidden="false" customHeight="false" outlineLevel="0" collapsed="false">
      <c r="A29" s="0" t="str">
        <f aca="false">IF(ISNUMBER(FOLGAS!$C29),"Folga","")</f>
        <v/>
      </c>
      <c r="B29" s="0" t="str">
        <f aca="false">IF(ISNUMBER(FOLGAS!$C29),FOLGAS!$A29&amp;"","")</f>
        <v/>
      </c>
      <c r="C29" s="0" t="str">
        <f aca="false">IF(ISNUMBER(FOLGAS!$C29),FOLGAS!$B29&amp;"","")</f>
        <v/>
      </c>
      <c r="D29" s="78" t="str">
        <f aca="false">IF(ISNUMBER(FOLGAS!$C29),FOLGAS!$C29,"")</f>
        <v/>
      </c>
      <c r="E29" s="0" t="str">
        <f aca="false">IF(ISNUMBER(FOLGAS!$C29),FOLGAS!$D29&amp;"","")</f>
        <v/>
      </c>
      <c r="F29" s="0" t="str">
        <f aca="false">IF(ISNUMBER(FOLGAS!$C29),FOLGAS!$G29&amp;"","")</f>
        <v/>
      </c>
      <c r="G29" s="0" t="str">
        <f aca="true">IF(D29="","",IF(D29=TODAY(),D29+ROW()/100000,""))</f>
        <v/>
      </c>
      <c r="H29" s="0" t="str">
        <f aca="true">IF(D29="","",IF(AND(D29&gt;TODAY(),D29&lt;=TODAY()+7),D29+ROW()/100000,""))</f>
        <v/>
      </c>
      <c r="I29" s="0" t="str">
        <f aca="false">IF(D29="","",IF(D29=CALENDÁRIO!$L$4,ROW(),""))</f>
        <v/>
      </c>
      <c r="J29" s="0" t="str">
        <f aca="false">IF(D29="","",CHOOSE(WEEKDAY(D29),"Domingo","Segunda","Terça","Quarta","Quinta","Sexta","Sábado"))</f>
        <v/>
      </c>
    </row>
    <row r="30" customFormat="false" ht="15" hidden="false" customHeight="false" outlineLevel="0" collapsed="false">
      <c r="A30" s="0" t="str">
        <f aca="false">IF(ISNUMBER(FOLGAS!$C30),"Folga","")</f>
        <v/>
      </c>
      <c r="B30" s="0" t="str">
        <f aca="false">IF(ISNUMBER(FOLGAS!$C30),FOLGAS!$A30&amp;"","")</f>
        <v/>
      </c>
      <c r="C30" s="0" t="str">
        <f aca="false">IF(ISNUMBER(FOLGAS!$C30),FOLGAS!$B30&amp;"","")</f>
        <v/>
      </c>
      <c r="D30" s="78" t="str">
        <f aca="false">IF(ISNUMBER(FOLGAS!$C30),FOLGAS!$C30,"")</f>
        <v/>
      </c>
      <c r="E30" s="0" t="str">
        <f aca="false">IF(ISNUMBER(FOLGAS!$C30),FOLGAS!$D30&amp;"","")</f>
        <v/>
      </c>
      <c r="F30" s="0" t="str">
        <f aca="false">IF(ISNUMBER(FOLGAS!$C30),FOLGAS!$G30&amp;"","")</f>
        <v/>
      </c>
      <c r="G30" s="0" t="str">
        <f aca="true">IF(D30="","",IF(D30=TODAY(),D30+ROW()/100000,""))</f>
        <v/>
      </c>
      <c r="H30" s="0" t="str">
        <f aca="true">IF(D30="","",IF(AND(D30&gt;TODAY(),D30&lt;=TODAY()+7),D30+ROW()/100000,""))</f>
        <v/>
      </c>
      <c r="I30" s="0" t="str">
        <f aca="false">IF(D30="","",IF(D30=CALENDÁRIO!$L$4,ROW(),""))</f>
        <v/>
      </c>
      <c r="J30" s="0" t="str">
        <f aca="false">IF(D30="","",CHOOSE(WEEKDAY(D30),"Domingo","Segunda","Terça","Quarta","Quinta","Sexta","Sábado"))</f>
        <v/>
      </c>
    </row>
    <row r="31" customFormat="false" ht="15" hidden="false" customHeight="false" outlineLevel="0" collapsed="false">
      <c r="A31" s="0" t="str">
        <f aca="false">IF(ISNUMBER(FOLGAS!$C31),"Folga","")</f>
        <v/>
      </c>
      <c r="B31" s="0" t="str">
        <f aca="false">IF(ISNUMBER(FOLGAS!$C31),FOLGAS!$A31&amp;"","")</f>
        <v/>
      </c>
      <c r="C31" s="0" t="str">
        <f aca="false">IF(ISNUMBER(FOLGAS!$C31),FOLGAS!$B31&amp;"","")</f>
        <v/>
      </c>
      <c r="D31" s="78" t="str">
        <f aca="false">IF(ISNUMBER(FOLGAS!$C31),FOLGAS!$C31,"")</f>
        <v/>
      </c>
      <c r="E31" s="0" t="str">
        <f aca="false">IF(ISNUMBER(FOLGAS!$C31),FOLGAS!$D31&amp;"","")</f>
        <v/>
      </c>
      <c r="F31" s="0" t="str">
        <f aca="false">IF(ISNUMBER(FOLGAS!$C31),FOLGAS!$G31&amp;"","")</f>
        <v/>
      </c>
      <c r="G31" s="0" t="str">
        <f aca="true">IF(D31="","",IF(D31=TODAY(),D31+ROW()/100000,""))</f>
        <v/>
      </c>
      <c r="H31" s="0" t="str">
        <f aca="true">IF(D31="","",IF(AND(D31&gt;TODAY(),D31&lt;=TODAY()+7),D31+ROW()/100000,""))</f>
        <v/>
      </c>
      <c r="I31" s="0" t="str">
        <f aca="false">IF(D31="","",IF(D31=CALENDÁRIO!$L$4,ROW(),""))</f>
        <v/>
      </c>
      <c r="J31" s="0" t="str">
        <f aca="false">IF(D31="","",CHOOSE(WEEKDAY(D31),"Domingo","Segunda","Terça","Quarta","Quinta","Sexta","Sábado"))</f>
        <v/>
      </c>
    </row>
    <row r="32" customFormat="false" ht="15" hidden="false" customHeight="false" outlineLevel="0" collapsed="false">
      <c r="A32" s="0" t="str">
        <f aca="false">IF(ISNUMBER(FOLGAS!$C32),"Folga","")</f>
        <v/>
      </c>
      <c r="B32" s="0" t="str">
        <f aca="false">IF(ISNUMBER(FOLGAS!$C32),FOLGAS!$A32&amp;"","")</f>
        <v/>
      </c>
      <c r="C32" s="0" t="str">
        <f aca="false">IF(ISNUMBER(FOLGAS!$C32),FOLGAS!$B32&amp;"","")</f>
        <v/>
      </c>
      <c r="D32" s="78" t="str">
        <f aca="false">IF(ISNUMBER(FOLGAS!$C32),FOLGAS!$C32,"")</f>
        <v/>
      </c>
      <c r="E32" s="0" t="str">
        <f aca="false">IF(ISNUMBER(FOLGAS!$C32),FOLGAS!$D32&amp;"","")</f>
        <v/>
      </c>
      <c r="F32" s="0" t="str">
        <f aca="false">IF(ISNUMBER(FOLGAS!$C32),FOLGAS!$G32&amp;"","")</f>
        <v/>
      </c>
      <c r="G32" s="0" t="str">
        <f aca="true">IF(D32="","",IF(D32=TODAY(),D32+ROW()/100000,""))</f>
        <v/>
      </c>
      <c r="H32" s="0" t="str">
        <f aca="true">IF(D32="","",IF(AND(D32&gt;TODAY(),D32&lt;=TODAY()+7),D32+ROW()/100000,""))</f>
        <v/>
      </c>
      <c r="I32" s="0" t="str">
        <f aca="false">IF(D32="","",IF(D32=CALENDÁRIO!$L$4,ROW(),""))</f>
        <v/>
      </c>
      <c r="J32" s="0" t="str">
        <f aca="false">IF(D32="","",CHOOSE(WEEKDAY(D32),"Domingo","Segunda","Terça","Quarta","Quinta","Sexta","Sábado"))</f>
        <v/>
      </c>
    </row>
    <row r="33" customFormat="false" ht="15" hidden="false" customHeight="false" outlineLevel="0" collapsed="false">
      <c r="A33" s="0" t="str">
        <f aca="false">IF(ISNUMBER(FOLGAS!$C33),"Folga","")</f>
        <v/>
      </c>
      <c r="B33" s="0" t="str">
        <f aca="false">IF(ISNUMBER(FOLGAS!$C33),FOLGAS!$A33&amp;"","")</f>
        <v/>
      </c>
      <c r="C33" s="0" t="str">
        <f aca="false">IF(ISNUMBER(FOLGAS!$C33),FOLGAS!$B33&amp;"","")</f>
        <v/>
      </c>
      <c r="D33" s="78" t="str">
        <f aca="false">IF(ISNUMBER(FOLGAS!$C33),FOLGAS!$C33,"")</f>
        <v/>
      </c>
      <c r="E33" s="0" t="str">
        <f aca="false">IF(ISNUMBER(FOLGAS!$C33),FOLGAS!$D33&amp;"","")</f>
        <v/>
      </c>
      <c r="F33" s="0" t="str">
        <f aca="false">IF(ISNUMBER(FOLGAS!$C33),FOLGAS!$G33&amp;"","")</f>
        <v/>
      </c>
      <c r="G33" s="0" t="str">
        <f aca="true">IF(D33="","",IF(D33=TODAY(),D33+ROW()/100000,""))</f>
        <v/>
      </c>
      <c r="H33" s="0" t="str">
        <f aca="true">IF(D33="","",IF(AND(D33&gt;TODAY(),D33&lt;=TODAY()+7),D33+ROW()/100000,""))</f>
        <v/>
      </c>
      <c r="I33" s="0" t="str">
        <f aca="false">IF(D33="","",IF(D33=CALENDÁRIO!$L$4,ROW(),""))</f>
        <v/>
      </c>
      <c r="J33" s="0" t="str">
        <f aca="false">IF(D33="","",CHOOSE(WEEKDAY(D33),"Domingo","Segunda","Terça","Quarta","Quinta","Sexta","Sábado"))</f>
        <v/>
      </c>
    </row>
    <row r="34" customFormat="false" ht="15" hidden="false" customHeight="false" outlineLevel="0" collapsed="false">
      <c r="A34" s="0" t="str">
        <f aca="false">IF(ISNUMBER(FOLGAS!$C34),"Folga","")</f>
        <v/>
      </c>
      <c r="B34" s="0" t="str">
        <f aca="false">IF(ISNUMBER(FOLGAS!$C34),FOLGAS!$A34&amp;"","")</f>
        <v/>
      </c>
      <c r="C34" s="0" t="str">
        <f aca="false">IF(ISNUMBER(FOLGAS!$C34),FOLGAS!$B34&amp;"","")</f>
        <v/>
      </c>
      <c r="D34" s="78" t="str">
        <f aca="false">IF(ISNUMBER(FOLGAS!$C34),FOLGAS!$C34,"")</f>
        <v/>
      </c>
      <c r="E34" s="0" t="str">
        <f aca="false">IF(ISNUMBER(FOLGAS!$C34),FOLGAS!$D34&amp;"","")</f>
        <v/>
      </c>
      <c r="F34" s="0" t="str">
        <f aca="false">IF(ISNUMBER(FOLGAS!$C34),FOLGAS!$G34&amp;"","")</f>
        <v/>
      </c>
      <c r="G34" s="0" t="str">
        <f aca="true">IF(D34="","",IF(D34=TODAY(),D34+ROW()/100000,""))</f>
        <v/>
      </c>
      <c r="H34" s="0" t="str">
        <f aca="true">IF(D34="","",IF(AND(D34&gt;TODAY(),D34&lt;=TODAY()+7),D34+ROW()/100000,""))</f>
        <v/>
      </c>
      <c r="I34" s="0" t="str">
        <f aca="false">IF(D34="","",IF(D34=CALENDÁRIO!$L$4,ROW(),""))</f>
        <v/>
      </c>
      <c r="J34" s="0" t="str">
        <f aca="false">IF(D34="","",CHOOSE(WEEKDAY(D34),"Domingo","Segunda","Terça","Quarta","Quinta","Sexta","Sábado"))</f>
        <v/>
      </c>
    </row>
    <row r="35" customFormat="false" ht="15" hidden="false" customHeight="false" outlineLevel="0" collapsed="false">
      <c r="A35" s="0" t="str">
        <f aca="false">IF(ISNUMBER(FOLGAS!$C35),"Folga","")</f>
        <v/>
      </c>
      <c r="B35" s="0" t="str">
        <f aca="false">IF(ISNUMBER(FOLGAS!$C35),FOLGAS!$A35&amp;"","")</f>
        <v/>
      </c>
      <c r="C35" s="0" t="str">
        <f aca="false">IF(ISNUMBER(FOLGAS!$C35),FOLGAS!$B35&amp;"","")</f>
        <v/>
      </c>
      <c r="D35" s="78" t="str">
        <f aca="false">IF(ISNUMBER(FOLGAS!$C35),FOLGAS!$C35,"")</f>
        <v/>
      </c>
      <c r="E35" s="0" t="str">
        <f aca="false">IF(ISNUMBER(FOLGAS!$C35),FOLGAS!$D35&amp;"","")</f>
        <v/>
      </c>
      <c r="F35" s="0" t="str">
        <f aca="false">IF(ISNUMBER(FOLGAS!$C35),FOLGAS!$G35&amp;"","")</f>
        <v/>
      </c>
      <c r="G35" s="0" t="str">
        <f aca="true">IF(D35="","",IF(D35=TODAY(),D35+ROW()/100000,""))</f>
        <v/>
      </c>
      <c r="H35" s="0" t="str">
        <f aca="true">IF(D35="","",IF(AND(D35&gt;TODAY(),D35&lt;=TODAY()+7),D35+ROW()/100000,""))</f>
        <v/>
      </c>
      <c r="I35" s="0" t="str">
        <f aca="false">IF(D35="","",IF(D35=CALENDÁRIO!$L$4,ROW(),""))</f>
        <v/>
      </c>
      <c r="J35" s="0" t="str">
        <f aca="false">IF(D35="","",CHOOSE(WEEKDAY(D35),"Domingo","Segunda","Terça","Quarta","Quinta","Sexta","Sábado"))</f>
        <v/>
      </c>
    </row>
    <row r="36" customFormat="false" ht="15" hidden="false" customHeight="false" outlineLevel="0" collapsed="false">
      <c r="A36" s="0" t="str">
        <f aca="false">IF(ISNUMBER(FOLGAS!$C36),"Folga","")</f>
        <v/>
      </c>
      <c r="B36" s="0" t="str">
        <f aca="false">IF(ISNUMBER(FOLGAS!$C36),FOLGAS!$A36&amp;"","")</f>
        <v/>
      </c>
      <c r="C36" s="0" t="str">
        <f aca="false">IF(ISNUMBER(FOLGAS!$C36),FOLGAS!$B36&amp;"","")</f>
        <v/>
      </c>
      <c r="D36" s="78" t="str">
        <f aca="false">IF(ISNUMBER(FOLGAS!$C36),FOLGAS!$C36,"")</f>
        <v/>
      </c>
      <c r="E36" s="0" t="str">
        <f aca="false">IF(ISNUMBER(FOLGAS!$C36),FOLGAS!$D36&amp;"","")</f>
        <v/>
      </c>
      <c r="F36" s="0" t="str">
        <f aca="false">IF(ISNUMBER(FOLGAS!$C36),FOLGAS!$G36&amp;"","")</f>
        <v/>
      </c>
      <c r="G36" s="0" t="str">
        <f aca="true">IF(D36="","",IF(D36=TODAY(),D36+ROW()/100000,""))</f>
        <v/>
      </c>
      <c r="H36" s="0" t="str">
        <f aca="true">IF(D36="","",IF(AND(D36&gt;TODAY(),D36&lt;=TODAY()+7),D36+ROW()/100000,""))</f>
        <v/>
      </c>
      <c r="I36" s="0" t="str">
        <f aca="false">IF(D36="","",IF(D36=CALENDÁRIO!$L$4,ROW(),""))</f>
        <v/>
      </c>
      <c r="J36" s="0" t="str">
        <f aca="false">IF(D36="","",CHOOSE(WEEKDAY(D36),"Domingo","Segunda","Terça","Quarta","Quinta","Sexta","Sábado"))</f>
        <v/>
      </c>
    </row>
    <row r="37" customFormat="false" ht="15" hidden="false" customHeight="false" outlineLevel="0" collapsed="false">
      <c r="A37" s="0" t="str">
        <f aca="false">IF(ISNUMBER(FOLGAS!$C37),"Folga","")</f>
        <v/>
      </c>
      <c r="B37" s="0" t="str">
        <f aca="false">IF(ISNUMBER(FOLGAS!$C37),FOLGAS!$A37&amp;"","")</f>
        <v/>
      </c>
      <c r="C37" s="0" t="str">
        <f aca="false">IF(ISNUMBER(FOLGAS!$C37),FOLGAS!$B37&amp;"","")</f>
        <v/>
      </c>
      <c r="D37" s="78" t="str">
        <f aca="false">IF(ISNUMBER(FOLGAS!$C37),FOLGAS!$C37,"")</f>
        <v/>
      </c>
      <c r="E37" s="0" t="str">
        <f aca="false">IF(ISNUMBER(FOLGAS!$C37),FOLGAS!$D37&amp;"","")</f>
        <v/>
      </c>
      <c r="F37" s="0" t="str">
        <f aca="false">IF(ISNUMBER(FOLGAS!$C37),FOLGAS!$G37&amp;"","")</f>
        <v/>
      </c>
      <c r="G37" s="0" t="str">
        <f aca="true">IF(D37="","",IF(D37=TODAY(),D37+ROW()/100000,""))</f>
        <v/>
      </c>
      <c r="H37" s="0" t="str">
        <f aca="true">IF(D37="","",IF(AND(D37&gt;TODAY(),D37&lt;=TODAY()+7),D37+ROW()/100000,""))</f>
        <v/>
      </c>
      <c r="I37" s="0" t="str">
        <f aca="false">IF(D37="","",IF(D37=CALENDÁRIO!$L$4,ROW(),""))</f>
        <v/>
      </c>
      <c r="J37" s="0" t="str">
        <f aca="false">IF(D37="","",CHOOSE(WEEKDAY(D37),"Domingo","Segunda","Terça","Quarta","Quinta","Sexta","Sábado"))</f>
        <v/>
      </c>
    </row>
    <row r="38" customFormat="false" ht="15" hidden="false" customHeight="false" outlineLevel="0" collapsed="false">
      <c r="A38" s="0" t="str">
        <f aca="false">IF(ISNUMBER(FOLGAS!$C38),"Folga","")</f>
        <v/>
      </c>
      <c r="B38" s="0" t="str">
        <f aca="false">IF(ISNUMBER(FOLGAS!$C38),FOLGAS!$A38&amp;"","")</f>
        <v/>
      </c>
      <c r="C38" s="0" t="str">
        <f aca="false">IF(ISNUMBER(FOLGAS!$C38),FOLGAS!$B38&amp;"","")</f>
        <v/>
      </c>
      <c r="D38" s="78" t="str">
        <f aca="false">IF(ISNUMBER(FOLGAS!$C38),FOLGAS!$C38,"")</f>
        <v/>
      </c>
      <c r="E38" s="0" t="str">
        <f aca="false">IF(ISNUMBER(FOLGAS!$C38),FOLGAS!$D38&amp;"","")</f>
        <v/>
      </c>
      <c r="F38" s="0" t="str">
        <f aca="false">IF(ISNUMBER(FOLGAS!$C38),FOLGAS!$G38&amp;"","")</f>
        <v/>
      </c>
      <c r="G38" s="0" t="str">
        <f aca="true">IF(D38="","",IF(D38=TODAY(),D38+ROW()/100000,""))</f>
        <v/>
      </c>
      <c r="H38" s="0" t="str">
        <f aca="true">IF(D38="","",IF(AND(D38&gt;TODAY(),D38&lt;=TODAY()+7),D38+ROW()/100000,""))</f>
        <v/>
      </c>
      <c r="I38" s="0" t="str">
        <f aca="false">IF(D38="","",IF(D38=CALENDÁRIO!$L$4,ROW(),""))</f>
        <v/>
      </c>
      <c r="J38" s="0" t="str">
        <f aca="false">IF(D38="","",CHOOSE(WEEKDAY(D38),"Domingo","Segunda","Terça","Quarta","Quinta","Sexta","Sábado"))</f>
        <v/>
      </c>
    </row>
    <row r="39" customFormat="false" ht="15" hidden="false" customHeight="false" outlineLevel="0" collapsed="false">
      <c r="A39" s="0" t="str">
        <f aca="false">IF(ISNUMBER(FOLGAS!$C39),"Folga","")</f>
        <v/>
      </c>
      <c r="B39" s="0" t="str">
        <f aca="false">IF(ISNUMBER(FOLGAS!$C39),FOLGAS!$A39&amp;"","")</f>
        <v/>
      </c>
      <c r="C39" s="0" t="str">
        <f aca="false">IF(ISNUMBER(FOLGAS!$C39),FOLGAS!$B39&amp;"","")</f>
        <v/>
      </c>
      <c r="D39" s="78" t="str">
        <f aca="false">IF(ISNUMBER(FOLGAS!$C39),FOLGAS!$C39,"")</f>
        <v/>
      </c>
      <c r="E39" s="0" t="str">
        <f aca="false">IF(ISNUMBER(FOLGAS!$C39),FOLGAS!$D39&amp;"","")</f>
        <v/>
      </c>
      <c r="F39" s="0" t="str">
        <f aca="false">IF(ISNUMBER(FOLGAS!$C39),FOLGAS!$G39&amp;"","")</f>
        <v/>
      </c>
      <c r="G39" s="0" t="str">
        <f aca="true">IF(D39="","",IF(D39=TODAY(),D39+ROW()/100000,""))</f>
        <v/>
      </c>
      <c r="H39" s="0" t="str">
        <f aca="true">IF(D39="","",IF(AND(D39&gt;TODAY(),D39&lt;=TODAY()+7),D39+ROW()/100000,""))</f>
        <v/>
      </c>
      <c r="I39" s="0" t="str">
        <f aca="false">IF(D39="","",IF(D39=CALENDÁRIO!$L$4,ROW(),""))</f>
        <v/>
      </c>
      <c r="J39" s="0" t="str">
        <f aca="false">IF(D39="","",CHOOSE(WEEKDAY(D39),"Domingo","Segunda","Terça","Quarta","Quinta","Sexta","Sábado"))</f>
        <v/>
      </c>
    </row>
    <row r="40" customFormat="false" ht="15" hidden="false" customHeight="false" outlineLevel="0" collapsed="false">
      <c r="A40" s="0" t="str">
        <f aca="false">IF(ISNUMBER(FOLGAS!$C40),"Folga","")</f>
        <v/>
      </c>
      <c r="B40" s="0" t="str">
        <f aca="false">IF(ISNUMBER(FOLGAS!$C40),FOLGAS!$A40&amp;"","")</f>
        <v/>
      </c>
      <c r="C40" s="0" t="str">
        <f aca="false">IF(ISNUMBER(FOLGAS!$C40),FOLGAS!$B40&amp;"","")</f>
        <v/>
      </c>
      <c r="D40" s="78" t="str">
        <f aca="false">IF(ISNUMBER(FOLGAS!$C40),FOLGAS!$C40,"")</f>
        <v/>
      </c>
      <c r="E40" s="0" t="str">
        <f aca="false">IF(ISNUMBER(FOLGAS!$C40),FOLGAS!$D40&amp;"","")</f>
        <v/>
      </c>
      <c r="F40" s="0" t="str">
        <f aca="false">IF(ISNUMBER(FOLGAS!$C40),FOLGAS!$G40&amp;"","")</f>
        <v/>
      </c>
      <c r="G40" s="0" t="str">
        <f aca="true">IF(D40="","",IF(D40=TODAY(),D40+ROW()/100000,""))</f>
        <v/>
      </c>
      <c r="H40" s="0" t="str">
        <f aca="true">IF(D40="","",IF(AND(D40&gt;TODAY(),D40&lt;=TODAY()+7),D40+ROW()/100000,""))</f>
        <v/>
      </c>
      <c r="I40" s="0" t="str">
        <f aca="false">IF(D40="","",IF(D40=CALENDÁRIO!$L$4,ROW(),""))</f>
        <v/>
      </c>
      <c r="J40" s="0" t="str">
        <f aca="false">IF(D40="","",CHOOSE(WEEKDAY(D40),"Domingo","Segunda","Terça","Quarta","Quinta","Sexta","Sábado"))</f>
        <v/>
      </c>
    </row>
    <row r="41" customFormat="false" ht="15" hidden="false" customHeight="false" outlineLevel="0" collapsed="false">
      <c r="A41" s="0" t="str">
        <f aca="false">IF(ISNUMBER(FOLGAS!$C41),"Folga","")</f>
        <v/>
      </c>
      <c r="B41" s="0" t="str">
        <f aca="false">IF(ISNUMBER(FOLGAS!$C41),FOLGAS!$A41&amp;"","")</f>
        <v/>
      </c>
      <c r="C41" s="0" t="str">
        <f aca="false">IF(ISNUMBER(FOLGAS!$C41),FOLGAS!$B41&amp;"","")</f>
        <v/>
      </c>
      <c r="D41" s="78" t="str">
        <f aca="false">IF(ISNUMBER(FOLGAS!$C41),FOLGAS!$C41,"")</f>
        <v/>
      </c>
      <c r="E41" s="0" t="str">
        <f aca="false">IF(ISNUMBER(FOLGAS!$C41),FOLGAS!$D41&amp;"","")</f>
        <v/>
      </c>
      <c r="F41" s="0" t="str">
        <f aca="false">IF(ISNUMBER(FOLGAS!$C41),FOLGAS!$G41&amp;"","")</f>
        <v/>
      </c>
      <c r="G41" s="0" t="str">
        <f aca="true">IF(D41="","",IF(D41=TODAY(),D41+ROW()/100000,""))</f>
        <v/>
      </c>
      <c r="H41" s="0" t="str">
        <f aca="true">IF(D41="","",IF(AND(D41&gt;TODAY(),D41&lt;=TODAY()+7),D41+ROW()/100000,""))</f>
        <v/>
      </c>
      <c r="I41" s="0" t="str">
        <f aca="false">IF(D41="","",IF(D41=CALENDÁRIO!$L$4,ROW(),""))</f>
        <v/>
      </c>
      <c r="J41" s="0" t="str">
        <f aca="false">IF(D41="","",CHOOSE(WEEKDAY(D41),"Domingo","Segunda","Terça","Quarta","Quinta","Sexta","Sábado"))</f>
        <v/>
      </c>
    </row>
    <row r="42" customFormat="false" ht="15" hidden="false" customHeight="false" outlineLevel="0" collapsed="false">
      <c r="A42" s="0" t="str">
        <f aca="false">IF(ISNUMBER(FOLGAS!$C42),"Folga","")</f>
        <v/>
      </c>
      <c r="B42" s="0" t="str">
        <f aca="false">IF(ISNUMBER(FOLGAS!$C42),FOLGAS!$A42&amp;"","")</f>
        <v/>
      </c>
      <c r="C42" s="0" t="str">
        <f aca="false">IF(ISNUMBER(FOLGAS!$C42),FOLGAS!$B42&amp;"","")</f>
        <v/>
      </c>
      <c r="D42" s="78" t="str">
        <f aca="false">IF(ISNUMBER(FOLGAS!$C42),FOLGAS!$C42,"")</f>
        <v/>
      </c>
      <c r="E42" s="0" t="str">
        <f aca="false">IF(ISNUMBER(FOLGAS!$C42),FOLGAS!$D42&amp;"","")</f>
        <v/>
      </c>
      <c r="F42" s="0" t="str">
        <f aca="false">IF(ISNUMBER(FOLGAS!$C42),FOLGAS!$G42&amp;"","")</f>
        <v/>
      </c>
      <c r="G42" s="0" t="str">
        <f aca="true">IF(D42="","",IF(D42=TODAY(),D42+ROW()/100000,""))</f>
        <v/>
      </c>
      <c r="H42" s="0" t="str">
        <f aca="true">IF(D42="","",IF(AND(D42&gt;TODAY(),D42&lt;=TODAY()+7),D42+ROW()/100000,""))</f>
        <v/>
      </c>
      <c r="I42" s="0" t="str">
        <f aca="false">IF(D42="","",IF(D42=CALENDÁRIO!$L$4,ROW(),""))</f>
        <v/>
      </c>
      <c r="J42" s="0" t="str">
        <f aca="false">IF(D42="","",CHOOSE(WEEKDAY(D42),"Domingo","Segunda","Terça","Quarta","Quinta","Sexta","Sábado"))</f>
        <v/>
      </c>
    </row>
    <row r="43" customFormat="false" ht="15" hidden="false" customHeight="false" outlineLevel="0" collapsed="false">
      <c r="A43" s="0" t="str">
        <f aca="false">IF(ISNUMBER(FOLGAS!$C43),"Folga","")</f>
        <v/>
      </c>
      <c r="B43" s="0" t="str">
        <f aca="false">IF(ISNUMBER(FOLGAS!$C43),FOLGAS!$A43&amp;"","")</f>
        <v/>
      </c>
      <c r="C43" s="0" t="str">
        <f aca="false">IF(ISNUMBER(FOLGAS!$C43),FOLGAS!$B43&amp;"","")</f>
        <v/>
      </c>
      <c r="D43" s="78" t="str">
        <f aca="false">IF(ISNUMBER(FOLGAS!$C43),FOLGAS!$C43,"")</f>
        <v/>
      </c>
      <c r="E43" s="0" t="str">
        <f aca="false">IF(ISNUMBER(FOLGAS!$C43),FOLGAS!$D43&amp;"","")</f>
        <v/>
      </c>
      <c r="F43" s="0" t="str">
        <f aca="false">IF(ISNUMBER(FOLGAS!$C43),FOLGAS!$G43&amp;"","")</f>
        <v/>
      </c>
      <c r="G43" s="0" t="str">
        <f aca="true">IF(D43="","",IF(D43=TODAY(),D43+ROW()/100000,""))</f>
        <v/>
      </c>
      <c r="H43" s="0" t="str">
        <f aca="true">IF(D43="","",IF(AND(D43&gt;TODAY(),D43&lt;=TODAY()+7),D43+ROW()/100000,""))</f>
        <v/>
      </c>
      <c r="I43" s="0" t="str">
        <f aca="false">IF(D43="","",IF(D43=CALENDÁRIO!$L$4,ROW(),""))</f>
        <v/>
      </c>
      <c r="J43" s="0" t="str">
        <f aca="false">IF(D43="","",CHOOSE(WEEKDAY(D43),"Domingo","Segunda","Terça","Quarta","Quinta","Sexta","Sábado"))</f>
        <v/>
      </c>
    </row>
    <row r="44" customFormat="false" ht="15" hidden="false" customHeight="false" outlineLevel="0" collapsed="false">
      <c r="A44" s="0" t="str">
        <f aca="false">IF(ISNUMBER(FOLGAS!$C44),"Folga","")</f>
        <v/>
      </c>
      <c r="B44" s="0" t="str">
        <f aca="false">IF(ISNUMBER(FOLGAS!$C44),FOLGAS!$A44&amp;"","")</f>
        <v/>
      </c>
      <c r="C44" s="0" t="str">
        <f aca="false">IF(ISNUMBER(FOLGAS!$C44),FOLGAS!$B44&amp;"","")</f>
        <v/>
      </c>
      <c r="D44" s="78" t="str">
        <f aca="false">IF(ISNUMBER(FOLGAS!$C44),FOLGAS!$C44,"")</f>
        <v/>
      </c>
      <c r="E44" s="0" t="str">
        <f aca="false">IF(ISNUMBER(FOLGAS!$C44),FOLGAS!$D44&amp;"","")</f>
        <v/>
      </c>
      <c r="F44" s="0" t="str">
        <f aca="false">IF(ISNUMBER(FOLGAS!$C44),FOLGAS!$G44&amp;"","")</f>
        <v/>
      </c>
      <c r="G44" s="0" t="str">
        <f aca="true">IF(D44="","",IF(D44=TODAY(),D44+ROW()/100000,""))</f>
        <v/>
      </c>
      <c r="H44" s="0" t="str">
        <f aca="true">IF(D44="","",IF(AND(D44&gt;TODAY(),D44&lt;=TODAY()+7),D44+ROW()/100000,""))</f>
        <v/>
      </c>
      <c r="I44" s="0" t="str">
        <f aca="false">IF(D44="","",IF(D44=CALENDÁRIO!$L$4,ROW(),""))</f>
        <v/>
      </c>
      <c r="J44" s="0" t="str">
        <f aca="false">IF(D44="","",CHOOSE(WEEKDAY(D44),"Domingo","Segunda","Terça","Quarta","Quinta","Sexta","Sábado"))</f>
        <v/>
      </c>
    </row>
    <row r="45" customFormat="false" ht="15" hidden="false" customHeight="false" outlineLevel="0" collapsed="false">
      <c r="A45" s="0" t="str">
        <f aca="false">IF(ISNUMBER(FOLGAS!$C45),"Folga","")</f>
        <v/>
      </c>
      <c r="B45" s="0" t="str">
        <f aca="false">IF(ISNUMBER(FOLGAS!$C45),FOLGAS!$A45&amp;"","")</f>
        <v/>
      </c>
      <c r="C45" s="0" t="str">
        <f aca="false">IF(ISNUMBER(FOLGAS!$C45),FOLGAS!$B45&amp;"","")</f>
        <v/>
      </c>
      <c r="D45" s="78" t="str">
        <f aca="false">IF(ISNUMBER(FOLGAS!$C45),FOLGAS!$C45,"")</f>
        <v/>
      </c>
      <c r="E45" s="0" t="str">
        <f aca="false">IF(ISNUMBER(FOLGAS!$C45),FOLGAS!$D45&amp;"","")</f>
        <v/>
      </c>
      <c r="F45" s="0" t="str">
        <f aca="false">IF(ISNUMBER(FOLGAS!$C45),FOLGAS!$G45&amp;"","")</f>
        <v/>
      </c>
      <c r="G45" s="0" t="str">
        <f aca="true">IF(D45="","",IF(D45=TODAY(),D45+ROW()/100000,""))</f>
        <v/>
      </c>
      <c r="H45" s="0" t="str">
        <f aca="true">IF(D45="","",IF(AND(D45&gt;TODAY(),D45&lt;=TODAY()+7),D45+ROW()/100000,""))</f>
        <v/>
      </c>
      <c r="I45" s="0" t="str">
        <f aca="false">IF(D45="","",IF(D45=CALENDÁRIO!$L$4,ROW(),""))</f>
        <v/>
      </c>
      <c r="J45" s="0" t="str">
        <f aca="false">IF(D45="","",CHOOSE(WEEKDAY(D45),"Domingo","Segunda","Terça","Quarta","Quinta","Sexta","Sábado"))</f>
        <v/>
      </c>
    </row>
    <row r="46" customFormat="false" ht="15" hidden="false" customHeight="false" outlineLevel="0" collapsed="false">
      <c r="A46" s="0" t="str">
        <f aca="false">IF(ISNUMBER(FOLGAS!$C46),"Folga","")</f>
        <v/>
      </c>
      <c r="B46" s="0" t="str">
        <f aca="false">IF(ISNUMBER(FOLGAS!$C46),FOLGAS!$A46&amp;"","")</f>
        <v/>
      </c>
      <c r="C46" s="0" t="str">
        <f aca="false">IF(ISNUMBER(FOLGAS!$C46),FOLGAS!$B46&amp;"","")</f>
        <v/>
      </c>
      <c r="D46" s="78" t="str">
        <f aca="false">IF(ISNUMBER(FOLGAS!$C46),FOLGAS!$C46,"")</f>
        <v/>
      </c>
      <c r="E46" s="0" t="str">
        <f aca="false">IF(ISNUMBER(FOLGAS!$C46),FOLGAS!$D46&amp;"","")</f>
        <v/>
      </c>
      <c r="F46" s="0" t="str">
        <f aca="false">IF(ISNUMBER(FOLGAS!$C46),FOLGAS!$G46&amp;"","")</f>
        <v/>
      </c>
      <c r="G46" s="0" t="str">
        <f aca="true">IF(D46="","",IF(D46=TODAY(),D46+ROW()/100000,""))</f>
        <v/>
      </c>
      <c r="H46" s="0" t="str">
        <f aca="true">IF(D46="","",IF(AND(D46&gt;TODAY(),D46&lt;=TODAY()+7),D46+ROW()/100000,""))</f>
        <v/>
      </c>
      <c r="I46" s="0" t="str">
        <f aca="false">IF(D46="","",IF(D46=CALENDÁRIO!$L$4,ROW(),""))</f>
        <v/>
      </c>
      <c r="J46" s="0" t="str">
        <f aca="false">IF(D46="","",CHOOSE(WEEKDAY(D46),"Domingo","Segunda","Terça","Quarta","Quinta","Sexta","Sábado"))</f>
        <v/>
      </c>
    </row>
    <row r="47" customFormat="false" ht="15" hidden="false" customHeight="false" outlineLevel="0" collapsed="false">
      <c r="A47" s="0" t="str">
        <f aca="false">IF(ISNUMBER(FOLGAS!$C47),"Folga","")</f>
        <v/>
      </c>
      <c r="B47" s="0" t="str">
        <f aca="false">IF(ISNUMBER(FOLGAS!$C47),FOLGAS!$A47&amp;"","")</f>
        <v/>
      </c>
      <c r="C47" s="0" t="str">
        <f aca="false">IF(ISNUMBER(FOLGAS!$C47),FOLGAS!$B47&amp;"","")</f>
        <v/>
      </c>
      <c r="D47" s="78" t="str">
        <f aca="false">IF(ISNUMBER(FOLGAS!$C47),FOLGAS!$C47,"")</f>
        <v/>
      </c>
      <c r="E47" s="0" t="str">
        <f aca="false">IF(ISNUMBER(FOLGAS!$C47),FOLGAS!$D47&amp;"","")</f>
        <v/>
      </c>
      <c r="F47" s="0" t="str">
        <f aca="false">IF(ISNUMBER(FOLGAS!$C47),FOLGAS!$G47&amp;"","")</f>
        <v/>
      </c>
      <c r="G47" s="0" t="str">
        <f aca="true">IF(D47="","",IF(D47=TODAY(),D47+ROW()/100000,""))</f>
        <v/>
      </c>
      <c r="H47" s="0" t="str">
        <f aca="true">IF(D47="","",IF(AND(D47&gt;TODAY(),D47&lt;=TODAY()+7),D47+ROW()/100000,""))</f>
        <v/>
      </c>
      <c r="I47" s="0" t="str">
        <f aca="false">IF(D47="","",IF(D47=CALENDÁRIO!$L$4,ROW(),""))</f>
        <v/>
      </c>
      <c r="J47" s="0" t="str">
        <f aca="false">IF(D47="","",CHOOSE(WEEKDAY(D47),"Domingo","Segunda","Terça","Quarta","Quinta","Sexta","Sábado"))</f>
        <v/>
      </c>
    </row>
    <row r="48" customFormat="false" ht="15" hidden="false" customHeight="false" outlineLevel="0" collapsed="false">
      <c r="A48" s="0" t="str">
        <f aca="false">IF(ISNUMBER(FOLGAS!$C48),"Folga","")</f>
        <v/>
      </c>
      <c r="B48" s="0" t="str">
        <f aca="false">IF(ISNUMBER(FOLGAS!$C48),FOLGAS!$A48&amp;"","")</f>
        <v/>
      </c>
      <c r="C48" s="0" t="str">
        <f aca="false">IF(ISNUMBER(FOLGAS!$C48),FOLGAS!$B48&amp;"","")</f>
        <v/>
      </c>
      <c r="D48" s="78" t="str">
        <f aca="false">IF(ISNUMBER(FOLGAS!$C48),FOLGAS!$C48,"")</f>
        <v/>
      </c>
      <c r="E48" s="0" t="str">
        <f aca="false">IF(ISNUMBER(FOLGAS!$C48),FOLGAS!$D48&amp;"","")</f>
        <v/>
      </c>
      <c r="F48" s="0" t="str">
        <f aca="false">IF(ISNUMBER(FOLGAS!$C48),FOLGAS!$G48&amp;"","")</f>
        <v/>
      </c>
      <c r="G48" s="0" t="str">
        <f aca="true">IF(D48="","",IF(D48=TODAY(),D48+ROW()/100000,""))</f>
        <v/>
      </c>
      <c r="H48" s="0" t="str">
        <f aca="true">IF(D48="","",IF(AND(D48&gt;TODAY(),D48&lt;=TODAY()+7),D48+ROW()/100000,""))</f>
        <v/>
      </c>
      <c r="I48" s="0" t="str">
        <f aca="false">IF(D48="","",IF(D48=CALENDÁRIO!$L$4,ROW(),""))</f>
        <v/>
      </c>
      <c r="J48" s="0" t="str">
        <f aca="false">IF(D48="","",CHOOSE(WEEKDAY(D48),"Domingo","Segunda","Terça","Quarta","Quinta","Sexta","Sábado"))</f>
        <v/>
      </c>
    </row>
    <row r="49" customFormat="false" ht="15" hidden="false" customHeight="false" outlineLevel="0" collapsed="false">
      <c r="A49" s="0" t="str">
        <f aca="false">IF(ISNUMBER(FOLGAS!$C49),"Folga","")</f>
        <v/>
      </c>
      <c r="B49" s="0" t="str">
        <f aca="false">IF(ISNUMBER(FOLGAS!$C49),FOLGAS!$A49&amp;"","")</f>
        <v/>
      </c>
      <c r="C49" s="0" t="str">
        <f aca="false">IF(ISNUMBER(FOLGAS!$C49),FOLGAS!$B49&amp;"","")</f>
        <v/>
      </c>
      <c r="D49" s="78" t="str">
        <f aca="false">IF(ISNUMBER(FOLGAS!$C49),FOLGAS!$C49,"")</f>
        <v/>
      </c>
      <c r="E49" s="0" t="str">
        <f aca="false">IF(ISNUMBER(FOLGAS!$C49),FOLGAS!$D49&amp;"","")</f>
        <v/>
      </c>
      <c r="F49" s="0" t="str">
        <f aca="false">IF(ISNUMBER(FOLGAS!$C49),FOLGAS!$G49&amp;"","")</f>
        <v/>
      </c>
      <c r="G49" s="0" t="str">
        <f aca="true">IF(D49="","",IF(D49=TODAY(),D49+ROW()/100000,""))</f>
        <v/>
      </c>
      <c r="H49" s="0" t="str">
        <f aca="true">IF(D49="","",IF(AND(D49&gt;TODAY(),D49&lt;=TODAY()+7),D49+ROW()/100000,""))</f>
        <v/>
      </c>
      <c r="I49" s="0" t="str">
        <f aca="false">IF(D49="","",IF(D49=CALENDÁRIO!$L$4,ROW(),""))</f>
        <v/>
      </c>
      <c r="J49" s="0" t="str">
        <f aca="false">IF(D49="","",CHOOSE(WEEKDAY(D49),"Domingo","Segunda","Terça","Quarta","Quinta","Sexta","Sábado"))</f>
        <v/>
      </c>
    </row>
    <row r="50" customFormat="false" ht="15" hidden="false" customHeight="false" outlineLevel="0" collapsed="false">
      <c r="A50" s="0" t="str">
        <f aca="false">IF(ISNUMBER(FOLGAS!$C50),"Folga","")</f>
        <v/>
      </c>
      <c r="B50" s="0" t="str">
        <f aca="false">IF(ISNUMBER(FOLGAS!$C50),FOLGAS!$A50&amp;"","")</f>
        <v/>
      </c>
      <c r="C50" s="0" t="str">
        <f aca="false">IF(ISNUMBER(FOLGAS!$C50),FOLGAS!$B50&amp;"","")</f>
        <v/>
      </c>
      <c r="D50" s="78" t="str">
        <f aca="false">IF(ISNUMBER(FOLGAS!$C50),FOLGAS!$C50,"")</f>
        <v/>
      </c>
      <c r="E50" s="0" t="str">
        <f aca="false">IF(ISNUMBER(FOLGAS!$C50),FOLGAS!$D50&amp;"","")</f>
        <v/>
      </c>
      <c r="F50" s="0" t="str">
        <f aca="false">IF(ISNUMBER(FOLGAS!$C50),FOLGAS!$G50&amp;"","")</f>
        <v/>
      </c>
      <c r="G50" s="0" t="str">
        <f aca="true">IF(D50="","",IF(D50=TODAY(),D50+ROW()/100000,""))</f>
        <v/>
      </c>
      <c r="H50" s="0" t="str">
        <f aca="true">IF(D50="","",IF(AND(D50&gt;TODAY(),D50&lt;=TODAY()+7),D50+ROW()/100000,""))</f>
        <v/>
      </c>
      <c r="I50" s="0" t="str">
        <f aca="false">IF(D50="","",IF(D50=CALENDÁRIO!$L$4,ROW(),""))</f>
        <v/>
      </c>
      <c r="J50" s="0" t="str">
        <f aca="false">IF(D50="","",CHOOSE(WEEKDAY(D50),"Domingo","Segunda","Terça","Quarta","Quinta","Sexta","Sábado"))</f>
        <v/>
      </c>
    </row>
    <row r="51" customFormat="false" ht="15" hidden="false" customHeight="false" outlineLevel="0" collapsed="false">
      <c r="A51" s="0" t="str">
        <f aca="false">IF(ISNUMBER(FOLGAS!$C51),"Folga","")</f>
        <v/>
      </c>
      <c r="B51" s="0" t="str">
        <f aca="false">IF(ISNUMBER(FOLGAS!$C51),FOLGAS!$A51&amp;"","")</f>
        <v/>
      </c>
      <c r="C51" s="0" t="str">
        <f aca="false">IF(ISNUMBER(FOLGAS!$C51),FOLGAS!$B51&amp;"","")</f>
        <v/>
      </c>
      <c r="D51" s="78" t="str">
        <f aca="false">IF(ISNUMBER(FOLGAS!$C51),FOLGAS!$C51,"")</f>
        <v/>
      </c>
      <c r="E51" s="0" t="str">
        <f aca="false">IF(ISNUMBER(FOLGAS!$C51),FOLGAS!$D51&amp;"","")</f>
        <v/>
      </c>
      <c r="F51" s="0" t="str">
        <f aca="false">IF(ISNUMBER(FOLGAS!$C51),FOLGAS!$G51&amp;"","")</f>
        <v/>
      </c>
      <c r="G51" s="0" t="str">
        <f aca="true">IF(D51="","",IF(D51=TODAY(),D51+ROW()/100000,""))</f>
        <v/>
      </c>
      <c r="H51" s="0" t="str">
        <f aca="true">IF(D51="","",IF(AND(D51&gt;TODAY(),D51&lt;=TODAY()+7),D51+ROW()/100000,""))</f>
        <v/>
      </c>
      <c r="I51" s="0" t="str">
        <f aca="false">IF(D51="","",IF(D51=CALENDÁRIO!$L$4,ROW(),""))</f>
        <v/>
      </c>
      <c r="J51" s="0" t="str">
        <f aca="false">IF(D51="","",CHOOSE(WEEKDAY(D51),"Domingo","Segunda","Terça","Quarta","Quinta","Sexta","Sábado"))</f>
        <v/>
      </c>
    </row>
    <row r="52" customFormat="false" ht="15" hidden="false" customHeight="false" outlineLevel="0" collapsed="false">
      <c r="A52" s="0" t="str">
        <f aca="false">IF(ISNUMBER(FOLGAS!$C52),"Folga","")</f>
        <v/>
      </c>
      <c r="B52" s="0" t="str">
        <f aca="false">IF(ISNUMBER(FOLGAS!$C52),FOLGAS!$A52&amp;"","")</f>
        <v/>
      </c>
      <c r="C52" s="0" t="str">
        <f aca="false">IF(ISNUMBER(FOLGAS!$C52),FOLGAS!$B52&amp;"","")</f>
        <v/>
      </c>
      <c r="D52" s="78" t="str">
        <f aca="false">IF(ISNUMBER(FOLGAS!$C52),FOLGAS!$C52,"")</f>
        <v/>
      </c>
      <c r="E52" s="0" t="str">
        <f aca="false">IF(ISNUMBER(FOLGAS!$C52),FOLGAS!$D52&amp;"","")</f>
        <v/>
      </c>
      <c r="F52" s="0" t="str">
        <f aca="false">IF(ISNUMBER(FOLGAS!$C52),FOLGAS!$G52&amp;"","")</f>
        <v/>
      </c>
      <c r="G52" s="0" t="str">
        <f aca="true">IF(D52="","",IF(D52=TODAY(),D52+ROW()/100000,""))</f>
        <v/>
      </c>
      <c r="H52" s="0" t="str">
        <f aca="true">IF(D52="","",IF(AND(D52&gt;TODAY(),D52&lt;=TODAY()+7),D52+ROW()/100000,""))</f>
        <v/>
      </c>
      <c r="I52" s="0" t="str">
        <f aca="false">IF(D52="","",IF(D52=CALENDÁRIO!$L$4,ROW(),""))</f>
        <v/>
      </c>
      <c r="J52" s="0" t="str">
        <f aca="false">IF(D52="","",CHOOSE(WEEKDAY(D52),"Domingo","Segunda","Terça","Quarta","Quinta","Sexta","Sábado"))</f>
        <v/>
      </c>
    </row>
    <row r="53" customFormat="false" ht="15" hidden="false" customHeight="false" outlineLevel="0" collapsed="false">
      <c r="A53" s="0" t="str">
        <f aca="false">IF(ISNUMBER(FOLGAS!$C53),"Folga","")</f>
        <v/>
      </c>
      <c r="B53" s="0" t="str">
        <f aca="false">IF(ISNUMBER(FOLGAS!$C53),FOLGAS!$A53&amp;"","")</f>
        <v/>
      </c>
      <c r="C53" s="0" t="str">
        <f aca="false">IF(ISNUMBER(FOLGAS!$C53),FOLGAS!$B53&amp;"","")</f>
        <v/>
      </c>
      <c r="D53" s="78" t="str">
        <f aca="false">IF(ISNUMBER(FOLGAS!$C53),FOLGAS!$C53,"")</f>
        <v/>
      </c>
      <c r="E53" s="0" t="str">
        <f aca="false">IF(ISNUMBER(FOLGAS!$C53),FOLGAS!$D53&amp;"","")</f>
        <v/>
      </c>
      <c r="F53" s="0" t="str">
        <f aca="false">IF(ISNUMBER(FOLGAS!$C53),FOLGAS!$G53&amp;"","")</f>
        <v/>
      </c>
      <c r="G53" s="0" t="str">
        <f aca="true">IF(D53="","",IF(D53=TODAY(),D53+ROW()/100000,""))</f>
        <v/>
      </c>
      <c r="H53" s="0" t="str">
        <f aca="true">IF(D53="","",IF(AND(D53&gt;TODAY(),D53&lt;=TODAY()+7),D53+ROW()/100000,""))</f>
        <v/>
      </c>
      <c r="I53" s="0" t="str">
        <f aca="false">IF(D53="","",IF(D53=CALENDÁRIO!$L$4,ROW(),""))</f>
        <v/>
      </c>
      <c r="J53" s="0" t="str">
        <f aca="false">IF(D53="","",CHOOSE(WEEKDAY(D53),"Domingo","Segunda","Terça","Quarta","Quinta","Sexta","Sábado"))</f>
        <v/>
      </c>
    </row>
    <row r="54" customFormat="false" ht="15" hidden="false" customHeight="false" outlineLevel="0" collapsed="false">
      <c r="A54" s="0" t="str">
        <f aca="false">IF(ISNUMBER(FOLGAS!$C54),"Folga","")</f>
        <v/>
      </c>
      <c r="B54" s="0" t="str">
        <f aca="false">IF(ISNUMBER(FOLGAS!$C54),FOLGAS!$A54&amp;"","")</f>
        <v/>
      </c>
      <c r="C54" s="0" t="str">
        <f aca="false">IF(ISNUMBER(FOLGAS!$C54),FOLGAS!$B54&amp;"","")</f>
        <v/>
      </c>
      <c r="D54" s="78" t="str">
        <f aca="false">IF(ISNUMBER(FOLGAS!$C54),FOLGAS!$C54,"")</f>
        <v/>
      </c>
      <c r="E54" s="0" t="str">
        <f aca="false">IF(ISNUMBER(FOLGAS!$C54),FOLGAS!$D54&amp;"","")</f>
        <v/>
      </c>
      <c r="F54" s="0" t="str">
        <f aca="false">IF(ISNUMBER(FOLGAS!$C54),FOLGAS!$G54&amp;"","")</f>
        <v/>
      </c>
      <c r="G54" s="0" t="str">
        <f aca="true">IF(D54="","",IF(D54=TODAY(),D54+ROW()/100000,""))</f>
        <v/>
      </c>
      <c r="H54" s="0" t="str">
        <f aca="true">IF(D54="","",IF(AND(D54&gt;TODAY(),D54&lt;=TODAY()+7),D54+ROW()/100000,""))</f>
        <v/>
      </c>
      <c r="I54" s="0" t="str">
        <f aca="false">IF(D54="","",IF(D54=CALENDÁRIO!$L$4,ROW(),""))</f>
        <v/>
      </c>
      <c r="J54" s="0" t="str">
        <f aca="false">IF(D54="","",CHOOSE(WEEKDAY(D54),"Domingo","Segunda","Terça","Quarta","Quinta","Sexta","Sábado"))</f>
        <v/>
      </c>
    </row>
    <row r="55" customFormat="false" ht="15" hidden="false" customHeight="false" outlineLevel="0" collapsed="false">
      <c r="A55" s="0" t="str">
        <f aca="false">IF(ISNUMBER(FOLGAS!$C55),"Folga","")</f>
        <v/>
      </c>
      <c r="B55" s="0" t="str">
        <f aca="false">IF(ISNUMBER(FOLGAS!$C55),FOLGAS!$A55&amp;"","")</f>
        <v/>
      </c>
      <c r="C55" s="0" t="str">
        <f aca="false">IF(ISNUMBER(FOLGAS!$C55),FOLGAS!$B55&amp;"","")</f>
        <v/>
      </c>
      <c r="D55" s="78" t="str">
        <f aca="false">IF(ISNUMBER(FOLGAS!$C55),FOLGAS!$C55,"")</f>
        <v/>
      </c>
      <c r="E55" s="0" t="str">
        <f aca="false">IF(ISNUMBER(FOLGAS!$C55),FOLGAS!$D55&amp;"","")</f>
        <v/>
      </c>
      <c r="F55" s="0" t="str">
        <f aca="false">IF(ISNUMBER(FOLGAS!$C55),FOLGAS!$G55&amp;"","")</f>
        <v/>
      </c>
      <c r="G55" s="0" t="str">
        <f aca="true">IF(D55="","",IF(D55=TODAY(),D55+ROW()/100000,""))</f>
        <v/>
      </c>
      <c r="H55" s="0" t="str">
        <f aca="true">IF(D55="","",IF(AND(D55&gt;TODAY(),D55&lt;=TODAY()+7),D55+ROW()/100000,""))</f>
        <v/>
      </c>
      <c r="I55" s="0" t="str">
        <f aca="false">IF(D55="","",IF(D55=CALENDÁRIO!$L$4,ROW(),""))</f>
        <v/>
      </c>
      <c r="J55" s="0" t="str">
        <f aca="false">IF(D55="","",CHOOSE(WEEKDAY(D55),"Domingo","Segunda","Terça","Quarta","Quinta","Sexta","Sábado"))</f>
        <v/>
      </c>
    </row>
    <row r="56" customFormat="false" ht="15" hidden="false" customHeight="false" outlineLevel="0" collapsed="false">
      <c r="A56" s="0" t="str">
        <f aca="false">IF(ISNUMBER(FOLGAS!$C56),"Folga","")</f>
        <v/>
      </c>
      <c r="B56" s="0" t="str">
        <f aca="false">IF(ISNUMBER(FOLGAS!$C56),FOLGAS!$A56&amp;"","")</f>
        <v/>
      </c>
      <c r="C56" s="0" t="str">
        <f aca="false">IF(ISNUMBER(FOLGAS!$C56),FOLGAS!$B56&amp;"","")</f>
        <v/>
      </c>
      <c r="D56" s="78" t="str">
        <f aca="false">IF(ISNUMBER(FOLGAS!$C56),FOLGAS!$C56,"")</f>
        <v/>
      </c>
      <c r="E56" s="0" t="str">
        <f aca="false">IF(ISNUMBER(FOLGAS!$C56),FOLGAS!$D56&amp;"","")</f>
        <v/>
      </c>
      <c r="F56" s="0" t="str">
        <f aca="false">IF(ISNUMBER(FOLGAS!$C56),FOLGAS!$G56&amp;"","")</f>
        <v/>
      </c>
      <c r="G56" s="0" t="str">
        <f aca="true">IF(D56="","",IF(D56=TODAY(),D56+ROW()/100000,""))</f>
        <v/>
      </c>
      <c r="H56" s="0" t="str">
        <f aca="true">IF(D56="","",IF(AND(D56&gt;TODAY(),D56&lt;=TODAY()+7),D56+ROW()/100000,""))</f>
        <v/>
      </c>
      <c r="I56" s="0" t="str">
        <f aca="false">IF(D56="","",IF(D56=CALENDÁRIO!$L$4,ROW(),""))</f>
        <v/>
      </c>
      <c r="J56" s="0" t="str">
        <f aca="false">IF(D56="","",CHOOSE(WEEKDAY(D56),"Domingo","Segunda","Terça","Quarta","Quinta","Sexta","Sábado"))</f>
        <v/>
      </c>
    </row>
    <row r="57" customFormat="false" ht="15" hidden="false" customHeight="false" outlineLevel="0" collapsed="false">
      <c r="A57" s="0" t="str">
        <f aca="false">IF(ISNUMBER(FOLGAS!$C57),"Folga","")</f>
        <v/>
      </c>
      <c r="B57" s="0" t="str">
        <f aca="false">IF(ISNUMBER(FOLGAS!$C57),FOLGAS!$A57&amp;"","")</f>
        <v/>
      </c>
      <c r="C57" s="0" t="str">
        <f aca="false">IF(ISNUMBER(FOLGAS!$C57),FOLGAS!$B57&amp;"","")</f>
        <v/>
      </c>
      <c r="D57" s="78" t="str">
        <f aca="false">IF(ISNUMBER(FOLGAS!$C57),FOLGAS!$C57,"")</f>
        <v/>
      </c>
      <c r="E57" s="0" t="str">
        <f aca="false">IF(ISNUMBER(FOLGAS!$C57),FOLGAS!$D57&amp;"","")</f>
        <v/>
      </c>
      <c r="F57" s="0" t="str">
        <f aca="false">IF(ISNUMBER(FOLGAS!$C57),FOLGAS!$G57&amp;"","")</f>
        <v/>
      </c>
      <c r="G57" s="0" t="str">
        <f aca="true">IF(D57="","",IF(D57=TODAY(),D57+ROW()/100000,""))</f>
        <v/>
      </c>
      <c r="H57" s="0" t="str">
        <f aca="true">IF(D57="","",IF(AND(D57&gt;TODAY(),D57&lt;=TODAY()+7),D57+ROW()/100000,""))</f>
        <v/>
      </c>
      <c r="I57" s="0" t="str">
        <f aca="false">IF(D57="","",IF(D57=CALENDÁRIO!$L$4,ROW(),""))</f>
        <v/>
      </c>
      <c r="J57" s="0" t="str">
        <f aca="false">IF(D57="","",CHOOSE(WEEKDAY(D57),"Domingo","Segunda","Terça","Quarta","Quinta","Sexta","Sábado"))</f>
        <v/>
      </c>
    </row>
    <row r="58" customFormat="false" ht="15" hidden="false" customHeight="false" outlineLevel="0" collapsed="false">
      <c r="A58" s="0" t="str">
        <f aca="false">IF(ISNUMBER(FOLGAS!$C58),"Folga","")</f>
        <v/>
      </c>
      <c r="B58" s="0" t="str">
        <f aca="false">IF(ISNUMBER(FOLGAS!$C58),FOLGAS!$A58&amp;"","")</f>
        <v/>
      </c>
      <c r="C58" s="0" t="str">
        <f aca="false">IF(ISNUMBER(FOLGAS!$C58),FOLGAS!$B58&amp;"","")</f>
        <v/>
      </c>
      <c r="D58" s="78" t="str">
        <f aca="false">IF(ISNUMBER(FOLGAS!$C58),FOLGAS!$C58,"")</f>
        <v/>
      </c>
      <c r="E58" s="0" t="str">
        <f aca="false">IF(ISNUMBER(FOLGAS!$C58),FOLGAS!$D58&amp;"","")</f>
        <v/>
      </c>
      <c r="F58" s="0" t="str">
        <f aca="false">IF(ISNUMBER(FOLGAS!$C58),FOLGAS!$G58&amp;"","")</f>
        <v/>
      </c>
      <c r="G58" s="0" t="str">
        <f aca="true">IF(D58="","",IF(D58=TODAY(),D58+ROW()/100000,""))</f>
        <v/>
      </c>
      <c r="H58" s="0" t="str">
        <f aca="true">IF(D58="","",IF(AND(D58&gt;TODAY(),D58&lt;=TODAY()+7),D58+ROW()/100000,""))</f>
        <v/>
      </c>
      <c r="I58" s="0" t="str">
        <f aca="false">IF(D58="","",IF(D58=CALENDÁRIO!$L$4,ROW(),""))</f>
        <v/>
      </c>
      <c r="J58" s="0" t="str">
        <f aca="false">IF(D58="","",CHOOSE(WEEKDAY(D58),"Domingo","Segunda","Terça","Quarta","Quinta","Sexta","Sábado"))</f>
        <v/>
      </c>
    </row>
    <row r="59" customFormat="false" ht="15" hidden="false" customHeight="false" outlineLevel="0" collapsed="false">
      <c r="A59" s="0" t="str">
        <f aca="false">IF(ISNUMBER(FOLGAS!$C59),"Folga","")</f>
        <v/>
      </c>
      <c r="B59" s="0" t="str">
        <f aca="false">IF(ISNUMBER(FOLGAS!$C59),FOLGAS!$A59&amp;"","")</f>
        <v/>
      </c>
      <c r="C59" s="0" t="str">
        <f aca="false">IF(ISNUMBER(FOLGAS!$C59),FOLGAS!$B59&amp;"","")</f>
        <v/>
      </c>
      <c r="D59" s="78" t="str">
        <f aca="false">IF(ISNUMBER(FOLGAS!$C59),FOLGAS!$C59,"")</f>
        <v/>
      </c>
      <c r="E59" s="0" t="str">
        <f aca="false">IF(ISNUMBER(FOLGAS!$C59),FOLGAS!$D59&amp;"","")</f>
        <v/>
      </c>
      <c r="F59" s="0" t="str">
        <f aca="false">IF(ISNUMBER(FOLGAS!$C59),FOLGAS!$G59&amp;"","")</f>
        <v/>
      </c>
      <c r="G59" s="0" t="str">
        <f aca="true">IF(D59="","",IF(D59=TODAY(),D59+ROW()/100000,""))</f>
        <v/>
      </c>
      <c r="H59" s="0" t="str">
        <f aca="true">IF(D59="","",IF(AND(D59&gt;TODAY(),D59&lt;=TODAY()+7),D59+ROW()/100000,""))</f>
        <v/>
      </c>
      <c r="I59" s="0" t="str">
        <f aca="false">IF(D59="","",IF(D59=CALENDÁRIO!$L$4,ROW(),""))</f>
        <v/>
      </c>
      <c r="J59" s="0" t="str">
        <f aca="false">IF(D59="","",CHOOSE(WEEKDAY(D59),"Domingo","Segunda","Terça","Quarta","Quinta","Sexta","Sábado"))</f>
        <v/>
      </c>
    </row>
    <row r="60" customFormat="false" ht="15" hidden="false" customHeight="false" outlineLevel="0" collapsed="false">
      <c r="A60" s="0" t="str">
        <f aca="false">IF(ISNUMBER(FOLGAS!$C60),"Folga","")</f>
        <v/>
      </c>
      <c r="B60" s="0" t="str">
        <f aca="false">IF(ISNUMBER(FOLGAS!$C60),FOLGAS!$A60&amp;"","")</f>
        <v/>
      </c>
      <c r="C60" s="0" t="str">
        <f aca="false">IF(ISNUMBER(FOLGAS!$C60),FOLGAS!$B60&amp;"","")</f>
        <v/>
      </c>
      <c r="D60" s="78" t="str">
        <f aca="false">IF(ISNUMBER(FOLGAS!$C60),FOLGAS!$C60,"")</f>
        <v/>
      </c>
      <c r="E60" s="0" t="str">
        <f aca="false">IF(ISNUMBER(FOLGAS!$C60),FOLGAS!$D60&amp;"","")</f>
        <v/>
      </c>
      <c r="F60" s="0" t="str">
        <f aca="false">IF(ISNUMBER(FOLGAS!$C60),FOLGAS!$G60&amp;"","")</f>
        <v/>
      </c>
      <c r="G60" s="0" t="str">
        <f aca="true">IF(D60="","",IF(D60=TODAY(),D60+ROW()/100000,""))</f>
        <v/>
      </c>
      <c r="H60" s="0" t="str">
        <f aca="true">IF(D60="","",IF(AND(D60&gt;TODAY(),D60&lt;=TODAY()+7),D60+ROW()/100000,""))</f>
        <v/>
      </c>
      <c r="I60" s="0" t="str">
        <f aca="false">IF(D60="","",IF(D60=CALENDÁRIO!$L$4,ROW(),""))</f>
        <v/>
      </c>
      <c r="J60" s="0" t="str">
        <f aca="false">IF(D60="","",CHOOSE(WEEKDAY(D60),"Domingo","Segunda","Terça","Quarta","Quinta","Sexta","Sábado"))</f>
        <v/>
      </c>
    </row>
    <row r="61" customFormat="false" ht="15" hidden="false" customHeight="false" outlineLevel="0" collapsed="false">
      <c r="A61" s="0" t="str">
        <f aca="false">IF(ISNUMBER(FOLGAS!$C61),"Folga","")</f>
        <v/>
      </c>
      <c r="B61" s="0" t="str">
        <f aca="false">IF(ISNUMBER(FOLGAS!$C61),FOLGAS!$A61&amp;"","")</f>
        <v/>
      </c>
      <c r="C61" s="0" t="str">
        <f aca="false">IF(ISNUMBER(FOLGAS!$C61),FOLGAS!$B61&amp;"","")</f>
        <v/>
      </c>
      <c r="D61" s="78" t="str">
        <f aca="false">IF(ISNUMBER(FOLGAS!$C61),FOLGAS!$C61,"")</f>
        <v/>
      </c>
      <c r="E61" s="0" t="str">
        <f aca="false">IF(ISNUMBER(FOLGAS!$C61),FOLGAS!$D61&amp;"","")</f>
        <v/>
      </c>
      <c r="F61" s="0" t="str">
        <f aca="false">IF(ISNUMBER(FOLGAS!$C61),FOLGAS!$G61&amp;"","")</f>
        <v/>
      </c>
      <c r="G61" s="0" t="str">
        <f aca="true">IF(D61="","",IF(D61=TODAY(),D61+ROW()/100000,""))</f>
        <v/>
      </c>
      <c r="H61" s="0" t="str">
        <f aca="true">IF(D61="","",IF(AND(D61&gt;TODAY(),D61&lt;=TODAY()+7),D61+ROW()/100000,""))</f>
        <v/>
      </c>
      <c r="I61" s="0" t="str">
        <f aca="false">IF(D61="","",IF(D61=CALENDÁRIO!$L$4,ROW(),""))</f>
        <v/>
      </c>
      <c r="J61" s="0" t="str">
        <f aca="false">IF(D61="","",CHOOSE(WEEKDAY(D61),"Domingo","Segunda","Terça","Quarta","Quinta","Sexta","Sábado"))</f>
        <v/>
      </c>
    </row>
    <row r="62" customFormat="false" ht="15" hidden="false" customHeight="false" outlineLevel="0" collapsed="false">
      <c r="A62" s="0" t="str">
        <f aca="false">IF(ISNUMBER(FOLGAS!$C62),"Folga","")</f>
        <v/>
      </c>
      <c r="B62" s="0" t="str">
        <f aca="false">IF(ISNUMBER(FOLGAS!$C62),FOLGAS!$A62&amp;"","")</f>
        <v/>
      </c>
      <c r="C62" s="0" t="str">
        <f aca="false">IF(ISNUMBER(FOLGAS!$C62),FOLGAS!$B62&amp;"","")</f>
        <v/>
      </c>
      <c r="D62" s="78" t="str">
        <f aca="false">IF(ISNUMBER(FOLGAS!$C62),FOLGAS!$C62,"")</f>
        <v/>
      </c>
      <c r="E62" s="0" t="str">
        <f aca="false">IF(ISNUMBER(FOLGAS!$C62),FOLGAS!$D62&amp;"","")</f>
        <v/>
      </c>
      <c r="F62" s="0" t="str">
        <f aca="false">IF(ISNUMBER(FOLGAS!$C62),FOLGAS!$G62&amp;"","")</f>
        <v/>
      </c>
      <c r="G62" s="0" t="str">
        <f aca="true">IF(D62="","",IF(D62=TODAY(),D62+ROW()/100000,""))</f>
        <v/>
      </c>
      <c r="H62" s="0" t="str">
        <f aca="true">IF(D62="","",IF(AND(D62&gt;TODAY(),D62&lt;=TODAY()+7),D62+ROW()/100000,""))</f>
        <v/>
      </c>
      <c r="I62" s="0" t="str">
        <f aca="false">IF(D62="","",IF(D62=CALENDÁRIO!$L$4,ROW(),""))</f>
        <v/>
      </c>
      <c r="J62" s="0" t="str">
        <f aca="false">IF(D62="","",CHOOSE(WEEKDAY(D62),"Domingo","Segunda","Terça","Quarta","Quinta","Sexta","Sábado"))</f>
        <v/>
      </c>
    </row>
    <row r="63" customFormat="false" ht="15" hidden="false" customHeight="false" outlineLevel="0" collapsed="false">
      <c r="A63" s="0" t="str">
        <f aca="false">IF(ISNUMBER(FOLGAS!$C63),"Folga","")</f>
        <v/>
      </c>
      <c r="B63" s="0" t="str">
        <f aca="false">IF(ISNUMBER(FOLGAS!$C63),FOLGAS!$A63&amp;"","")</f>
        <v/>
      </c>
      <c r="C63" s="0" t="str">
        <f aca="false">IF(ISNUMBER(FOLGAS!$C63),FOLGAS!$B63&amp;"","")</f>
        <v/>
      </c>
      <c r="D63" s="78" t="str">
        <f aca="false">IF(ISNUMBER(FOLGAS!$C63),FOLGAS!$C63,"")</f>
        <v/>
      </c>
      <c r="E63" s="0" t="str">
        <f aca="false">IF(ISNUMBER(FOLGAS!$C63),FOLGAS!$D63&amp;"","")</f>
        <v/>
      </c>
      <c r="F63" s="0" t="str">
        <f aca="false">IF(ISNUMBER(FOLGAS!$C63),FOLGAS!$G63&amp;"","")</f>
        <v/>
      </c>
      <c r="G63" s="0" t="str">
        <f aca="true">IF(D63="","",IF(D63=TODAY(),D63+ROW()/100000,""))</f>
        <v/>
      </c>
      <c r="H63" s="0" t="str">
        <f aca="true">IF(D63="","",IF(AND(D63&gt;TODAY(),D63&lt;=TODAY()+7),D63+ROW()/100000,""))</f>
        <v/>
      </c>
      <c r="I63" s="0" t="str">
        <f aca="false">IF(D63="","",IF(D63=CALENDÁRIO!$L$4,ROW(),""))</f>
        <v/>
      </c>
      <c r="J63" s="0" t="str">
        <f aca="false">IF(D63="","",CHOOSE(WEEKDAY(D63),"Domingo","Segunda","Terça","Quarta","Quinta","Sexta","Sábado"))</f>
        <v/>
      </c>
    </row>
    <row r="64" customFormat="false" ht="15" hidden="false" customHeight="false" outlineLevel="0" collapsed="false">
      <c r="A64" s="0" t="str">
        <f aca="false">IF(ISNUMBER(FOLGAS!$C64),"Folga","")</f>
        <v/>
      </c>
      <c r="B64" s="0" t="str">
        <f aca="false">IF(ISNUMBER(FOLGAS!$C64),FOLGAS!$A64&amp;"","")</f>
        <v/>
      </c>
      <c r="C64" s="0" t="str">
        <f aca="false">IF(ISNUMBER(FOLGAS!$C64),FOLGAS!$B64&amp;"","")</f>
        <v/>
      </c>
      <c r="D64" s="78" t="str">
        <f aca="false">IF(ISNUMBER(FOLGAS!$C64),FOLGAS!$C64,"")</f>
        <v/>
      </c>
      <c r="E64" s="0" t="str">
        <f aca="false">IF(ISNUMBER(FOLGAS!$C64),FOLGAS!$D64&amp;"","")</f>
        <v/>
      </c>
      <c r="F64" s="0" t="str">
        <f aca="false">IF(ISNUMBER(FOLGAS!$C64),FOLGAS!$G64&amp;"","")</f>
        <v/>
      </c>
      <c r="G64" s="0" t="str">
        <f aca="true">IF(D64="","",IF(D64=TODAY(),D64+ROW()/100000,""))</f>
        <v/>
      </c>
      <c r="H64" s="0" t="str">
        <f aca="true">IF(D64="","",IF(AND(D64&gt;TODAY(),D64&lt;=TODAY()+7),D64+ROW()/100000,""))</f>
        <v/>
      </c>
      <c r="I64" s="0" t="str">
        <f aca="false">IF(D64="","",IF(D64=CALENDÁRIO!$L$4,ROW(),""))</f>
        <v/>
      </c>
      <c r="J64" s="0" t="str">
        <f aca="false">IF(D64="","",CHOOSE(WEEKDAY(D64),"Domingo","Segunda","Terça","Quarta","Quinta","Sexta","Sábado"))</f>
        <v/>
      </c>
    </row>
    <row r="65" customFormat="false" ht="15" hidden="false" customHeight="false" outlineLevel="0" collapsed="false">
      <c r="A65" s="0" t="str">
        <f aca="false">IF(ISNUMBER(FOLGAS!$C65),"Folga","")</f>
        <v/>
      </c>
      <c r="B65" s="0" t="str">
        <f aca="false">IF(ISNUMBER(FOLGAS!$C65),FOLGAS!$A65&amp;"","")</f>
        <v/>
      </c>
      <c r="C65" s="0" t="str">
        <f aca="false">IF(ISNUMBER(FOLGAS!$C65),FOLGAS!$B65&amp;"","")</f>
        <v/>
      </c>
      <c r="D65" s="78" t="str">
        <f aca="false">IF(ISNUMBER(FOLGAS!$C65),FOLGAS!$C65,"")</f>
        <v/>
      </c>
      <c r="E65" s="0" t="str">
        <f aca="false">IF(ISNUMBER(FOLGAS!$C65),FOLGAS!$D65&amp;"","")</f>
        <v/>
      </c>
      <c r="F65" s="0" t="str">
        <f aca="false">IF(ISNUMBER(FOLGAS!$C65),FOLGAS!$G65&amp;"","")</f>
        <v/>
      </c>
      <c r="G65" s="0" t="str">
        <f aca="true">IF(D65="","",IF(D65=TODAY(),D65+ROW()/100000,""))</f>
        <v/>
      </c>
      <c r="H65" s="0" t="str">
        <f aca="true">IF(D65="","",IF(AND(D65&gt;TODAY(),D65&lt;=TODAY()+7),D65+ROW()/100000,""))</f>
        <v/>
      </c>
      <c r="I65" s="0" t="str">
        <f aca="false">IF(D65="","",IF(D65=CALENDÁRIO!$L$4,ROW(),""))</f>
        <v/>
      </c>
      <c r="J65" s="0" t="str">
        <f aca="false">IF(D65="","",CHOOSE(WEEKDAY(D65),"Domingo","Segunda","Terça","Quarta","Quinta","Sexta","Sábado"))</f>
        <v/>
      </c>
    </row>
    <row r="66" customFormat="false" ht="15" hidden="false" customHeight="false" outlineLevel="0" collapsed="false">
      <c r="A66" s="0" t="str">
        <f aca="false">IF(ISNUMBER(FOLGAS!$C66),"Folga","")</f>
        <v/>
      </c>
      <c r="B66" s="0" t="str">
        <f aca="false">IF(ISNUMBER(FOLGAS!$C66),FOLGAS!$A66&amp;"","")</f>
        <v/>
      </c>
      <c r="C66" s="0" t="str">
        <f aca="false">IF(ISNUMBER(FOLGAS!$C66),FOLGAS!$B66&amp;"","")</f>
        <v/>
      </c>
      <c r="D66" s="78" t="str">
        <f aca="false">IF(ISNUMBER(FOLGAS!$C66),FOLGAS!$C66,"")</f>
        <v/>
      </c>
      <c r="E66" s="0" t="str">
        <f aca="false">IF(ISNUMBER(FOLGAS!$C66),FOLGAS!$D66&amp;"","")</f>
        <v/>
      </c>
      <c r="F66" s="0" t="str">
        <f aca="false">IF(ISNUMBER(FOLGAS!$C66),FOLGAS!$G66&amp;"","")</f>
        <v/>
      </c>
      <c r="G66" s="0" t="str">
        <f aca="true">IF(D66="","",IF(D66=TODAY(),D66+ROW()/100000,""))</f>
        <v/>
      </c>
      <c r="H66" s="0" t="str">
        <f aca="true">IF(D66="","",IF(AND(D66&gt;TODAY(),D66&lt;=TODAY()+7),D66+ROW()/100000,""))</f>
        <v/>
      </c>
      <c r="I66" s="0" t="str">
        <f aca="false">IF(D66="","",IF(D66=CALENDÁRIO!$L$4,ROW(),""))</f>
        <v/>
      </c>
      <c r="J66" s="0" t="str">
        <f aca="false">IF(D66="","",CHOOSE(WEEKDAY(D66),"Domingo","Segunda","Terça","Quarta","Quinta","Sexta","Sábado"))</f>
        <v/>
      </c>
    </row>
    <row r="67" customFormat="false" ht="15" hidden="false" customHeight="false" outlineLevel="0" collapsed="false">
      <c r="A67" s="0" t="str">
        <f aca="false">IF(ISNUMBER(FOLGAS!$C67),"Folga","")</f>
        <v/>
      </c>
      <c r="B67" s="0" t="str">
        <f aca="false">IF(ISNUMBER(FOLGAS!$C67),FOLGAS!$A67&amp;"","")</f>
        <v/>
      </c>
      <c r="C67" s="0" t="str">
        <f aca="false">IF(ISNUMBER(FOLGAS!$C67),FOLGAS!$B67&amp;"","")</f>
        <v/>
      </c>
      <c r="D67" s="78" t="str">
        <f aca="false">IF(ISNUMBER(FOLGAS!$C67),FOLGAS!$C67,"")</f>
        <v/>
      </c>
      <c r="E67" s="0" t="str">
        <f aca="false">IF(ISNUMBER(FOLGAS!$C67),FOLGAS!$D67&amp;"","")</f>
        <v/>
      </c>
      <c r="F67" s="0" t="str">
        <f aca="false">IF(ISNUMBER(FOLGAS!$C67),FOLGAS!$G67&amp;"","")</f>
        <v/>
      </c>
      <c r="G67" s="0" t="str">
        <f aca="true">IF(D67="","",IF(D67=TODAY(),D67+ROW()/100000,""))</f>
        <v/>
      </c>
      <c r="H67" s="0" t="str">
        <f aca="true">IF(D67="","",IF(AND(D67&gt;TODAY(),D67&lt;=TODAY()+7),D67+ROW()/100000,""))</f>
        <v/>
      </c>
      <c r="I67" s="0" t="str">
        <f aca="false">IF(D67="","",IF(D67=CALENDÁRIO!$L$4,ROW(),""))</f>
        <v/>
      </c>
      <c r="J67" s="0" t="str">
        <f aca="false">IF(D67="","",CHOOSE(WEEKDAY(D67),"Domingo","Segunda","Terça","Quarta","Quinta","Sexta","Sábado"))</f>
        <v/>
      </c>
    </row>
    <row r="68" customFormat="false" ht="15" hidden="false" customHeight="false" outlineLevel="0" collapsed="false">
      <c r="A68" s="0" t="str">
        <f aca="false">IF(ISNUMBER(FOLGAS!$C68),"Folga","")</f>
        <v/>
      </c>
      <c r="B68" s="0" t="str">
        <f aca="false">IF(ISNUMBER(FOLGAS!$C68),FOLGAS!$A68&amp;"","")</f>
        <v/>
      </c>
      <c r="C68" s="0" t="str">
        <f aca="false">IF(ISNUMBER(FOLGAS!$C68),FOLGAS!$B68&amp;"","")</f>
        <v/>
      </c>
      <c r="D68" s="78" t="str">
        <f aca="false">IF(ISNUMBER(FOLGAS!$C68),FOLGAS!$C68,"")</f>
        <v/>
      </c>
      <c r="E68" s="0" t="str">
        <f aca="false">IF(ISNUMBER(FOLGAS!$C68),FOLGAS!$D68&amp;"","")</f>
        <v/>
      </c>
      <c r="F68" s="0" t="str">
        <f aca="false">IF(ISNUMBER(FOLGAS!$C68),FOLGAS!$G68&amp;"","")</f>
        <v/>
      </c>
      <c r="G68" s="0" t="str">
        <f aca="true">IF(D68="","",IF(D68=TODAY(),D68+ROW()/100000,""))</f>
        <v/>
      </c>
      <c r="H68" s="0" t="str">
        <f aca="true">IF(D68="","",IF(AND(D68&gt;TODAY(),D68&lt;=TODAY()+7),D68+ROW()/100000,""))</f>
        <v/>
      </c>
      <c r="I68" s="0" t="str">
        <f aca="false">IF(D68="","",IF(D68=CALENDÁRIO!$L$4,ROW(),""))</f>
        <v/>
      </c>
      <c r="J68" s="0" t="str">
        <f aca="false">IF(D68="","",CHOOSE(WEEKDAY(D68),"Domingo","Segunda","Terça","Quarta","Quinta","Sexta","Sábado"))</f>
        <v/>
      </c>
    </row>
    <row r="69" customFormat="false" ht="15" hidden="false" customHeight="false" outlineLevel="0" collapsed="false">
      <c r="A69" s="0" t="str">
        <f aca="false">IF(ISNUMBER(FOLGAS!$C69),"Folga","")</f>
        <v/>
      </c>
      <c r="B69" s="0" t="str">
        <f aca="false">IF(ISNUMBER(FOLGAS!$C69),FOLGAS!$A69&amp;"","")</f>
        <v/>
      </c>
      <c r="C69" s="0" t="str">
        <f aca="false">IF(ISNUMBER(FOLGAS!$C69),FOLGAS!$B69&amp;"","")</f>
        <v/>
      </c>
      <c r="D69" s="78" t="str">
        <f aca="false">IF(ISNUMBER(FOLGAS!$C69),FOLGAS!$C69,"")</f>
        <v/>
      </c>
      <c r="E69" s="0" t="str">
        <f aca="false">IF(ISNUMBER(FOLGAS!$C69),FOLGAS!$D69&amp;"","")</f>
        <v/>
      </c>
      <c r="F69" s="0" t="str">
        <f aca="false">IF(ISNUMBER(FOLGAS!$C69),FOLGAS!$G69&amp;"","")</f>
        <v/>
      </c>
      <c r="G69" s="0" t="str">
        <f aca="true">IF(D69="","",IF(D69=TODAY(),D69+ROW()/100000,""))</f>
        <v/>
      </c>
      <c r="H69" s="0" t="str">
        <f aca="true">IF(D69="","",IF(AND(D69&gt;TODAY(),D69&lt;=TODAY()+7),D69+ROW()/100000,""))</f>
        <v/>
      </c>
      <c r="I69" s="0" t="str">
        <f aca="false">IF(D69="","",IF(D69=CALENDÁRIO!$L$4,ROW(),""))</f>
        <v/>
      </c>
      <c r="J69" s="0" t="str">
        <f aca="false">IF(D69="","",CHOOSE(WEEKDAY(D69),"Domingo","Segunda","Terça","Quarta","Quinta","Sexta","Sábado"))</f>
        <v/>
      </c>
    </row>
    <row r="70" customFormat="false" ht="15" hidden="false" customHeight="false" outlineLevel="0" collapsed="false">
      <c r="A70" s="0" t="str">
        <f aca="false">IF(ISNUMBER(FOLGAS!$C70),"Folga","")</f>
        <v/>
      </c>
      <c r="B70" s="0" t="str">
        <f aca="false">IF(ISNUMBER(FOLGAS!$C70),FOLGAS!$A70&amp;"","")</f>
        <v/>
      </c>
      <c r="C70" s="0" t="str">
        <f aca="false">IF(ISNUMBER(FOLGAS!$C70),FOLGAS!$B70&amp;"","")</f>
        <v/>
      </c>
      <c r="D70" s="78" t="str">
        <f aca="false">IF(ISNUMBER(FOLGAS!$C70),FOLGAS!$C70,"")</f>
        <v/>
      </c>
      <c r="E70" s="0" t="str">
        <f aca="false">IF(ISNUMBER(FOLGAS!$C70),FOLGAS!$D70&amp;"","")</f>
        <v/>
      </c>
      <c r="F70" s="0" t="str">
        <f aca="false">IF(ISNUMBER(FOLGAS!$C70),FOLGAS!$G70&amp;"","")</f>
        <v/>
      </c>
      <c r="G70" s="0" t="str">
        <f aca="true">IF(D70="","",IF(D70=TODAY(),D70+ROW()/100000,""))</f>
        <v/>
      </c>
      <c r="H70" s="0" t="str">
        <f aca="true">IF(D70="","",IF(AND(D70&gt;TODAY(),D70&lt;=TODAY()+7),D70+ROW()/100000,""))</f>
        <v/>
      </c>
      <c r="I70" s="0" t="str">
        <f aca="false">IF(D70="","",IF(D70=CALENDÁRIO!$L$4,ROW(),""))</f>
        <v/>
      </c>
      <c r="J70" s="0" t="str">
        <f aca="false">IF(D70="","",CHOOSE(WEEKDAY(D70),"Domingo","Segunda","Terça","Quarta","Quinta","Sexta","Sábado"))</f>
        <v/>
      </c>
    </row>
    <row r="71" customFormat="false" ht="15" hidden="false" customHeight="false" outlineLevel="0" collapsed="false">
      <c r="A71" s="0" t="str">
        <f aca="false">IF(ISNUMBER(FOLGAS!$C71),"Folga","")</f>
        <v/>
      </c>
      <c r="B71" s="0" t="str">
        <f aca="false">IF(ISNUMBER(FOLGAS!$C71),FOLGAS!$A71&amp;"","")</f>
        <v/>
      </c>
      <c r="C71" s="0" t="str">
        <f aca="false">IF(ISNUMBER(FOLGAS!$C71),FOLGAS!$B71&amp;"","")</f>
        <v/>
      </c>
      <c r="D71" s="78" t="str">
        <f aca="false">IF(ISNUMBER(FOLGAS!$C71),FOLGAS!$C71,"")</f>
        <v/>
      </c>
      <c r="E71" s="0" t="str">
        <f aca="false">IF(ISNUMBER(FOLGAS!$C71),FOLGAS!$D71&amp;"","")</f>
        <v/>
      </c>
      <c r="F71" s="0" t="str">
        <f aca="false">IF(ISNUMBER(FOLGAS!$C71),FOLGAS!$G71&amp;"","")</f>
        <v/>
      </c>
      <c r="G71" s="0" t="str">
        <f aca="true">IF(D71="","",IF(D71=TODAY(),D71+ROW()/100000,""))</f>
        <v/>
      </c>
      <c r="H71" s="0" t="str">
        <f aca="true">IF(D71="","",IF(AND(D71&gt;TODAY(),D71&lt;=TODAY()+7),D71+ROW()/100000,""))</f>
        <v/>
      </c>
      <c r="I71" s="0" t="str">
        <f aca="false">IF(D71="","",IF(D71=CALENDÁRIO!$L$4,ROW(),""))</f>
        <v/>
      </c>
      <c r="J71" s="0" t="str">
        <f aca="false">IF(D71="","",CHOOSE(WEEKDAY(D71),"Domingo","Segunda","Terça","Quarta","Quinta","Sexta","Sábado"))</f>
        <v/>
      </c>
    </row>
    <row r="72" customFormat="false" ht="15" hidden="false" customHeight="false" outlineLevel="0" collapsed="false">
      <c r="A72" s="0" t="str">
        <f aca="false">IF(ISNUMBER(FOLGAS!$C72),"Folga","")</f>
        <v/>
      </c>
      <c r="B72" s="0" t="str">
        <f aca="false">IF(ISNUMBER(FOLGAS!$C72),FOLGAS!$A72&amp;"","")</f>
        <v/>
      </c>
      <c r="C72" s="0" t="str">
        <f aca="false">IF(ISNUMBER(FOLGAS!$C72),FOLGAS!$B72&amp;"","")</f>
        <v/>
      </c>
      <c r="D72" s="78" t="str">
        <f aca="false">IF(ISNUMBER(FOLGAS!$C72),FOLGAS!$C72,"")</f>
        <v/>
      </c>
      <c r="E72" s="0" t="str">
        <f aca="false">IF(ISNUMBER(FOLGAS!$C72),FOLGAS!$D72&amp;"","")</f>
        <v/>
      </c>
      <c r="F72" s="0" t="str">
        <f aca="false">IF(ISNUMBER(FOLGAS!$C72),FOLGAS!$G72&amp;"","")</f>
        <v/>
      </c>
      <c r="G72" s="0" t="str">
        <f aca="true">IF(D72="","",IF(D72=TODAY(),D72+ROW()/100000,""))</f>
        <v/>
      </c>
      <c r="H72" s="0" t="str">
        <f aca="true">IF(D72="","",IF(AND(D72&gt;TODAY(),D72&lt;=TODAY()+7),D72+ROW()/100000,""))</f>
        <v/>
      </c>
      <c r="I72" s="0" t="str">
        <f aca="false">IF(D72="","",IF(D72=CALENDÁRIO!$L$4,ROW(),""))</f>
        <v/>
      </c>
      <c r="J72" s="0" t="str">
        <f aca="false">IF(D72="","",CHOOSE(WEEKDAY(D72),"Domingo","Segunda","Terça","Quarta","Quinta","Sexta","Sábado"))</f>
        <v/>
      </c>
    </row>
    <row r="73" customFormat="false" ht="15" hidden="false" customHeight="false" outlineLevel="0" collapsed="false">
      <c r="A73" s="0" t="str">
        <f aca="false">IF(ISNUMBER(FOLGAS!$C73),"Folga","")</f>
        <v/>
      </c>
      <c r="B73" s="0" t="str">
        <f aca="false">IF(ISNUMBER(FOLGAS!$C73),FOLGAS!$A73&amp;"","")</f>
        <v/>
      </c>
      <c r="C73" s="0" t="str">
        <f aca="false">IF(ISNUMBER(FOLGAS!$C73),FOLGAS!$B73&amp;"","")</f>
        <v/>
      </c>
      <c r="D73" s="78" t="str">
        <f aca="false">IF(ISNUMBER(FOLGAS!$C73),FOLGAS!$C73,"")</f>
        <v/>
      </c>
      <c r="E73" s="0" t="str">
        <f aca="false">IF(ISNUMBER(FOLGAS!$C73),FOLGAS!$D73&amp;"","")</f>
        <v/>
      </c>
      <c r="F73" s="0" t="str">
        <f aca="false">IF(ISNUMBER(FOLGAS!$C73),FOLGAS!$G73&amp;"","")</f>
        <v/>
      </c>
      <c r="G73" s="0" t="str">
        <f aca="true">IF(D73="","",IF(D73=TODAY(),D73+ROW()/100000,""))</f>
        <v/>
      </c>
      <c r="H73" s="0" t="str">
        <f aca="true">IF(D73="","",IF(AND(D73&gt;TODAY(),D73&lt;=TODAY()+7),D73+ROW()/100000,""))</f>
        <v/>
      </c>
      <c r="I73" s="0" t="str">
        <f aca="false">IF(D73="","",IF(D73=CALENDÁRIO!$L$4,ROW(),""))</f>
        <v/>
      </c>
      <c r="J73" s="0" t="str">
        <f aca="false">IF(D73="","",CHOOSE(WEEKDAY(D73),"Domingo","Segunda","Terça","Quarta","Quinta","Sexta","Sábado"))</f>
        <v/>
      </c>
    </row>
    <row r="74" customFormat="false" ht="15" hidden="false" customHeight="false" outlineLevel="0" collapsed="false">
      <c r="A74" s="0" t="str">
        <f aca="false">IF(ISNUMBER(FOLGAS!$C74),"Folga","")</f>
        <v/>
      </c>
      <c r="B74" s="0" t="str">
        <f aca="false">IF(ISNUMBER(FOLGAS!$C74),FOLGAS!$A74&amp;"","")</f>
        <v/>
      </c>
      <c r="C74" s="0" t="str">
        <f aca="false">IF(ISNUMBER(FOLGAS!$C74),FOLGAS!$B74&amp;"","")</f>
        <v/>
      </c>
      <c r="D74" s="78" t="str">
        <f aca="false">IF(ISNUMBER(FOLGAS!$C74),FOLGAS!$C74,"")</f>
        <v/>
      </c>
      <c r="E74" s="0" t="str">
        <f aca="false">IF(ISNUMBER(FOLGAS!$C74),FOLGAS!$D74&amp;"","")</f>
        <v/>
      </c>
      <c r="F74" s="0" t="str">
        <f aca="false">IF(ISNUMBER(FOLGAS!$C74),FOLGAS!$G74&amp;"","")</f>
        <v/>
      </c>
      <c r="G74" s="0" t="str">
        <f aca="true">IF(D74="","",IF(D74=TODAY(),D74+ROW()/100000,""))</f>
        <v/>
      </c>
      <c r="H74" s="0" t="str">
        <f aca="true">IF(D74="","",IF(AND(D74&gt;TODAY(),D74&lt;=TODAY()+7),D74+ROW()/100000,""))</f>
        <v/>
      </c>
      <c r="I74" s="0" t="str">
        <f aca="false">IF(D74="","",IF(D74=CALENDÁRIO!$L$4,ROW(),""))</f>
        <v/>
      </c>
      <c r="J74" s="0" t="str">
        <f aca="false">IF(D74="","",CHOOSE(WEEKDAY(D74),"Domingo","Segunda","Terça","Quarta","Quinta","Sexta","Sábado"))</f>
        <v/>
      </c>
    </row>
    <row r="75" customFormat="false" ht="15" hidden="false" customHeight="false" outlineLevel="0" collapsed="false">
      <c r="A75" s="0" t="str">
        <f aca="false">IF(ISNUMBER(FOLGAS!$C75),"Folga","")</f>
        <v/>
      </c>
      <c r="B75" s="0" t="str">
        <f aca="false">IF(ISNUMBER(FOLGAS!$C75),FOLGAS!$A75&amp;"","")</f>
        <v/>
      </c>
      <c r="C75" s="0" t="str">
        <f aca="false">IF(ISNUMBER(FOLGAS!$C75),FOLGAS!$B75&amp;"","")</f>
        <v/>
      </c>
      <c r="D75" s="78" t="str">
        <f aca="false">IF(ISNUMBER(FOLGAS!$C75),FOLGAS!$C75,"")</f>
        <v/>
      </c>
      <c r="E75" s="0" t="str">
        <f aca="false">IF(ISNUMBER(FOLGAS!$C75),FOLGAS!$D75&amp;"","")</f>
        <v/>
      </c>
      <c r="F75" s="0" t="str">
        <f aca="false">IF(ISNUMBER(FOLGAS!$C75),FOLGAS!$G75&amp;"","")</f>
        <v/>
      </c>
      <c r="G75" s="0" t="str">
        <f aca="true">IF(D75="","",IF(D75=TODAY(),D75+ROW()/100000,""))</f>
        <v/>
      </c>
      <c r="H75" s="0" t="str">
        <f aca="true">IF(D75="","",IF(AND(D75&gt;TODAY(),D75&lt;=TODAY()+7),D75+ROW()/100000,""))</f>
        <v/>
      </c>
      <c r="I75" s="0" t="str">
        <f aca="false">IF(D75="","",IF(D75=CALENDÁRIO!$L$4,ROW(),""))</f>
        <v/>
      </c>
      <c r="J75" s="0" t="str">
        <f aca="false">IF(D75="","",CHOOSE(WEEKDAY(D75),"Domingo","Segunda","Terça","Quarta","Quinta","Sexta","Sábado"))</f>
        <v/>
      </c>
    </row>
    <row r="76" customFormat="false" ht="15" hidden="false" customHeight="false" outlineLevel="0" collapsed="false">
      <c r="A76" s="0" t="str">
        <f aca="false">IF(ISNUMBER(FOLGAS!$C76),"Folga","")</f>
        <v/>
      </c>
      <c r="B76" s="0" t="str">
        <f aca="false">IF(ISNUMBER(FOLGAS!$C76),FOLGAS!$A76&amp;"","")</f>
        <v/>
      </c>
      <c r="C76" s="0" t="str">
        <f aca="false">IF(ISNUMBER(FOLGAS!$C76),FOLGAS!$B76&amp;"","")</f>
        <v/>
      </c>
      <c r="D76" s="78" t="str">
        <f aca="false">IF(ISNUMBER(FOLGAS!$C76),FOLGAS!$C76,"")</f>
        <v/>
      </c>
      <c r="E76" s="0" t="str">
        <f aca="false">IF(ISNUMBER(FOLGAS!$C76),FOLGAS!$D76&amp;"","")</f>
        <v/>
      </c>
      <c r="F76" s="0" t="str">
        <f aca="false">IF(ISNUMBER(FOLGAS!$C76),FOLGAS!$G76&amp;"","")</f>
        <v/>
      </c>
      <c r="G76" s="0" t="str">
        <f aca="true">IF(D76="","",IF(D76=TODAY(),D76+ROW()/100000,""))</f>
        <v/>
      </c>
      <c r="H76" s="0" t="str">
        <f aca="true">IF(D76="","",IF(AND(D76&gt;TODAY(),D76&lt;=TODAY()+7),D76+ROW()/100000,""))</f>
        <v/>
      </c>
      <c r="I76" s="0" t="str">
        <f aca="false">IF(D76="","",IF(D76=CALENDÁRIO!$L$4,ROW(),""))</f>
        <v/>
      </c>
      <c r="J76" s="0" t="str">
        <f aca="false">IF(D76="","",CHOOSE(WEEKDAY(D76),"Domingo","Segunda","Terça","Quarta","Quinta","Sexta","Sábado"))</f>
        <v/>
      </c>
    </row>
    <row r="77" customFormat="false" ht="15" hidden="false" customHeight="false" outlineLevel="0" collapsed="false">
      <c r="A77" s="0" t="str">
        <f aca="false">IF(ISNUMBER(FOLGAS!$C77),"Folga","")</f>
        <v/>
      </c>
      <c r="B77" s="0" t="str">
        <f aca="false">IF(ISNUMBER(FOLGAS!$C77),FOLGAS!$A77&amp;"","")</f>
        <v/>
      </c>
      <c r="C77" s="0" t="str">
        <f aca="false">IF(ISNUMBER(FOLGAS!$C77),FOLGAS!$B77&amp;"","")</f>
        <v/>
      </c>
      <c r="D77" s="78" t="str">
        <f aca="false">IF(ISNUMBER(FOLGAS!$C77),FOLGAS!$C77,"")</f>
        <v/>
      </c>
      <c r="E77" s="0" t="str">
        <f aca="false">IF(ISNUMBER(FOLGAS!$C77),FOLGAS!$D77&amp;"","")</f>
        <v/>
      </c>
      <c r="F77" s="0" t="str">
        <f aca="false">IF(ISNUMBER(FOLGAS!$C77),FOLGAS!$G77&amp;"","")</f>
        <v/>
      </c>
      <c r="G77" s="0" t="str">
        <f aca="true">IF(D77="","",IF(D77=TODAY(),D77+ROW()/100000,""))</f>
        <v/>
      </c>
      <c r="H77" s="0" t="str">
        <f aca="true">IF(D77="","",IF(AND(D77&gt;TODAY(),D77&lt;=TODAY()+7),D77+ROW()/100000,""))</f>
        <v/>
      </c>
      <c r="I77" s="0" t="str">
        <f aca="false">IF(D77="","",IF(D77=CALENDÁRIO!$L$4,ROW(),""))</f>
        <v/>
      </c>
      <c r="J77" s="0" t="str">
        <f aca="false">IF(D77="","",CHOOSE(WEEKDAY(D77),"Domingo","Segunda","Terça","Quarta","Quinta","Sexta","Sábado"))</f>
        <v/>
      </c>
    </row>
    <row r="78" customFormat="false" ht="15" hidden="false" customHeight="false" outlineLevel="0" collapsed="false">
      <c r="A78" s="0" t="str">
        <f aca="false">IF(ISNUMBER(FOLGAS!$C78),"Folga","")</f>
        <v/>
      </c>
      <c r="B78" s="0" t="str">
        <f aca="false">IF(ISNUMBER(FOLGAS!$C78),FOLGAS!$A78&amp;"","")</f>
        <v/>
      </c>
      <c r="C78" s="0" t="str">
        <f aca="false">IF(ISNUMBER(FOLGAS!$C78),FOLGAS!$B78&amp;"","")</f>
        <v/>
      </c>
      <c r="D78" s="78" t="str">
        <f aca="false">IF(ISNUMBER(FOLGAS!$C78),FOLGAS!$C78,"")</f>
        <v/>
      </c>
      <c r="E78" s="0" t="str">
        <f aca="false">IF(ISNUMBER(FOLGAS!$C78),FOLGAS!$D78&amp;"","")</f>
        <v/>
      </c>
      <c r="F78" s="0" t="str">
        <f aca="false">IF(ISNUMBER(FOLGAS!$C78),FOLGAS!$G78&amp;"","")</f>
        <v/>
      </c>
      <c r="G78" s="0" t="str">
        <f aca="true">IF(D78="","",IF(D78=TODAY(),D78+ROW()/100000,""))</f>
        <v/>
      </c>
      <c r="H78" s="0" t="str">
        <f aca="true">IF(D78="","",IF(AND(D78&gt;TODAY(),D78&lt;=TODAY()+7),D78+ROW()/100000,""))</f>
        <v/>
      </c>
      <c r="I78" s="0" t="str">
        <f aca="false">IF(D78="","",IF(D78=CALENDÁRIO!$L$4,ROW(),""))</f>
        <v/>
      </c>
      <c r="J78" s="0" t="str">
        <f aca="false">IF(D78="","",CHOOSE(WEEKDAY(D78),"Domingo","Segunda","Terça","Quarta","Quinta","Sexta","Sábado"))</f>
        <v/>
      </c>
    </row>
    <row r="79" customFormat="false" ht="15" hidden="false" customHeight="false" outlineLevel="0" collapsed="false">
      <c r="A79" s="0" t="str">
        <f aca="false">IF(ISNUMBER(FOLGAS!$C79),"Folga","")</f>
        <v/>
      </c>
      <c r="B79" s="0" t="str">
        <f aca="false">IF(ISNUMBER(FOLGAS!$C79),FOLGAS!$A79&amp;"","")</f>
        <v/>
      </c>
      <c r="C79" s="0" t="str">
        <f aca="false">IF(ISNUMBER(FOLGAS!$C79),FOLGAS!$B79&amp;"","")</f>
        <v/>
      </c>
      <c r="D79" s="78" t="str">
        <f aca="false">IF(ISNUMBER(FOLGAS!$C79),FOLGAS!$C79,"")</f>
        <v/>
      </c>
      <c r="E79" s="0" t="str">
        <f aca="false">IF(ISNUMBER(FOLGAS!$C79),FOLGAS!$D79&amp;"","")</f>
        <v/>
      </c>
      <c r="F79" s="0" t="str">
        <f aca="false">IF(ISNUMBER(FOLGAS!$C79),FOLGAS!$G79&amp;"","")</f>
        <v/>
      </c>
      <c r="G79" s="0" t="str">
        <f aca="true">IF(D79="","",IF(D79=TODAY(),D79+ROW()/100000,""))</f>
        <v/>
      </c>
      <c r="H79" s="0" t="str">
        <f aca="true">IF(D79="","",IF(AND(D79&gt;TODAY(),D79&lt;=TODAY()+7),D79+ROW()/100000,""))</f>
        <v/>
      </c>
      <c r="I79" s="0" t="str">
        <f aca="false">IF(D79="","",IF(D79=CALENDÁRIO!$L$4,ROW(),""))</f>
        <v/>
      </c>
      <c r="J79" s="0" t="str">
        <f aca="false">IF(D79="","",CHOOSE(WEEKDAY(D79),"Domingo","Segunda","Terça","Quarta","Quinta","Sexta","Sábado"))</f>
        <v/>
      </c>
    </row>
    <row r="80" customFormat="false" ht="15" hidden="false" customHeight="false" outlineLevel="0" collapsed="false">
      <c r="A80" s="0" t="str">
        <f aca="false">IF(ISNUMBER(FOLGAS!$C80),"Folga","")</f>
        <v/>
      </c>
      <c r="B80" s="0" t="str">
        <f aca="false">IF(ISNUMBER(FOLGAS!$C80),FOLGAS!$A80&amp;"","")</f>
        <v/>
      </c>
      <c r="C80" s="0" t="str">
        <f aca="false">IF(ISNUMBER(FOLGAS!$C80),FOLGAS!$B80&amp;"","")</f>
        <v/>
      </c>
      <c r="D80" s="78" t="str">
        <f aca="false">IF(ISNUMBER(FOLGAS!$C80),FOLGAS!$C80,"")</f>
        <v/>
      </c>
      <c r="E80" s="0" t="str">
        <f aca="false">IF(ISNUMBER(FOLGAS!$C80),FOLGAS!$D80&amp;"","")</f>
        <v/>
      </c>
      <c r="F80" s="0" t="str">
        <f aca="false">IF(ISNUMBER(FOLGAS!$C80),FOLGAS!$G80&amp;"","")</f>
        <v/>
      </c>
      <c r="G80" s="0" t="str">
        <f aca="true">IF(D80="","",IF(D80=TODAY(),D80+ROW()/100000,""))</f>
        <v/>
      </c>
      <c r="H80" s="0" t="str">
        <f aca="true">IF(D80="","",IF(AND(D80&gt;TODAY(),D80&lt;=TODAY()+7),D80+ROW()/100000,""))</f>
        <v/>
      </c>
      <c r="I80" s="0" t="str">
        <f aca="false">IF(D80="","",IF(D80=CALENDÁRIO!$L$4,ROW(),""))</f>
        <v/>
      </c>
      <c r="J80" s="0" t="str">
        <f aca="false">IF(D80="","",CHOOSE(WEEKDAY(D80),"Domingo","Segunda","Terça","Quarta","Quinta","Sexta","Sábado"))</f>
        <v/>
      </c>
    </row>
    <row r="81" customFormat="false" ht="15" hidden="false" customHeight="false" outlineLevel="0" collapsed="false">
      <c r="A81" s="0" t="str">
        <f aca="false">IF(ISNUMBER(FOLGAS!$C81),"Folga","")</f>
        <v/>
      </c>
      <c r="B81" s="0" t="str">
        <f aca="false">IF(ISNUMBER(FOLGAS!$C81),FOLGAS!$A81&amp;"","")</f>
        <v/>
      </c>
      <c r="C81" s="0" t="str">
        <f aca="false">IF(ISNUMBER(FOLGAS!$C81),FOLGAS!$B81&amp;"","")</f>
        <v/>
      </c>
      <c r="D81" s="78" t="str">
        <f aca="false">IF(ISNUMBER(FOLGAS!$C81),FOLGAS!$C81,"")</f>
        <v/>
      </c>
      <c r="E81" s="0" t="str">
        <f aca="false">IF(ISNUMBER(FOLGAS!$C81),FOLGAS!$D81&amp;"","")</f>
        <v/>
      </c>
      <c r="F81" s="0" t="str">
        <f aca="false">IF(ISNUMBER(FOLGAS!$C81),FOLGAS!$G81&amp;"","")</f>
        <v/>
      </c>
      <c r="G81" s="0" t="str">
        <f aca="true">IF(D81="","",IF(D81=TODAY(),D81+ROW()/100000,""))</f>
        <v/>
      </c>
      <c r="H81" s="0" t="str">
        <f aca="true">IF(D81="","",IF(AND(D81&gt;TODAY(),D81&lt;=TODAY()+7),D81+ROW()/100000,""))</f>
        <v/>
      </c>
      <c r="I81" s="0" t="str">
        <f aca="false">IF(D81="","",IF(D81=CALENDÁRIO!$L$4,ROW(),""))</f>
        <v/>
      </c>
      <c r="J81" s="0" t="str">
        <f aca="false">IF(D81="","",CHOOSE(WEEKDAY(D81),"Domingo","Segunda","Terça","Quarta","Quinta","Sexta","Sábado"))</f>
        <v/>
      </c>
    </row>
    <row r="82" customFormat="false" ht="15" hidden="false" customHeight="false" outlineLevel="0" collapsed="false">
      <c r="A82" s="0" t="str">
        <f aca="false">IF(ISNUMBER(FOLGAS!$C82),"Folga","")</f>
        <v/>
      </c>
      <c r="B82" s="0" t="str">
        <f aca="false">IF(ISNUMBER(FOLGAS!$C82),FOLGAS!$A82&amp;"","")</f>
        <v/>
      </c>
      <c r="C82" s="0" t="str">
        <f aca="false">IF(ISNUMBER(FOLGAS!$C82),FOLGAS!$B82&amp;"","")</f>
        <v/>
      </c>
      <c r="D82" s="78" t="str">
        <f aca="false">IF(ISNUMBER(FOLGAS!$C82),FOLGAS!$C82,"")</f>
        <v/>
      </c>
      <c r="E82" s="0" t="str">
        <f aca="false">IF(ISNUMBER(FOLGAS!$C82),FOLGAS!$D82&amp;"","")</f>
        <v/>
      </c>
      <c r="F82" s="0" t="str">
        <f aca="false">IF(ISNUMBER(FOLGAS!$C82),FOLGAS!$G82&amp;"","")</f>
        <v/>
      </c>
      <c r="G82" s="0" t="str">
        <f aca="true">IF(D82="","",IF(D82=TODAY(),D82+ROW()/100000,""))</f>
        <v/>
      </c>
      <c r="H82" s="0" t="str">
        <f aca="true">IF(D82="","",IF(AND(D82&gt;TODAY(),D82&lt;=TODAY()+7),D82+ROW()/100000,""))</f>
        <v/>
      </c>
      <c r="I82" s="0" t="str">
        <f aca="false">IF(D82="","",IF(D82=CALENDÁRIO!$L$4,ROW(),""))</f>
        <v/>
      </c>
      <c r="J82" s="0" t="str">
        <f aca="false">IF(D82="","",CHOOSE(WEEKDAY(D82),"Domingo","Segunda","Terça","Quarta","Quinta","Sexta","Sábado"))</f>
        <v/>
      </c>
    </row>
    <row r="83" customFormat="false" ht="15" hidden="false" customHeight="false" outlineLevel="0" collapsed="false">
      <c r="A83" s="0" t="str">
        <f aca="false">IF(ISNUMBER(FOLGAS!$C83),"Folga","")</f>
        <v/>
      </c>
      <c r="B83" s="0" t="str">
        <f aca="false">IF(ISNUMBER(FOLGAS!$C83),FOLGAS!$A83&amp;"","")</f>
        <v/>
      </c>
      <c r="C83" s="0" t="str">
        <f aca="false">IF(ISNUMBER(FOLGAS!$C83),FOLGAS!$B83&amp;"","")</f>
        <v/>
      </c>
      <c r="D83" s="78" t="str">
        <f aca="false">IF(ISNUMBER(FOLGAS!$C83),FOLGAS!$C83,"")</f>
        <v/>
      </c>
      <c r="E83" s="0" t="str">
        <f aca="false">IF(ISNUMBER(FOLGAS!$C83),FOLGAS!$D83&amp;"","")</f>
        <v/>
      </c>
      <c r="F83" s="0" t="str">
        <f aca="false">IF(ISNUMBER(FOLGAS!$C83),FOLGAS!$G83&amp;"","")</f>
        <v/>
      </c>
      <c r="G83" s="0" t="str">
        <f aca="true">IF(D83="","",IF(D83=TODAY(),D83+ROW()/100000,""))</f>
        <v/>
      </c>
      <c r="H83" s="0" t="str">
        <f aca="true">IF(D83="","",IF(AND(D83&gt;TODAY(),D83&lt;=TODAY()+7),D83+ROW()/100000,""))</f>
        <v/>
      </c>
      <c r="I83" s="0" t="str">
        <f aca="false">IF(D83="","",IF(D83=CALENDÁRIO!$L$4,ROW(),""))</f>
        <v/>
      </c>
      <c r="J83" s="0" t="str">
        <f aca="false">IF(D83="","",CHOOSE(WEEKDAY(D83),"Domingo","Segunda","Terça","Quarta","Quinta","Sexta","Sábado"))</f>
        <v/>
      </c>
    </row>
    <row r="84" customFormat="false" ht="15" hidden="false" customHeight="false" outlineLevel="0" collapsed="false">
      <c r="A84" s="0" t="str">
        <f aca="false">IF(ISNUMBER(FOLGAS!$C84),"Folga","")</f>
        <v/>
      </c>
      <c r="B84" s="0" t="str">
        <f aca="false">IF(ISNUMBER(FOLGAS!$C84),FOLGAS!$A84&amp;"","")</f>
        <v/>
      </c>
      <c r="C84" s="0" t="str">
        <f aca="false">IF(ISNUMBER(FOLGAS!$C84),FOLGAS!$B84&amp;"","")</f>
        <v/>
      </c>
      <c r="D84" s="78" t="str">
        <f aca="false">IF(ISNUMBER(FOLGAS!$C84),FOLGAS!$C84,"")</f>
        <v/>
      </c>
      <c r="E84" s="0" t="str">
        <f aca="false">IF(ISNUMBER(FOLGAS!$C84),FOLGAS!$D84&amp;"","")</f>
        <v/>
      </c>
      <c r="F84" s="0" t="str">
        <f aca="false">IF(ISNUMBER(FOLGAS!$C84),FOLGAS!$G84&amp;"","")</f>
        <v/>
      </c>
      <c r="G84" s="0" t="str">
        <f aca="true">IF(D84="","",IF(D84=TODAY(),D84+ROW()/100000,""))</f>
        <v/>
      </c>
      <c r="H84" s="0" t="str">
        <f aca="true">IF(D84="","",IF(AND(D84&gt;TODAY(),D84&lt;=TODAY()+7),D84+ROW()/100000,""))</f>
        <v/>
      </c>
      <c r="I84" s="0" t="str">
        <f aca="false">IF(D84="","",IF(D84=CALENDÁRIO!$L$4,ROW(),""))</f>
        <v/>
      </c>
      <c r="J84" s="0" t="str">
        <f aca="false">IF(D84="","",CHOOSE(WEEKDAY(D84),"Domingo","Segunda","Terça","Quarta","Quinta","Sexta","Sábado"))</f>
        <v/>
      </c>
    </row>
    <row r="85" customFormat="false" ht="15" hidden="false" customHeight="false" outlineLevel="0" collapsed="false">
      <c r="A85" s="0" t="str">
        <f aca="false">IF(ISNUMBER(FOLGAS!$C85),"Folga","")</f>
        <v/>
      </c>
      <c r="B85" s="0" t="str">
        <f aca="false">IF(ISNUMBER(FOLGAS!$C85),FOLGAS!$A85&amp;"","")</f>
        <v/>
      </c>
      <c r="C85" s="0" t="str">
        <f aca="false">IF(ISNUMBER(FOLGAS!$C85),FOLGAS!$B85&amp;"","")</f>
        <v/>
      </c>
      <c r="D85" s="78" t="str">
        <f aca="false">IF(ISNUMBER(FOLGAS!$C85),FOLGAS!$C85,"")</f>
        <v/>
      </c>
      <c r="E85" s="0" t="str">
        <f aca="false">IF(ISNUMBER(FOLGAS!$C85),FOLGAS!$D85&amp;"","")</f>
        <v/>
      </c>
      <c r="F85" s="0" t="str">
        <f aca="false">IF(ISNUMBER(FOLGAS!$C85),FOLGAS!$G85&amp;"","")</f>
        <v/>
      </c>
      <c r="G85" s="0" t="str">
        <f aca="true">IF(D85="","",IF(D85=TODAY(),D85+ROW()/100000,""))</f>
        <v/>
      </c>
      <c r="H85" s="0" t="str">
        <f aca="true">IF(D85="","",IF(AND(D85&gt;TODAY(),D85&lt;=TODAY()+7),D85+ROW()/100000,""))</f>
        <v/>
      </c>
      <c r="I85" s="0" t="str">
        <f aca="false">IF(D85="","",IF(D85=CALENDÁRIO!$L$4,ROW(),""))</f>
        <v/>
      </c>
      <c r="J85" s="0" t="str">
        <f aca="false">IF(D85="","",CHOOSE(WEEKDAY(D85),"Domingo","Segunda","Terça","Quarta","Quinta","Sexta","Sábado"))</f>
        <v/>
      </c>
    </row>
    <row r="86" customFormat="false" ht="15" hidden="false" customHeight="false" outlineLevel="0" collapsed="false">
      <c r="A86" s="0" t="str">
        <f aca="false">IF(ISNUMBER(FOLGAS!$C86),"Folga","")</f>
        <v/>
      </c>
      <c r="B86" s="0" t="str">
        <f aca="false">IF(ISNUMBER(FOLGAS!$C86),FOLGAS!$A86&amp;"","")</f>
        <v/>
      </c>
      <c r="C86" s="0" t="str">
        <f aca="false">IF(ISNUMBER(FOLGAS!$C86),FOLGAS!$B86&amp;"","")</f>
        <v/>
      </c>
      <c r="D86" s="78" t="str">
        <f aca="false">IF(ISNUMBER(FOLGAS!$C86),FOLGAS!$C86,"")</f>
        <v/>
      </c>
      <c r="E86" s="0" t="str">
        <f aca="false">IF(ISNUMBER(FOLGAS!$C86),FOLGAS!$D86&amp;"","")</f>
        <v/>
      </c>
      <c r="F86" s="0" t="str">
        <f aca="false">IF(ISNUMBER(FOLGAS!$C86),FOLGAS!$G86&amp;"","")</f>
        <v/>
      </c>
      <c r="G86" s="0" t="str">
        <f aca="true">IF(D86="","",IF(D86=TODAY(),D86+ROW()/100000,""))</f>
        <v/>
      </c>
      <c r="H86" s="0" t="str">
        <f aca="true">IF(D86="","",IF(AND(D86&gt;TODAY(),D86&lt;=TODAY()+7),D86+ROW()/100000,""))</f>
        <v/>
      </c>
      <c r="I86" s="0" t="str">
        <f aca="false">IF(D86="","",IF(D86=CALENDÁRIO!$L$4,ROW(),""))</f>
        <v/>
      </c>
      <c r="J86" s="0" t="str">
        <f aca="false">IF(D86="","",CHOOSE(WEEKDAY(D86),"Domingo","Segunda","Terça","Quarta","Quinta","Sexta","Sábado"))</f>
        <v/>
      </c>
    </row>
    <row r="87" customFormat="false" ht="15" hidden="false" customHeight="false" outlineLevel="0" collapsed="false">
      <c r="A87" s="0" t="str">
        <f aca="false">IF(ISNUMBER(FOLGAS!$C87),"Folga","")</f>
        <v/>
      </c>
      <c r="B87" s="0" t="str">
        <f aca="false">IF(ISNUMBER(FOLGAS!$C87),FOLGAS!$A87&amp;"","")</f>
        <v/>
      </c>
      <c r="C87" s="0" t="str">
        <f aca="false">IF(ISNUMBER(FOLGAS!$C87),FOLGAS!$B87&amp;"","")</f>
        <v/>
      </c>
      <c r="D87" s="78" t="str">
        <f aca="false">IF(ISNUMBER(FOLGAS!$C87),FOLGAS!$C87,"")</f>
        <v/>
      </c>
      <c r="E87" s="0" t="str">
        <f aca="false">IF(ISNUMBER(FOLGAS!$C87),FOLGAS!$D87&amp;"","")</f>
        <v/>
      </c>
      <c r="F87" s="0" t="str">
        <f aca="false">IF(ISNUMBER(FOLGAS!$C87),FOLGAS!$G87&amp;"","")</f>
        <v/>
      </c>
      <c r="G87" s="0" t="str">
        <f aca="true">IF(D87="","",IF(D87=TODAY(),D87+ROW()/100000,""))</f>
        <v/>
      </c>
      <c r="H87" s="0" t="str">
        <f aca="true">IF(D87="","",IF(AND(D87&gt;TODAY(),D87&lt;=TODAY()+7),D87+ROW()/100000,""))</f>
        <v/>
      </c>
      <c r="I87" s="0" t="str">
        <f aca="false">IF(D87="","",IF(D87=CALENDÁRIO!$L$4,ROW(),""))</f>
        <v/>
      </c>
      <c r="J87" s="0" t="str">
        <f aca="false">IF(D87="","",CHOOSE(WEEKDAY(D87),"Domingo","Segunda","Terça","Quarta","Quinta","Sexta","Sábado"))</f>
        <v/>
      </c>
    </row>
    <row r="88" customFormat="false" ht="15" hidden="false" customHeight="false" outlineLevel="0" collapsed="false">
      <c r="A88" s="0" t="str">
        <f aca="false">IF(ISNUMBER(FOLGAS!$C88),"Folga","")</f>
        <v/>
      </c>
      <c r="B88" s="0" t="str">
        <f aca="false">IF(ISNUMBER(FOLGAS!$C88),FOLGAS!$A88&amp;"","")</f>
        <v/>
      </c>
      <c r="C88" s="0" t="str">
        <f aca="false">IF(ISNUMBER(FOLGAS!$C88),FOLGAS!$B88&amp;"","")</f>
        <v/>
      </c>
      <c r="D88" s="78" t="str">
        <f aca="false">IF(ISNUMBER(FOLGAS!$C88),FOLGAS!$C88,"")</f>
        <v/>
      </c>
      <c r="E88" s="0" t="str">
        <f aca="false">IF(ISNUMBER(FOLGAS!$C88),FOLGAS!$D88&amp;"","")</f>
        <v/>
      </c>
      <c r="F88" s="0" t="str">
        <f aca="false">IF(ISNUMBER(FOLGAS!$C88),FOLGAS!$G88&amp;"","")</f>
        <v/>
      </c>
      <c r="G88" s="0" t="str">
        <f aca="true">IF(D88="","",IF(D88=TODAY(),D88+ROW()/100000,""))</f>
        <v/>
      </c>
      <c r="H88" s="0" t="str">
        <f aca="true">IF(D88="","",IF(AND(D88&gt;TODAY(),D88&lt;=TODAY()+7),D88+ROW()/100000,""))</f>
        <v/>
      </c>
      <c r="I88" s="0" t="str">
        <f aca="false">IF(D88="","",IF(D88=CALENDÁRIO!$L$4,ROW(),""))</f>
        <v/>
      </c>
      <c r="J88" s="0" t="str">
        <f aca="false">IF(D88="","",CHOOSE(WEEKDAY(D88),"Domingo","Segunda","Terça","Quarta","Quinta","Sexta","Sábado"))</f>
        <v/>
      </c>
    </row>
    <row r="89" customFormat="false" ht="15" hidden="false" customHeight="false" outlineLevel="0" collapsed="false">
      <c r="A89" s="0" t="str">
        <f aca="false">IF(ISNUMBER(FOLGAS!$C89),"Folga","")</f>
        <v/>
      </c>
      <c r="B89" s="0" t="str">
        <f aca="false">IF(ISNUMBER(FOLGAS!$C89),FOLGAS!$A89&amp;"","")</f>
        <v/>
      </c>
      <c r="C89" s="0" t="str">
        <f aca="false">IF(ISNUMBER(FOLGAS!$C89),FOLGAS!$B89&amp;"","")</f>
        <v/>
      </c>
      <c r="D89" s="78" t="str">
        <f aca="false">IF(ISNUMBER(FOLGAS!$C89),FOLGAS!$C89,"")</f>
        <v/>
      </c>
      <c r="E89" s="0" t="str">
        <f aca="false">IF(ISNUMBER(FOLGAS!$C89),FOLGAS!$D89&amp;"","")</f>
        <v/>
      </c>
      <c r="F89" s="0" t="str">
        <f aca="false">IF(ISNUMBER(FOLGAS!$C89),FOLGAS!$G89&amp;"","")</f>
        <v/>
      </c>
      <c r="G89" s="0" t="str">
        <f aca="true">IF(D89="","",IF(D89=TODAY(),D89+ROW()/100000,""))</f>
        <v/>
      </c>
      <c r="H89" s="0" t="str">
        <f aca="true">IF(D89="","",IF(AND(D89&gt;TODAY(),D89&lt;=TODAY()+7),D89+ROW()/100000,""))</f>
        <v/>
      </c>
      <c r="I89" s="0" t="str">
        <f aca="false">IF(D89="","",IF(D89=CALENDÁRIO!$L$4,ROW(),""))</f>
        <v/>
      </c>
      <c r="J89" s="0" t="str">
        <f aca="false">IF(D89="","",CHOOSE(WEEKDAY(D89),"Domingo","Segunda","Terça","Quarta","Quinta","Sexta","Sábado"))</f>
        <v/>
      </c>
    </row>
    <row r="90" customFormat="false" ht="15" hidden="false" customHeight="false" outlineLevel="0" collapsed="false">
      <c r="A90" s="0" t="str">
        <f aca="false">IF(ISNUMBER(FOLGAS!$C90),"Folga","")</f>
        <v/>
      </c>
      <c r="B90" s="0" t="str">
        <f aca="false">IF(ISNUMBER(FOLGAS!$C90),FOLGAS!$A90&amp;"","")</f>
        <v/>
      </c>
      <c r="C90" s="0" t="str">
        <f aca="false">IF(ISNUMBER(FOLGAS!$C90),FOLGAS!$B90&amp;"","")</f>
        <v/>
      </c>
      <c r="D90" s="78" t="str">
        <f aca="false">IF(ISNUMBER(FOLGAS!$C90),FOLGAS!$C90,"")</f>
        <v/>
      </c>
      <c r="E90" s="0" t="str">
        <f aca="false">IF(ISNUMBER(FOLGAS!$C90),FOLGAS!$D90&amp;"","")</f>
        <v/>
      </c>
      <c r="F90" s="0" t="str">
        <f aca="false">IF(ISNUMBER(FOLGAS!$C90),FOLGAS!$G90&amp;"","")</f>
        <v/>
      </c>
      <c r="G90" s="0" t="str">
        <f aca="true">IF(D90="","",IF(D90=TODAY(),D90+ROW()/100000,""))</f>
        <v/>
      </c>
      <c r="H90" s="0" t="str">
        <f aca="true">IF(D90="","",IF(AND(D90&gt;TODAY(),D90&lt;=TODAY()+7),D90+ROW()/100000,""))</f>
        <v/>
      </c>
      <c r="I90" s="0" t="str">
        <f aca="false">IF(D90="","",IF(D90=CALENDÁRIO!$L$4,ROW(),""))</f>
        <v/>
      </c>
      <c r="J90" s="0" t="str">
        <f aca="false">IF(D90="","",CHOOSE(WEEKDAY(D90),"Domingo","Segunda","Terça","Quarta","Quinta","Sexta","Sábado"))</f>
        <v/>
      </c>
    </row>
    <row r="91" customFormat="false" ht="15" hidden="false" customHeight="false" outlineLevel="0" collapsed="false">
      <c r="A91" s="0" t="str">
        <f aca="false">IF(ISNUMBER(FOLGAS!$C91),"Folga","")</f>
        <v/>
      </c>
      <c r="B91" s="0" t="str">
        <f aca="false">IF(ISNUMBER(FOLGAS!$C91),FOLGAS!$A91&amp;"","")</f>
        <v/>
      </c>
      <c r="C91" s="0" t="str">
        <f aca="false">IF(ISNUMBER(FOLGAS!$C91),FOLGAS!$B91&amp;"","")</f>
        <v/>
      </c>
      <c r="D91" s="78" t="str">
        <f aca="false">IF(ISNUMBER(FOLGAS!$C91),FOLGAS!$C91,"")</f>
        <v/>
      </c>
      <c r="E91" s="0" t="str">
        <f aca="false">IF(ISNUMBER(FOLGAS!$C91),FOLGAS!$D91&amp;"","")</f>
        <v/>
      </c>
      <c r="F91" s="0" t="str">
        <f aca="false">IF(ISNUMBER(FOLGAS!$C91),FOLGAS!$G91&amp;"","")</f>
        <v/>
      </c>
      <c r="G91" s="0" t="str">
        <f aca="true">IF(D91="","",IF(D91=TODAY(),D91+ROW()/100000,""))</f>
        <v/>
      </c>
      <c r="H91" s="0" t="str">
        <f aca="true">IF(D91="","",IF(AND(D91&gt;TODAY(),D91&lt;=TODAY()+7),D91+ROW()/100000,""))</f>
        <v/>
      </c>
      <c r="I91" s="0" t="str">
        <f aca="false">IF(D91="","",IF(D91=CALENDÁRIO!$L$4,ROW(),""))</f>
        <v/>
      </c>
      <c r="J91" s="0" t="str">
        <f aca="false">IF(D91="","",CHOOSE(WEEKDAY(D91),"Domingo","Segunda","Terça","Quarta","Quinta","Sexta","Sábado"))</f>
        <v/>
      </c>
    </row>
    <row r="92" customFormat="false" ht="15" hidden="false" customHeight="false" outlineLevel="0" collapsed="false">
      <c r="A92" s="0" t="str">
        <f aca="false">IF(ISNUMBER(FOLGAS!$C92),"Folga","")</f>
        <v/>
      </c>
      <c r="B92" s="0" t="str">
        <f aca="false">IF(ISNUMBER(FOLGAS!$C92),FOLGAS!$A92&amp;"","")</f>
        <v/>
      </c>
      <c r="C92" s="0" t="str">
        <f aca="false">IF(ISNUMBER(FOLGAS!$C92),FOLGAS!$B92&amp;"","")</f>
        <v/>
      </c>
      <c r="D92" s="78" t="str">
        <f aca="false">IF(ISNUMBER(FOLGAS!$C92),FOLGAS!$C92,"")</f>
        <v/>
      </c>
      <c r="E92" s="0" t="str">
        <f aca="false">IF(ISNUMBER(FOLGAS!$C92),FOLGAS!$D92&amp;"","")</f>
        <v/>
      </c>
      <c r="F92" s="0" t="str">
        <f aca="false">IF(ISNUMBER(FOLGAS!$C92),FOLGAS!$G92&amp;"","")</f>
        <v/>
      </c>
      <c r="G92" s="0" t="str">
        <f aca="true">IF(D92="","",IF(D92=TODAY(),D92+ROW()/100000,""))</f>
        <v/>
      </c>
      <c r="H92" s="0" t="str">
        <f aca="true">IF(D92="","",IF(AND(D92&gt;TODAY(),D92&lt;=TODAY()+7),D92+ROW()/100000,""))</f>
        <v/>
      </c>
      <c r="I92" s="0" t="str">
        <f aca="false">IF(D92="","",IF(D92=CALENDÁRIO!$L$4,ROW(),""))</f>
        <v/>
      </c>
      <c r="J92" s="0" t="str">
        <f aca="false">IF(D92="","",CHOOSE(WEEKDAY(D92),"Domingo","Segunda","Terça","Quarta","Quinta","Sexta","Sábado"))</f>
        <v/>
      </c>
    </row>
    <row r="93" customFormat="false" ht="15" hidden="false" customHeight="false" outlineLevel="0" collapsed="false">
      <c r="A93" s="0" t="str">
        <f aca="false">IF(ISNUMBER(FOLGAS!$C93),"Folga","")</f>
        <v/>
      </c>
      <c r="B93" s="0" t="str">
        <f aca="false">IF(ISNUMBER(FOLGAS!$C93),FOLGAS!$A93&amp;"","")</f>
        <v/>
      </c>
      <c r="C93" s="0" t="str">
        <f aca="false">IF(ISNUMBER(FOLGAS!$C93),FOLGAS!$B93&amp;"","")</f>
        <v/>
      </c>
      <c r="D93" s="78" t="str">
        <f aca="false">IF(ISNUMBER(FOLGAS!$C93),FOLGAS!$C93,"")</f>
        <v/>
      </c>
      <c r="E93" s="0" t="str">
        <f aca="false">IF(ISNUMBER(FOLGAS!$C93),FOLGAS!$D93&amp;"","")</f>
        <v/>
      </c>
      <c r="F93" s="0" t="str">
        <f aca="false">IF(ISNUMBER(FOLGAS!$C93),FOLGAS!$G93&amp;"","")</f>
        <v/>
      </c>
      <c r="G93" s="0" t="str">
        <f aca="true">IF(D93="","",IF(D93=TODAY(),D93+ROW()/100000,""))</f>
        <v/>
      </c>
      <c r="H93" s="0" t="str">
        <f aca="true">IF(D93="","",IF(AND(D93&gt;TODAY(),D93&lt;=TODAY()+7),D93+ROW()/100000,""))</f>
        <v/>
      </c>
      <c r="I93" s="0" t="str">
        <f aca="false">IF(D93="","",IF(D93=CALENDÁRIO!$L$4,ROW(),""))</f>
        <v/>
      </c>
      <c r="J93" s="0" t="str">
        <f aca="false">IF(D93="","",CHOOSE(WEEKDAY(D93),"Domingo","Segunda","Terça","Quarta","Quinta","Sexta","Sábado"))</f>
        <v/>
      </c>
    </row>
    <row r="94" customFormat="false" ht="15" hidden="false" customHeight="false" outlineLevel="0" collapsed="false">
      <c r="A94" s="0" t="str">
        <f aca="false">IF(ISNUMBER(FOLGAS!$C94),"Folga","")</f>
        <v/>
      </c>
      <c r="B94" s="0" t="str">
        <f aca="false">IF(ISNUMBER(FOLGAS!$C94),FOLGAS!$A94&amp;"","")</f>
        <v/>
      </c>
      <c r="C94" s="0" t="str">
        <f aca="false">IF(ISNUMBER(FOLGAS!$C94),FOLGAS!$B94&amp;"","")</f>
        <v/>
      </c>
      <c r="D94" s="78" t="str">
        <f aca="false">IF(ISNUMBER(FOLGAS!$C94),FOLGAS!$C94,"")</f>
        <v/>
      </c>
      <c r="E94" s="0" t="str">
        <f aca="false">IF(ISNUMBER(FOLGAS!$C94),FOLGAS!$D94&amp;"","")</f>
        <v/>
      </c>
      <c r="F94" s="0" t="str">
        <f aca="false">IF(ISNUMBER(FOLGAS!$C94),FOLGAS!$G94&amp;"","")</f>
        <v/>
      </c>
      <c r="G94" s="0" t="str">
        <f aca="true">IF(D94="","",IF(D94=TODAY(),D94+ROW()/100000,""))</f>
        <v/>
      </c>
      <c r="H94" s="0" t="str">
        <f aca="true">IF(D94="","",IF(AND(D94&gt;TODAY(),D94&lt;=TODAY()+7),D94+ROW()/100000,""))</f>
        <v/>
      </c>
      <c r="I94" s="0" t="str">
        <f aca="false">IF(D94="","",IF(D94=CALENDÁRIO!$L$4,ROW(),""))</f>
        <v/>
      </c>
      <c r="J94" s="0" t="str">
        <f aca="false">IF(D94="","",CHOOSE(WEEKDAY(D94),"Domingo","Segunda","Terça","Quarta","Quinta","Sexta","Sábado"))</f>
        <v/>
      </c>
    </row>
    <row r="95" customFormat="false" ht="15" hidden="false" customHeight="false" outlineLevel="0" collapsed="false">
      <c r="A95" s="0" t="str">
        <f aca="false">IF(ISNUMBER(FOLGAS!$C95),"Folga","")</f>
        <v/>
      </c>
      <c r="B95" s="0" t="str">
        <f aca="false">IF(ISNUMBER(FOLGAS!$C95),FOLGAS!$A95&amp;"","")</f>
        <v/>
      </c>
      <c r="C95" s="0" t="str">
        <f aca="false">IF(ISNUMBER(FOLGAS!$C95),FOLGAS!$B95&amp;"","")</f>
        <v/>
      </c>
      <c r="D95" s="78" t="str">
        <f aca="false">IF(ISNUMBER(FOLGAS!$C95),FOLGAS!$C95,"")</f>
        <v/>
      </c>
      <c r="E95" s="0" t="str">
        <f aca="false">IF(ISNUMBER(FOLGAS!$C95),FOLGAS!$D95&amp;"","")</f>
        <v/>
      </c>
      <c r="F95" s="0" t="str">
        <f aca="false">IF(ISNUMBER(FOLGAS!$C95),FOLGAS!$G95&amp;"","")</f>
        <v/>
      </c>
      <c r="G95" s="0" t="str">
        <f aca="true">IF(D95="","",IF(D95=TODAY(),D95+ROW()/100000,""))</f>
        <v/>
      </c>
      <c r="H95" s="0" t="str">
        <f aca="true">IF(D95="","",IF(AND(D95&gt;TODAY(),D95&lt;=TODAY()+7),D95+ROW()/100000,""))</f>
        <v/>
      </c>
      <c r="I95" s="0" t="str">
        <f aca="false">IF(D95="","",IF(D95=CALENDÁRIO!$L$4,ROW(),""))</f>
        <v/>
      </c>
      <c r="J95" s="0" t="str">
        <f aca="false">IF(D95="","",CHOOSE(WEEKDAY(D95),"Domingo","Segunda","Terça","Quarta","Quinta","Sexta","Sábado"))</f>
        <v/>
      </c>
    </row>
    <row r="96" customFormat="false" ht="15" hidden="false" customHeight="false" outlineLevel="0" collapsed="false">
      <c r="A96" s="0" t="str">
        <f aca="false">IF(ISNUMBER(FOLGAS!$C96),"Folga","")</f>
        <v/>
      </c>
      <c r="B96" s="0" t="str">
        <f aca="false">IF(ISNUMBER(FOLGAS!$C96),FOLGAS!$A96&amp;"","")</f>
        <v/>
      </c>
      <c r="C96" s="0" t="str">
        <f aca="false">IF(ISNUMBER(FOLGAS!$C96),FOLGAS!$B96&amp;"","")</f>
        <v/>
      </c>
      <c r="D96" s="78" t="str">
        <f aca="false">IF(ISNUMBER(FOLGAS!$C96),FOLGAS!$C96,"")</f>
        <v/>
      </c>
      <c r="E96" s="0" t="str">
        <f aca="false">IF(ISNUMBER(FOLGAS!$C96),FOLGAS!$D96&amp;"","")</f>
        <v/>
      </c>
      <c r="F96" s="0" t="str">
        <f aca="false">IF(ISNUMBER(FOLGAS!$C96),FOLGAS!$G96&amp;"","")</f>
        <v/>
      </c>
      <c r="G96" s="0" t="str">
        <f aca="true">IF(D96="","",IF(D96=TODAY(),D96+ROW()/100000,""))</f>
        <v/>
      </c>
      <c r="H96" s="0" t="str">
        <f aca="true">IF(D96="","",IF(AND(D96&gt;TODAY(),D96&lt;=TODAY()+7),D96+ROW()/100000,""))</f>
        <v/>
      </c>
      <c r="I96" s="0" t="str">
        <f aca="false">IF(D96="","",IF(D96=CALENDÁRIO!$L$4,ROW(),""))</f>
        <v/>
      </c>
      <c r="J96" s="0" t="str">
        <f aca="false">IF(D96="","",CHOOSE(WEEKDAY(D96),"Domingo","Segunda","Terça","Quarta","Quinta","Sexta","Sábado"))</f>
        <v/>
      </c>
    </row>
    <row r="97" customFormat="false" ht="15" hidden="false" customHeight="false" outlineLevel="0" collapsed="false">
      <c r="A97" s="0" t="str">
        <f aca="false">IF(ISNUMBER(FOLGAS!$C97),"Folga","")</f>
        <v/>
      </c>
      <c r="B97" s="0" t="str">
        <f aca="false">IF(ISNUMBER(FOLGAS!$C97),FOLGAS!$A97&amp;"","")</f>
        <v/>
      </c>
      <c r="C97" s="0" t="str">
        <f aca="false">IF(ISNUMBER(FOLGAS!$C97),FOLGAS!$B97&amp;"","")</f>
        <v/>
      </c>
      <c r="D97" s="78" t="str">
        <f aca="false">IF(ISNUMBER(FOLGAS!$C97),FOLGAS!$C97,"")</f>
        <v/>
      </c>
      <c r="E97" s="0" t="str">
        <f aca="false">IF(ISNUMBER(FOLGAS!$C97),FOLGAS!$D97&amp;"","")</f>
        <v/>
      </c>
      <c r="F97" s="0" t="str">
        <f aca="false">IF(ISNUMBER(FOLGAS!$C97),FOLGAS!$G97&amp;"","")</f>
        <v/>
      </c>
      <c r="G97" s="0" t="str">
        <f aca="true">IF(D97="","",IF(D97=TODAY(),D97+ROW()/100000,""))</f>
        <v/>
      </c>
      <c r="H97" s="0" t="str">
        <f aca="true">IF(D97="","",IF(AND(D97&gt;TODAY(),D97&lt;=TODAY()+7),D97+ROW()/100000,""))</f>
        <v/>
      </c>
      <c r="I97" s="0" t="str">
        <f aca="false">IF(D97="","",IF(D97=CALENDÁRIO!$L$4,ROW(),""))</f>
        <v/>
      </c>
      <c r="J97" s="0" t="str">
        <f aca="false">IF(D97="","",CHOOSE(WEEKDAY(D97),"Domingo","Segunda","Terça","Quarta","Quinta","Sexta","Sábado"))</f>
        <v/>
      </c>
    </row>
    <row r="98" customFormat="false" ht="15" hidden="false" customHeight="false" outlineLevel="0" collapsed="false">
      <c r="A98" s="0" t="str">
        <f aca="false">IF(ISNUMBER(FOLGAS!$C98),"Folga","")</f>
        <v/>
      </c>
      <c r="B98" s="0" t="str">
        <f aca="false">IF(ISNUMBER(FOLGAS!$C98),FOLGAS!$A98&amp;"","")</f>
        <v/>
      </c>
      <c r="C98" s="0" t="str">
        <f aca="false">IF(ISNUMBER(FOLGAS!$C98),FOLGAS!$B98&amp;"","")</f>
        <v/>
      </c>
      <c r="D98" s="78" t="str">
        <f aca="false">IF(ISNUMBER(FOLGAS!$C98),FOLGAS!$C98,"")</f>
        <v/>
      </c>
      <c r="E98" s="0" t="str">
        <f aca="false">IF(ISNUMBER(FOLGAS!$C98),FOLGAS!$D98&amp;"","")</f>
        <v/>
      </c>
      <c r="F98" s="0" t="str">
        <f aca="false">IF(ISNUMBER(FOLGAS!$C98),FOLGAS!$G98&amp;"","")</f>
        <v/>
      </c>
      <c r="G98" s="0" t="str">
        <f aca="true">IF(D98="","",IF(D98=TODAY(),D98+ROW()/100000,""))</f>
        <v/>
      </c>
      <c r="H98" s="0" t="str">
        <f aca="true">IF(D98="","",IF(AND(D98&gt;TODAY(),D98&lt;=TODAY()+7),D98+ROW()/100000,""))</f>
        <v/>
      </c>
      <c r="I98" s="0" t="str">
        <f aca="false">IF(D98="","",IF(D98=CALENDÁRIO!$L$4,ROW(),""))</f>
        <v/>
      </c>
      <c r="J98" s="0" t="str">
        <f aca="false">IF(D98="","",CHOOSE(WEEKDAY(D98),"Domingo","Segunda","Terça","Quarta","Quinta","Sexta","Sábado"))</f>
        <v/>
      </c>
    </row>
    <row r="99" customFormat="false" ht="15" hidden="false" customHeight="false" outlineLevel="0" collapsed="false">
      <c r="A99" s="0" t="str">
        <f aca="false">IF(ISNUMBER(FOLGAS!$C99),"Folga","")</f>
        <v/>
      </c>
      <c r="B99" s="0" t="str">
        <f aca="false">IF(ISNUMBER(FOLGAS!$C99),FOLGAS!$A99&amp;"","")</f>
        <v/>
      </c>
      <c r="C99" s="0" t="str">
        <f aca="false">IF(ISNUMBER(FOLGAS!$C99),FOLGAS!$B99&amp;"","")</f>
        <v/>
      </c>
      <c r="D99" s="78" t="str">
        <f aca="false">IF(ISNUMBER(FOLGAS!$C99),FOLGAS!$C99,"")</f>
        <v/>
      </c>
      <c r="E99" s="0" t="str">
        <f aca="false">IF(ISNUMBER(FOLGAS!$C99),FOLGAS!$D99&amp;"","")</f>
        <v/>
      </c>
      <c r="F99" s="0" t="str">
        <f aca="false">IF(ISNUMBER(FOLGAS!$C99),FOLGAS!$G99&amp;"","")</f>
        <v/>
      </c>
      <c r="G99" s="0" t="str">
        <f aca="true">IF(D99="","",IF(D99=TODAY(),D99+ROW()/100000,""))</f>
        <v/>
      </c>
      <c r="H99" s="0" t="str">
        <f aca="true">IF(D99="","",IF(AND(D99&gt;TODAY(),D99&lt;=TODAY()+7),D99+ROW()/100000,""))</f>
        <v/>
      </c>
      <c r="I99" s="0" t="str">
        <f aca="false">IF(D99="","",IF(D99=CALENDÁRIO!$L$4,ROW(),""))</f>
        <v/>
      </c>
      <c r="J99" s="0" t="str">
        <f aca="false">IF(D99="","",CHOOSE(WEEKDAY(D99),"Domingo","Segunda","Terça","Quarta","Quinta","Sexta","Sábado"))</f>
        <v/>
      </c>
    </row>
    <row r="100" customFormat="false" ht="15" hidden="false" customHeight="false" outlineLevel="0" collapsed="false">
      <c r="A100" s="0" t="str">
        <f aca="false">IF(ISNUMBER(FOLGAS!$C100),"Folga","")</f>
        <v/>
      </c>
      <c r="B100" s="0" t="str">
        <f aca="false">IF(ISNUMBER(FOLGAS!$C100),FOLGAS!$A100&amp;"","")</f>
        <v/>
      </c>
      <c r="C100" s="0" t="str">
        <f aca="false">IF(ISNUMBER(FOLGAS!$C100),FOLGAS!$B100&amp;"","")</f>
        <v/>
      </c>
      <c r="D100" s="78" t="str">
        <f aca="false">IF(ISNUMBER(FOLGAS!$C100),FOLGAS!$C100,"")</f>
        <v/>
      </c>
      <c r="E100" s="0" t="str">
        <f aca="false">IF(ISNUMBER(FOLGAS!$C100),FOLGAS!$D100&amp;"","")</f>
        <v/>
      </c>
      <c r="F100" s="0" t="str">
        <f aca="false">IF(ISNUMBER(FOLGAS!$C100),FOLGAS!$G100&amp;"","")</f>
        <v/>
      </c>
      <c r="G100" s="0" t="str">
        <f aca="true">IF(D100="","",IF(D100=TODAY(),D100+ROW()/100000,""))</f>
        <v/>
      </c>
      <c r="H100" s="0" t="str">
        <f aca="true">IF(D100="","",IF(AND(D100&gt;TODAY(),D100&lt;=TODAY()+7),D100+ROW()/100000,""))</f>
        <v/>
      </c>
      <c r="I100" s="0" t="str">
        <f aca="false">IF(D100="","",IF(D100=CALENDÁRIO!$L$4,ROW(),""))</f>
        <v/>
      </c>
      <c r="J100" s="0" t="str">
        <f aca="false">IF(D100="","",CHOOSE(WEEKDAY(D100),"Domingo","Segunda","Terça","Quarta","Quinta","Sexta","Sábado"))</f>
        <v/>
      </c>
    </row>
    <row r="101" customFormat="false" ht="15" hidden="false" customHeight="false" outlineLevel="0" collapsed="false">
      <c r="A101" s="0" t="str">
        <f aca="false">IF(ISNUMBER(FOLGAS!$C101),"Folga","")</f>
        <v/>
      </c>
      <c r="B101" s="0" t="str">
        <f aca="false">IF(ISNUMBER(FOLGAS!$C101),FOLGAS!$A101&amp;"","")</f>
        <v/>
      </c>
      <c r="C101" s="0" t="str">
        <f aca="false">IF(ISNUMBER(FOLGAS!$C101),FOLGAS!$B101&amp;"","")</f>
        <v/>
      </c>
      <c r="D101" s="78" t="str">
        <f aca="false">IF(ISNUMBER(FOLGAS!$C101),FOLGAS!$C101,"")</f>
        <v/>
      </c>
      <c r="E101" s="0" t="str">
        <f aca="false">IF(ISNUMBER(FOLGAS!$C101),FOLGAS!$D101&amp;"","")</f>
        <v/>
      </c>
      <c r="F101" s="0" t="str">
        <f aca="false">IF(ISNUMBER(FOLGAS!$C101),FOLGAS!$G101&amp;"","")</f>
        <v/>
      </c>
      <c r="G101" s="0" t="str">
        <f aca="true">IF(D101="","",IF(D101=TODAY(),D101+ROW()/100000,""))</f>
        <v/>
      </c>
      <c r="H101" s="0" t="str">
        <f aca="true">IF(D101="","",IF(AND(D101&gt;TODAY(),D101&lt;=TODAY()+7),D101+ROW()/100000,""))</f>
        <v/>
      </c>
      <c r="I101" s="0" t="str">
        <f aca="false">IF(D101="","",IF(D101=CALENDÁRIO!$L$4,ROW(),""))</f>
        <v/>
      </c>
      <c r="J101" s="0" t="str">
        <f aca="false">IF(D101="","",CHOOSE(WEEKDAY(D101),"Domingo","Segunda","Terça","Quarta","Quinta","Sexta","Sábado"))</f>
        <v/>
      </c>
    </row>
    <row r="102" customFormat="false" ht="15" hidden="false" customHeight="false" outlineLevel="0" collapsed="false">
      <c r="A102" s="0" t="str">
        <f aca="false">IF(ISNUMBER(FOLGAS!$C102),"Folga","")</f>
        <v/>
      </c>
      <c r="B102" s="0" t="str">
        <f aca="false">IF(ISNUMBER(FOLGAS!$C102),FOLGAS!$A102&amp;"","")</f>
        <v/>
      </c>
      <c r="C102" s="0" t="str">
        <f aca="false">IF(ISNUMBER(FOLGAS!$C102),FOLGAS!$B102&amp;"","")</f>
        <v/>
      </c>
      <c r="D102" s="78" t="str">
        <f aca="false">IF(ISNUMBER(FOLGAS!$C102),FOLGAS!$C102,"")</f>
        <v/>
      </c>
      <c r="E102" s="0" t="str">
        <f aca="false">IF(ISNUMBER(FOLGAS!$C102),FOLGAS!$D102&amp;"","")</f>
        <v/>
      </c>
      <c r="F102" s="0" t="str">
        <f aca="false">IF(ISNUMBER(FOLGAS!$C102),FOLGAS!$G102&amp;"","")</f>
        <v/>
      </c>
      <c r="G102" s="0" t="str">
        <f aca="true">IF(D102="","",IF(D102=TODAY(),D102+ROW()/100000,""))</f>
        <v/>
      </c>
      <c r="H102" s="0" t="str">
        <f aca="true">IF(D102="","",IF(AND(D102&gt;TODAY(),D102&lt;=TODAY()+7),D102+ROW()/100000,""))</f>
        <v/>
      </c>
      <c r="I102" s="0" t="str">
        <f aca="false">IF(D102="","",IF(D102=CALENDÁRIO!$L$4,ROW(),""))</f>
        <v/>
      </c>
      <c r="J102" s="0" t="str">
        <f aca="false">IF(D102="","",CHOOSE(WEEKDAY(D102),"Domingo","Segunda","Terça","Quarta","Quinta","Sexta","Sábado"))</f>
        <v/>
      </c>
    </row>
    <row r="103" customFormat="false" ht="15" hidden="false" customHeight="false" outlineLevel="0" collapsed="false">
      <c r="A103" s="0" t="str">
        <f aca="false">IF(ISNUMBER(FOLGAS!$C103),"Folga","")</f>
        <v/>
      </c>
      <c r="B103" s="0" t="str">
        <f aca="false">IF(ISNUMBER(FOLGAS!$C103),FOLGAS!$A103&amp;"","")</f>
        <v/>
      </c>
      <c r="C103" s="0" t="str">
        <f aca="false">IF(ISNUMBER(FOLGAS!$C103),FOLGAS!$B103&amp;"","")</f>
        <v/>
      </c>
      <c r="D103" s="78" t="str">
        <f aca="false">IF(ISNUMBER(FOLGAS!$C103),FOLGAS!$C103,"")</f>
        <v/>
      </c>
      <c r="E103" s="0" t="str">
        <f aca="false">IF(ISNUMBER(FOLGAS!$C103),FOLGAS!$D103&amp;"","")</f>
        <v/>
      </c>
      <c r="F103" s="0" t="str">
        <f aca="false">IF(ISNUMBER(FOLGAS!$C103),FOLGAS!$G103&amp;"","")</f>
        <v/>
      </c>
      <c r="G103" s="0" t="str">
        <f aca="true">IF(D103="","",IF(D103=TODAY(),D103+ROW()/100000,""))</f>
        <v/>
      </c>
      <c r="H103" s="0" t="str">
        <f aca="true">IF(D103="","",IF(AND(D103&gt;TODAY(),D103&lt;=TODAY()+7),D103+ROW()/100000,""))</f>
        <v/>
      </c>
      <c r="I103" s="0" t="str">
        <f aca="false">IF(D103="","",IF(D103=CALENDÁRIO!$L$4,ROW(),""))</f>
        <v/>
      </c>
      <c r="J103" s="0" t="str">
        <f aca="false">IF(D103="","",CHOOSE(WEEKDAY(D103),"Domingo","Segunda","Terça","Quarta","Quinta","Sexta","Sábado"))</f>
        <v/>
      </c>
    </row>
    <row r="104" customFormat="false" ht="15" hidden="false" customHeight="false" outlineLevel="0" collapsed="false">
      <c r="A104" s="0" t="str">
        <f aca="false">IF(ISNUMBER(FOLGAS!$C104),"Folga","")</f>
        <v/>
      </c>
      <c r="B104" s="0" t="str">
        <f aca="false">IF(ISNUMBER(FOLGAS!$C104),FOLGAS!$A104&amp;"","")</f>
        <v/>
      </c>
      <c r="C104" s="0" t="str">
        <f aca="false">IF(ISNUMBER(FOLGAS!$C104),FOLGAS!$B104&amp;"","")</f>
        <v/>
      </c>
      <c r="D104" s="78" t="str">
        <f aca="false">IF(ISNUMBER(FOLGAS!$C104),FOLGAS!$C104,"")</f>
        <v/>
      </c>
      <c r="E104" s="0" t="str">
        <f aca="false">IF(ISNUMBER(FOLGAS!$C104),FOLGAS!$D104&amp;"","")</f>
        <v/>
      </c>
      <c r="F104" s="0" t="str">
        <f aca="false">IF(ISNUMBER(FOLGAS!$C104),FOLGAS!$G104&amp;"","")</f>
        <v/>
      </c>
      <c r="G104" s="0" t="str">
        <f aca="true">IF(D104="","",IF(D104=TODAY(),D104+ROW()/100000,""))</f>
        <v/>
      </c>
      <c r="H104" s="0" t="str">
        <f aca="true">IF(D104="","",IF(AND(D104&gt;TODAY(),D104&lt;=TODAY()+7),D104+ROW()/100000,""))</f>
        <v/>
      </c>
      <c r="I104" s="0" t="str">
        <f aca="false">IF(D104="","",IF(D104=CALENDÁRIO!$L$4,ROW(),""))</f>
        <v/>
      </c>
      <c r="J104" s="0" t="str">
        <f aca="false">IF(D104="","",CHOOSE(WEEKDAY(D104),"Domingo","Segunda","Terça","Quarta","Quinta","Sexta","Sábado"))</f>
        <v/>
      </c>
    </row>
    <row r="105" customFormat="false" ht="15" hidden="false" customHeight="false" outlineLevel="0" collapsed="false">
      <c r="A105" s="0" t="str">
        <f aca="false">IF(ISNUMBER(FOLGAS!$C105),"Folga","")</f>
        <v/>
      </c>
      <c r="B105" s="0" t="str">
        <f aca="false">IF(ISNUMBER(FOLGAS!$C105),FOLGAS!$A105&amp;"","")</f>
        <v/>
      </c>
      <c r="C105" s="0" t="str">
        <f aca="false">IF(ISNUMBER(FOLGAS!$C105),FOLGAS!$B105&amp;"","")</f>
        <v/>
      </c>
      <c r="D105" s="78" t="str">
        <f aca="false">IF(ISNUMBER(FOLGAS!$C105),FOLGAS!$C105,"")</f>
        <v/>
      </c>
      <c r="E105" s="0" t="str">
        <f aca="false">IF(ISNUMBER(FOLGAS!$C105),FOLGAS!$D105&amp;"","")</f>
        <v/>
      </c>
      <c r="F105" s="0" t="str">
        <f aca="false">IF(ISNUMBER(FOLGAS!$C105),FOLGAS!$G105&amp;"","")</f>
        <v/>
      </c>
      <c r="G105" s="0" t="str">
        <f aca="true">IF(D105="","",IF(D105=TODAY(),D105+ROW()/100000,""))</f>
        <v/>
      </c>
      <c r="H105" s="0" t="str">
        <f aca="true">IF(D105="","",IF(AND(D105&gt;TODAY(),D105&lt;=TODAY()+7),D105+ROW()/100000,""))</f>
        <v/>
      </c>
      <c r="I105" s="0" t="str">
        <f aca="false">IF(D105="","",IF(D105=CALENDÁRIO!$L$4,ROW(),""))</f>
        <v/>
      </c>
      <c r="J105" s="0" t="str">
        <f aca="false">IF(D105="","",CHOOSE(WEEKDAY(D105),"Domingo","Segunda","Terça","Quarta","Quinta","Sexta","Sábado"))</f>
        <v/>
      </c>
    </row>
    <row r="106" customFormat="false" ht="15" hidden="false" customHeight="false" outlineLevel="0" collapsed="false">
      <c r="A106" s="0" t="str">
        <f aca="false">IF(ISNUMBER(FOLGAS!$C106),"Folga","")</f>
        <v/>
      </c>
      <c r="B106" s="0" t="str">
        <f aca="false">IF(ISNUMBER(FOLGAS!$C106),FOLGAS!$A106&amp;"","")</f>
        <v/>
      </c>
      <c r="C106" s="0" t="str">
        <f aca="false">IF(ISNUMBER(FOLGAS!$C106),FOLGAS!$B106&amp;"","")</f>
        <v/>
      </c>
      <c r="D106" s="78" t="str">
        <f aca="false">IF(ISNUMBER(FOLGAS!$C106),FOLGAS!$C106,"")</f>
        <v/>
      </c>
      <c r="E106" s="0" t="str">
        <f aca="false">IF(ISNUMBER(FOLGAS!$C106),FOLGAS!$D106&amp;"","")</f>
        <v/>
      </c>
      <c r="F106" s="0" t="str">
        <f aca="false">IF(ISNUMBER(FOLGAS!$C106),FOLGAS!$G106&amp;"","")</f>
        <v/>
      </c>
      <c r="G106" s="0" t="str">
        <f aca="true">IF(D106="","",IF(D106=TODAY(),D106+ROW()/100000,""))</f>
        <v/>
      </c>
      <c r="H106" s="0" t="str">
        <f aca="true">IF(D106="","",IF(AND(D106&gt;TODAY(),D106&lt;=TODAY()+7),D106+ROW()/100000,""))</f>
        <v/>
      </c>
      <c r="I106" s="0" t="str">
        <f aca="false">IF(D106="","",IF(D106=CALENDÁRIO!$L$4,ROW(),""))</f>
        <v/>
      </c>
      <c r="J106" s="0" t="str">
        <f aca="false">IF(D106="","",CHOOSE(WEEKDAY(D106),"Domingo","Segunda","Terça","Quarta","Quinta","Sexta","Sábado"))</f>
        <v/>
      </c>
    </row>
    <row r="107" customFormat="false" ht="15" hidden="false" customHeight="false" outlineLevel="0" collapsed="false">
      <c r="A107" s="0" t="str">
        <f aca="false">IF(ISNUMBER(FOLGAS!$C107),"Folga","")</f>
        <v/>
      </c>
      <c r="B107" s="0" t="str">
        <f aca="false">IF(ISNUMBER(FOLGAS!$C107),FOLGAS!$A107&amp;"","")</f>
        <v/>
      </c>
      <c r="C107" s="0" t="str">
        <f aca="false">IF(ISNUMBER(FOLGAS!$C107),FOLGAS!$B107&amp;"","")</f>
        <v/>
      </c>
      <c r="D107" s="78" t="str">
        <f aca="false">IF(ISNUMBER(FOLGAS!$C107),FOLGAS!$C107,"")</f>
        <v/>
      </c>
      <c r="E107" s="0" t="str">
        <f aca="false">IF(ISNUMBER(FOLGAS!$C107),FOLGAS!$D107&amp;"","")</f>
        <v/>
      </c>
      <c r="F107" s="0" t="str">
        <f aca="false">IF(ISNUMBER(FOLGAS!$C107),FOLGAS!$G107&amp;"","")</f>
        <v/>
      </c>
      <c r="G107" s="0" t="str">
        <f aca="true">IF(D107="","",IF(D107=TODAY(),D107+ROW()/100000,""))</f>
        <v/>
      </c>
      <c r="H107" s="0" t="str">
        <f aca="true">IF(D107="","",IF(AND(D107&gt;TODAY(),D107&lt;=TODAY()+7),D107+ROW()/100000,""))</f>
        <v/>
      </c>
      <c r="I107" s="0" t="str">
        <f aca="false">IF(D107="","",IF(D107=CALENDÁRIO!$L$4,ROW(),""))</f>
        <v/>
      </c>
      <c r="J107" s="0" t="str">
        <f aca="false">IF(D107="","",CHOOSE(WEEKDAY(D107),"Domingo","Segunda","Terça","Quarta","Quinta","Sexta","Sábado"))</f>
        <v/>
      </c>
    </row>
    <row r="108" customFormat="false" ht="15" hidden="false" customHeight="false" outlineLevel="0" collapsed="false">
      <c r="A108" s="0" t="str">
        <f aca="false">IF(ISNUMBER(FOLGAS!$C108),"Folga","")</f>
        <v/>
      </c>
      <c r="B108" s="0" t="str">
        <f aca="false">IF(ISNUMBER(FOLGAS!$C108),FOLGAS!$A108&amp;"","")</f>
        <v/>
      </c>
      <c r="C108" s="0" t="str">
        <f aca="false">IF(ISNUMBER(FOLGAS!$C108),FOLGAS!$B108&amp;"","")</f>
        <v/>
      </c>
      <c r="D108" s="78" t="str">
        <f aca="false">IF(ISNUMBER(FOLGAS!$C108),FOLGAS!$C108,"")</f>
        <v/>
      </c>
      <c r="E108" s="0" t="str">
        <f aca="false">IF(ISNUMBER(FOLGAS!$C108),FOLGAS!$D108&amp;"","")</f>
        <v/>
      </c>
      <c r="F108" s="0" t="str">
        <f aca="false">IF(ISNUMBER(FOLGAS!$C108),FOLGAS!$G108&amp;"","")</f>
        <v/>
      </c>
      <c r="G108" s="0" t="str">
        <f aca="true">IF(D108="","",IF(D108=TODAY(),D108+ROW()/100000,""))</f>
        <v/>
      </c>
      <c r="H108" s="0" t="str">
        <f aca="true">IF(D108="","",IF(AND(D108&gt;TODAY(),D108&lt;=TODAY()+7),D108+ROW()/100000,""))</f>
        <v/>
      </c>
      <c r="I108" s="0" t="str">
        <f aca="false">IF(D108="","",IF(D108=CALENDÁRIO!$L$4,ROW(),""))</f>
        <v/>
      </c>
      <c r="J108" s="0" t="str">
        <f aca="false">IF(D108="","",CHOOSE(WEEKDAY(D108),"Domingo","Segunda","Terça","Quarta","Quinta","Sexta","Sábado"))</f>
        <v/>
      </c>
    </row>
    <row r="109" customFormat="false" ht="15" hidden="false" customHeight="false" outlineLevel="0" collapsed="false">
      <c r="A109" s="0" t="str">
        <f aca="false">IF(ISNUMBER(FOLGAS!$C109),"Folga","")</f>
        <v/>
      </c>
      <c r="B109" s="0" t="str">
        <f aca="false">IF(ISNUMBER(FOLGAS!$C109),FOLGAS!$A109&amp;"","")</f>
        <v/>
      </c>
      <c r="C109" s="0" t="str">
        <f aca="false">IF(ISNUMBER(FOLGAS!$C109),FOLGAS!$B109&amp;"","")</f>
        <v/>
      </c>
      <c r="D109" s="78" t="str">
        <f aca="false">IF(ISNUMBER(FOLGAS!$C109),FOLGAS!$C109,"")</f>
        <v/>
      </c>
      <c r="E109" s="0" t="str">
        <f aca="false">IF(ISNUMBER(FOLGAS!$C109),FOLGAS!$D109&amp;"","")</f>
        <v/>
      </c>
      <c r="F109" s="0" t="str">
        <f aca="false">IF(ISNUMBER(FOLGAS!$C109),FOLGAS!$G109&amp;"","")</f>
        <v/>
      </c>
      <c r="G109" s="0" t="str">
        <f aca="true">IF(D109="","",IF(D109=TODAY(),D109+ROW()/100000,""))</f>
        <v/>
      </c>
      <c r="H109" s="0" t="str">
        <f aca="true">IF(D109="","",IF(AND(D109&gt;TODAY(),D109&lt;=TODAY()+7),D109+ROW()/100000,""))</f>
        <v/>
      </c>
      <c r="I109" s="0" t="str">
        <f aca="false">IF(D109="","",IF(D109=CALENDÁRIO!$L$4,ROW(),""))</f>
        <v/>
      </c>
      <c r="J109" s="0" t="str">
        <f aca="false">IF(D109="","",CHOOSE(WEEKDAY(D109),"Domingo","Segunda","Terça","Quarta","Quinta","Sexta","Sábado"))</f>
        <v/>
      </c>
    </row>
    <row r="110" customFormat="false" ht="15" hidden="false" customHeight="false" outlineLevel="0" collapsed="false">
      <c r="A110" s="0" t="str">
        <f aca="false">IF(ISNUMBER(FOLGAS!$C110),"Folga","")</f>
        <v/>
      </c>
      <c r="B110" s="0" t="str">
        <f aca="false">IF(ISNUMBER(FOLGAS!$C110),FOLGAS!$A110&amp;"","")</f>
        <v/>
      </c>
      <c r="C110" s="0" t="str">
        <f aca="false">IF(ISNUMBER(FOLGAS!$C110),FOLGAS!$B110&amp;"","")</f>
        <v/>
      </c>
      <c r="D110" s="78" t="str">
        <f aca="false">IF(ISNUMBER(FOLGAS!$C110),FOLGAS!$C110,"")</f>
        <v/>
      </c>
      <c r="E110" s="0" t="str">
        <f aca="false">IF(ISNUMBER(FOLGAS!$C110),FOLGAS!$D110&amp;"","")</f>
        <v/>
      </c>
      <c r="F110" s="0" t="str">
        <f aca="false">IF(ISNUMBER(FOLGAS!$C110),FOLGAS!$G110&amp;"","")</f>
        <v/>
      </c>
      <c r="G110" s="0" t="str">
        <f aca="true">IF(D110="","",IF(D110=TODAY(),D110+ROW()/100000,""))</f>
        <v/>
      </c>
      <c r="H110" s="0" t="str">
        <f aca="true">IF(D110="","",IF(AND(D110&gt;TODAY(),D110&lt;=TODAY()+7),D110+ROW()/100000,""))</f>
        <v/>
      </c>
      <c r="I110" s="0" t="str">
        <f aca="false">IF(D110="","",IF(D110=CALENDÁRIO!$L$4,ROW(),""))</f>
        <v/>
      </c>
      <c r="J110" s="0" t="str">
        <f aca="false">IF(D110="","",CHOOSE(WEEKDAY(D110),"Domingo","Segunda","Terça","Quarta","Quinta","Sexta","Sábado"))</f>
        <v/>
      </c>
    </row>
    <row r="111" customFormat="false" ht="15" hidden="false" customHeight="false" outlineLevel="0" collapsed="false">
      <c r="A111" s="0" t="str">
        <f aca="false">IF(ISNUMBER(FOLGAS!$C111),"Folga","")</f>
        <v/>
      </c>
      <c r="B111" s="0" t="str">
        <f aca="false">IF(ISNUMBER(FOLGAS!$C111),FOLGAS!$A111&amp;"","")</f>
        <v/>
      </c>
      <c r="C111" s="0" t="str">
        <f aca="false">IF(ISNUMBER(FOLGAS!$C111),FOLGAS!$B111&amp;"","")</f>
        <v/>
      </c>
      <c r="D111" s="78" t="str">
        <f aca="false">IF(ISNUMBER(FOLGAS!$C111),FOLGAS!$C111,"")</f>
        <v/>
      </c>
      <c r="E111" s="0" t="str">
        <f aca="false">IF(ISNUMBER(FOLGAS!$C111),FOLGAS!$D111&amp;"","")</f>
        <v/>
      </c>
      <c r="F111" s="0" t="str">
        <f aca="false">IF(ISNUMBER(FOLGAS!$C111),FOLGAS!$G111&amp;"","")</f>
        <v/>
      </c>
      <c r="G111" s="0" t="str">
        <f aca="true">IF(D111="","",IF(D111=TODAY(),D111+ROW()/100000,""))</f>
        <v/>
      </c>
      <c r="H111" s="0" t="str">
        <f aca="true">IF(D111="","",IF(AND(D111&gt;TODAY(),D111&lt;=TODAY()+7),D111+ROW()/100000,""))</f>
        <v/>
      </c>
      <c r="I111" s="0" t="str">
        <f aca="false">IF(D111="","",IF(D111=CALENDÁRIO!$L$4,ROW(),""))</f>
        <v/>
      </c>
      <c r="J111" s="0" t="str">
        <f aca="false">IF(D111="","",CHOOSE(WEEKDAY(D111),"Domingo","Segunda","Terça","Quarta","Quinta","Sexta","Sábado"))</f>
        <v/>
      </c>
    </row>
    <row r="112" customFormat="false" ht="15" hidden="false" customHeight="false" outlineLevel="0" collapsed="false">
      <c r="A112" s="0" t="str">
        <f aca="false">IF(ISNUMBER(FOLGAS!$C112),"Folga","")</f>
        <v/>
      </c>
      <c r="B112" s="0" t="str">
        <f aca="false">IF(ISNUMBER(FOLGAS!$C112),FOLGAS!$A112&amp;"","")</f>
        <v/>
      </c>
      <c r="C112" s="0" t="str">
        <f aca="false">IF(ISNUMBER(FOLGAS!$C112),FOLGAS!$B112&amp;"","")</f>
        <v/>
      </c>
      <c r="D112" s="78" t="str">
        <f aca="false">IF(ISNUMBER(FOLGAS!$C112),FOLGAS!$C112,"")</f>
        <v/>
      </c>
      <c r="E112" s="0" t="str">
        <f aca="false">IF(ISNUMBER(FOLGAS!$C112),FOLGAS!$D112&amp;"","")</f>
        <v/>
      </c>
      <c r="F112" s="0" t="str">
        <f aca="false">IF(ISNUMBER(FOLGAS!$C112),FOLGAS!$G112&amp;"","")</f>
        <v/>
      </c>
      <c r="G112" s="0" t="str">
        <f aca="true">IF(D112="","",IF(D112=TODAY(),D112+ROW()/100000,""))</f>
        <v/>
      </c>
      <c r="H112" s="0" t="str">
        <f aca="true">IF(D112="","",IF(AND(D112&gt;TODAY(),D112&lt;=TODAY()+7),D112+ROW()/100000,""))</f>
        <v/>
      </c>
      <c r="I112" s="0" t="str">
        <f aca="false">IF(D112="","",IF(D112=CALENDÁRIO!$L$4,ROW(),""))</f>
        <v/>
      </c>
      <c r="J112" s="0" t="str">
        <f aca="false">IF(D112="","",CHOOSE(WEEKDAY(D112),"Domingo","Segunda","Terça","Quarta","Quinta","Sexta","Sábado"))</f>
        <v/>
      </c>
    </row>
    <row r="113" customFormat="false" ht="15" hidden="false" customHeight="false" outlineLevel="0" collapsed="false">
      <c r="A113" s="0" t="str">
        <f aca="false">IF(ISNUMBER(FOLGAS!$C113),"Folga","")</f>
        <v/>
      </c>
      <c r="B113" s="0" t="str">
        <f aca="false">IF(ISNUMBER(FOLGAS!$C113),FOLGAS!$A113&amp;"","")</f>
        <v/>
      </c>
      <c r="C113" s="0" t="str">
        <f aca="false">IF(ISNUMBER(FOLGAS!$C113),FOLGAS!$B113&amp;"","")</f>
        <v/>
      </c>
      <c r="D113" s="78" t="str">
        <f aca="false">IF(ISNUMBER(FOLGAS!$C113),FOLGAS!$C113,"")</f>
        <v/>
      </c>
      <c r="E113" s="0" t="str">
        <f aca="false">IF(ISNUMBER(FOLGAS!$C113),FOLGAS!$D113&amp;"","")</f>
        <v/>
      </c>
      <c r="F113" s="0" t="str">
        <f aca="false">IF(ISNUMBER(FOLGAS!$C113),FOLGAS!$G113&amp;"","")</f>
        <v/>
      </c>
      <c r="G113" s="0" t="str">
        <f aca="true">IF(D113="","",IF(D113=TODAY(),D113+ROW()/100000,""))</f>
        <v/>
      </c>
      <c r="H113" s="0" t="str">
        <f aca="true">IF(D113="","",IF(AND(D113&gt;TODAY(),D113&lt;=TODAY()+7),D113+ROW()/100000,""))</f>
        <v/>
      </c>
      <c r="I113" s="0" t="str">
        <f aca="false">IF(D113="","",IF(D113=CALENDÁRIO!$L$4,ROW(),""))</f>
        <v/>
      </c>
      <c r="J113" s="0" t="str">
        <f aca="false">IF(D113="","",CHOOSE(WEEKDAY(D113),"Domingo","Segunda","Terça","Quarta","Quinta","Sexta","Sábado"))</f>
        <v/>
      </c>
    </row>
    <row r="114" customFormat="false" ht="15" hidden="false" customHeight="false" outlineLevel="0" collapsed="false">
      <c r="A114" s="0" t="str">
        <f aca="false">IF(ISNUMBER(FOLGAS!$C114),"Folga","")</f>
        <v/>
      </c>
      <c r="B114" s="0" t="str">
        <f aca="false">IF(ISNUMBER(FOLGAS!$C114),FOLGAS!$A114&amp;"","")</f>
        <v/>
      </c>
      <c r="C114" s="0" t="str">
        <f aca="false">IF(ISNUMBER(FOLGAS!$C114),FOLGAS!$B114&amp;"","")</f>
        <v/>
      </c>
      <c r="D114" s="78" t="str">
        <f aca="false">IF(ISNUMBER(FOLGAS!$C114),FOLGAS!$C114,"")</f>
        <v/>
      </c>
      <c r="E114" s="0" t="str">
        <f aca="false">IF(ISNUMBER(FOLGAS!$C114),FOLGAS!$D114&amp;"","")</f>
        <v/>
      </c>
      <c r="F114" s="0" t="str">
        <f aca="false">IF(ISNUMBER(FOLGAS!$C114),FOLGAS!$G114&amp;"","")</f>
        <v/>
      </c>
      <c r="G114" s="0" t="str">
        <f aca="true">IF(D114="","",IF(D114=TODAY(),D114+ROW()/100000,""))</f>
        <v/>
      </c>
      <c r="H114" s="0" t="str">
        <f aca="true">IF(D114="","",IF(AND(D114&gt;TODAY(),D114&lt;=TODAY()+7),D114+ROW()/100000,""))</f>
        <v/>
      </c>
      <c r="I114" s="0" t="str">
        <f aca="false">IF(D114="","",IF(D114=CALENDÁRIO!$L$4,ROW(),""))</f>
        <v/>
      </c>
      <c r="J114" s="0" t="str">
        <f aca="false">IF(D114="","",CHOOSE(WEEKDAY(D114),"Domingo","Segunda","Terça","Quarta","Quinta","Sexta","Sábado"))</f>
        <v/>
      </c>
    </row>
    <row r="115" customFormat="false" ht="15" hidden="false" customHeight="false" outlineLevel="0" collapsed="false">
      <c r="A115" s="0" t="str">
        <f aca="false">IF(ISNUMBER(FOLGAS!$C115),"Folga","")</f>
        <v/>
      </c>
      <c r="B115" s="0" t="str">
        <f aca="false">IF(ISNUMBER(FOLGAS!$C115),FOLGAS!$A115&amp;"","")</f>
        <v/>
      </c>
      <c r="C115" s="0" t="str">
        <f aca="false">IF(ISNUMBER(FOLGAS!$C115),FOLGAS!$B115&amp;"","")</f>
        <v/>
      </c>
      <c r="D115" s="78" t="str">
        <f aca="false">IF(ISNUMBER(FOLGAS!$C115),FOLGAS!$C115,"")</f>
        <v/>
      </c>
      <c r="E115" s="0" t="str">
        <f aca="false">IF(ISNUMBER(FOLGAS!$C115),FOLGAS!$D115&amp;"","")</f>
        <v/>
      </c>
      <c r="F115" s="0" t="str">
        <f aca="false">IF(ISNUMBER(FOLGAS!$C115),FOLGAS!$G115&amp;"","")</f>
        <v/>
      </c>
      <c r="G115" s="0" t="str">
        <f aca="true">IF(D115="","",IF(D115=TODAY(),D115+ROW()/100000,""))</f>
        <v/>
      </c>
      <c r="H115" s="0" t="str">
        <f aca="true">IF(D115="","",IF(AND(D115&gt;TODAY(),D115&lt;=TODAY()+7),D115+ROW()/100000,""))</f>
        <v/>
      </c>
      <c r="I115" s="0" t="str">
        <f aca="false">IF(D115="","",IF(D115=CALENDÁRIO!$L$4,ROW(),""))</f>
        <v/>
      </c>
      <c r="J115" s="0" t="str">
        <f aca="false">IF(D115="","",CHOOSE(WEEKDAY(D115),"Domingo","Segunda","Terça","Quarta","Quinta","Sexta","Sábado"))</f>
        <v/>
      </c>
    </row>
    <row r="116" customFormat="false" ht="15" hidden="false" customHeight="false" outlineLevel="0" collapsed="false">
      <c r="A116" s="0" t="str">
        <f aca="false">IF(ISNUMBER(FOLGAS!$C116),"Folga","")</f>
        <v/>
      </c>
      <c r="B116" s="0" t="str">
        <f aca="false">IF(ISNUMBER(FOLGAS!$C116),FOLGAS!$A116&amp;"","")</f>
        <v/>
      </c>
      <c r="C116" s="0" t="str">
        <f aca="false">IF(ISNUMBER(FOLGAS!$C116),FOLGAS!$B116&amp;"","")</f>
        <v/>
      </c>
      <c r="D116" s="78" t="str">
        <f aca="false">IF(ISNUMBER(FOLGAS!$C116),FOLGAS!$C116,"")</f>
        <v/>
      </c>
      <c r="E116" s="0" t="str">
        <f aca="false">IF(ISNUMBER(FOLGAS!$C116),FOLGAS!$D116&amp;"","")</f>
        <v/>
      </c>
      <c r="F116" s="0" t="str">
        <f aca="false">IF(ISNUMBER(FOLGAS!$C116),FOLGAS!$G116&amp;"","")</f>
        <v/>
      </c>
      <c r="G116" s="0" t="str">
        <f aca="true">IF(D116="","",IF(D116=TODAY(),D116+ROW()/100000,""))</f>
        <v/>
      </c>
      <c r="H116" s="0" t="str">
        <f aca="true">IF(D116="","",IF(AND(D116&gt;TODAY(),D116&lt;=TODAY()+7),D116+ROW()/100000,""))</f>
        <v/>
      </c>
      <c r="I116" s="0" t="str">
        <f aca="false">IF(D116="","",IF(D116=CALENDÁRIO!$L$4,ROW(),""))</f>
        <v/>
      </c>
      <c r="J116" s="0" t="str">
        <f aca="false">IF(D116="","",CHOOSE(WEEKDAY(D116),"Domingo","Segunda","Terça","Quarta","Quinta","Sexta","Sábado"))</f>
        <v/>
      </c>
    </row>
    <row r="117" customFormat="false" ht="15" hidden="false" customHeight="false" outlineLevel="0" collapsed="false">
      <c r="A117" s="0" t="str">
        <f aca="false">IF(ISNUMBER(FOLGAS!$C117),"Folga","")</f>
        <v/>
      </c>
      <c r="B117" s="0" t="str">
        <f aca="false">IF(ISNUMBER(FOLGAS!$C117),FOLGAS!$A117&amp;"","")</f>
        <v/>
      </c>
      <c r="C117" s="0" t="str">
        <f aca="false">IF(ISNUMBER(FOLGAS!$C117),FOLGAS!$B117&amp;"","")</f>
        <v/>
      </c>
      <c r="D117" s="78" t="str">
        <f aca="false">IF(ISNUMBER(FOLGAS!$C117),FOLGAS!$C117,"")</f>
        <v/>
      </c>
      <c r="E117" s="0" t="str">
        <f aca="false">IF(ISNUMBER(FOLGAS!$C117),FOLGAS!$D117&amp;"","")</f>
        <v/>
      </c>
      <c r="F117" s="0" t="str">
        <f aca="false">IF(ISNUMBER(FOLGAS!$C117),FOLGAS!$G117&amp;"","")</f>
        <v/>
      </c>
      <c r="G117" s="0" t="str">
        <f aca="true">IF(D117="","",IF(D117=TODAY(),D117+ROW()/100000,""))</f>
        <v/>
      </c>
      <c r="H117" s="0" t="str">
        <f aca="true">IF(D117="","",IF(AND(D117&gt;TODAY(),D117&lt;=TODAY()+7),D117+ROW()/100000,""))</f>
        <v/>
      </c>
      <c r="I117" s="0" t="str">
        <f aca="false">IF(D117="","",IF(D117=CALENDÁRIO!$L$4,ROW(),""))</f>
        <v/>
      </c>
      <c r="J117" s="0" t="str">
        <f aca="false">IF(D117="","",CHOOSE(WEEKDAY(D117),"Domingo","Segunda","Terça","Quarta","Quinta","Sexta","Sábado"))</f>
        <v/>
      </c>
    </row>
    <row r="118" customFormat="false" ht="15" hidden="false" customHeight="false" outlineLevel="0" collapsed="false">
      <c r="A118" s="0" t="str">
        <f aca="false">IF(ISNUMBER(FOLGAS!$C118),"Folga","")</f>
        <v/>
      </c>
      <c r="B118" s="0" t="str">
        <f aca="false">IF(ISNUMBER(FOLGAS!$C118),FOLGAS!$A118&amp;"","")</f>
        <v/>
      </c>
      <c r="C118" s="0" t="str">
        <f aca="false">IF(ISNUMBER(FOLGAS!$C118),FOLGAS!$B118&amp;"","")</f>
        <v/>
      </c>
      <c r="D118" s="78" t="str">
        <f aca="false">IF(ISNUMBER(FOLGAS!$C118),FOLGAS!$C118,"")</f>
        <v/>
      </c>
      <c r="E118" s="0" t="str">
        <f aca="false">IF(ISNUMBER(FOLGAS!$C118),FOLGAS!$D118&amp;"","")</f>
        <v/>
      </c>
      <c r="F118" s="0" t="str">
        <f aca="false">IF(ISNUMBER(FOLGAS!$C118),FOLGAS!$G118&amp;"","")</f>
        <v/>
      </c>
      <c r="G118" s="0" t="str">
        <f aca="true">IF(D118="","",IF(D118=TODAY(),D118+ROW()/100000,""))</f>
        <v/>
      </c>
      <c r="H118" s="0" t="str">
        <f aca="true">IF(D118="","",IF(AND(D118&gt;TODAY(),D118&lt;=TODAY()+7),D118+ROW()/100000,""))</f>
        <v/>
      </c>
      <c r="I118" s="0" t="str">
        <f aca="false">IF(D118="","",IF(D118=CALENDÁRIO!$L$4,ROW(),""))</f>
        <v/>
      </c>
      <c r="J118" s="0" t="str">
        <f aca="false">IF(D118="","",CHOOSE(WEEKDAY(D118),"Domingo","Segunda","Terça","Quarta","Quinta","Sexta","Sábado"))</f>
        <v/>
      </c>
    </row>
    <row r="119" customFormat="false" ht="15" hidden="false" customHeight="false" outlineLevel="0" collapsed="false">
      <c r="A119" s="0" t="str">
        <f aca="false">IF(ISNUMBER(FOLGAS!$C119),"Folga","")</f>
        <v/>
      </c>
      <c r="B119" s="0" t="str">
        <f aca="false">IF(ISNUMBER(FOLGAS!$C119),FOLGAS!$A119&amp;"","")</f>
        <v/>
      </c>
      <c r="C119" s="0" t="str">
        <f aca="false">IF(ISNUMBER(FOLGAS!$C119),FOLGAS!$B119&amp;"","")</f>
        <v/>
      </c>
      <c r="D119" s="78" t="str">
        <f aca="false">IF(ISNUMBER(FOLGAS!$C119),FOLGAS!$C119,"")</f>
        <v/>
      </c>
      <c r="E119" s="0" t="str">
        <f aca="false">IF(ISNUMBER(FOLGAS!$C119),FOLGAS!$D119&amp;"","")</f>
        <v/>
      </c>
      <c r="F119" s="0" t="str">
        <f aca="false">IF(ISNUMBER(FOLGAS!$C119),FOLGAS!$G119&amp;"","")</f>
        <v/>
      </c>
      <c r="G119" s="0" t="str">
        <f aca="true">IF(D119="","",IF(D119=TODAY(),D119+ROW()/100000,""))</f>
        <v/>
      </c>
      <c r="H119" s="0" t="str">
        <f aca="true">IF(D119="","",IF(AND(D119&gt;TODAY(),D119&lt;=TODAY()+7),D119+ROW()/100000,""))</f>
        <v/>
      </c>
      <c r="I119" s="0" t="str">
        <f aca="false">IF(D119="","",IF(D119=CALENDÁRIO!$L$4,ROW(),""))</f>
        <v/>
      </c>
      <c r="J119" s="0" t="str">
        <f aca="false">IF(D119="","",CHOOSE(WEEKDAY(D119),"Domingo","Segunda","Terça","Quarta","Quinta","Sexta","Sábado"))</f>
        <v/>
      </c>
    </row>
    <row r="120" customFormat="false" ht="15" hidden="false" customHeight="false" outlineLevel="0" collapsed="false">
      <c r="A120" s="0" t="str">
        <f aca="false">IF(ISNUMBER(FOLGAS!$C120),"Folga","")</f>
        <v/>
      </c>
      <c r="B120" s="0" t="str">
        <f aca="false">IF(ISNUMBER(FOLGAS!$C120),FOLGAS!$A120&amp;"","")</f>
        <v/>
      </c>
      <c r="C120" s="0" t="str">
        <f aca="false">IF(ISNUMBER(FOLGAS!$C120),FOLGAS!$B120&amp;"","")</f>
        <v/>
      </c>
      <c r="D120" s="78" t="str">
        <f aca="false">IF(ISNUMBER(FOLGAS!$C120),FOLGAS!$C120,"")</f>
        <v/>
      </c>
      <c r="E120" s="0" t="str">
        <f aca="false">IF(ISNUMBER(FOLGAS!$C120),FOLGAS!$D120&amp;"","")</f>
        <v/>
      </c>
      <c r="F120" s="0" t="str">
        <f aca="false">IF(ISNUMBER(FOLGAS!$C120),FOLGAS!$G120&amp;"","")</f>
        <v/>
      </c>
      <c r="G120" s="0" t="str">
        <f aca="true">IF(D120="","",IF(D120=TODAY(),D120+ROW()/100000,""))</f>
        <v/>
      </c>
      <c r="H120" s="0" t="str">
        <f aca="true">IF(D120="","",IF(AND(D120&gt;TODAY(),D120&lt;=TODAY()+7),D120+ROW()/100000,""))</f>
        <v/>
      </c>
      <c r="I120" s="0" t="str">
        <f aca="false">IF(D120="","",IF(D120=CALENDÁRIO!$L$4,ROW(),""))</f>
        <v/>
      </c>
      <c r="J120" s="0" t="str">
        <f aca="false">IF(D120="","",CHOOSE(WEEKDAY(D120),"Domingo","Segunda","Terça","Quarta","Quinta","Sexta","Sábado"))</f>
        <v/>
      </c>
    </row>
    <row r="121" customFormat="false" ht="15" hidden="false" customHeight="false" outlineLevel="0" collapsed="false">
      <c r="A121" s="0" t="str">
        <f aca="false">IF(ISNUMBER(FOLGAS!$C121),"Folga","")</f>
        <v/>
      </c>
      <c r="B121" s="0" t="str">
        <f aca="false">IF(ISNUMBER(FOLGAS!$C121),FOLGAS!$A121&amp;"","")</f>
        <v/>
      </c>
      <c r="C121" s="0" t="str">
        <f aca="false">IF(ISNUMBER(FOLGAS!$C121),FOLGAS!$B121&amp;"","")</f>
        <v/>
      </c>
      <c r="D121" s="78" t="str">
        <f aca="false">IF(ISNUMBER(FOLGAS!$C121),FOLGAS!$C121,"")</f>
        <v/>
      </c>
      <c r="E121" s="0" t="str">
        <f aca="false">IF(ISNUMBER(FOLGAS!$C121),FOLGAS!$D121&amp;"","")</f>
        <v/>
      </c>
      <c r="F121" s="0" t="str">
        <f aca="false">IF(ISNUMBER(FOLGAS!$C121),FOLGAS!$G121&amp;"","")</f>
        <v/>
      </c>
      <c r="G121" s="0" t="str">
        <f aca="true">IF(D121="","",IF(D121=TODAY(),D121+ROW()/100000,""))</f>
        <v/>
      </c>
      <c r="H121" s="0" t="str">
        <f aca="true">IF(D121="","",IF(AND(D121&gt;TODAY(),D121&lt;=TODAY()+7),D121+ROW()/100000,""))</f>
        <v/>
      </c>
      <c r="I121" s="0" t="str">
        <f aca="false">IF(D121="","",IF(D121=CALENDÁRIO!$L$4,ROW(),""))</f>
        <v/>
      </c>
      <c r="J121" s="0" t="str">
        <f aca="false">IF(D121="","",CHOOSE(WEEKDAY(D121),"Domingo","Segunda","Terça","Quarta","Quinta","Sexta","Sábado"))</f>
        <v/>
      </c>
    </row>
    <row r="122" customFormat="false" ht="15" hidden="false" customHeight="false" outlineLevel="0" collapsed="false">
      <c r="A122" s="0" t="str">
        <f aca="false">IF(ISNUMBER(FOLGAS!$C122),"Folga","")</f>
        <v/>
      </c>
      <c r="B122" s="0" t="str">
        <f aca="false">IF(ISNUMBER(FOLGAS!$C122),FOLGAS!$A122&amp;"","")</f>
        <v/>
      </c>
      <c r="C122" s="0" t="str">
        <f aca="false">IF(ISNUMBER(FOLGAS!$C122),FOLGAS!$B122&amp;"","")</f>
        <v/>
      </c>
      <c r="D122" s="78" t="str">
        <f aca="false">IF(ISNUMBER(FOLGAS!$C122),FOLGAS!$C122,"")</f>
        <v/>
      </c>
      <c r="E122" s="0" t="str">
        <f aca="false">IF(ISNUMBER(FOLGAS!$C122),FOLGAS!$D122&amp;"","")</f>
        <v/>
      </c>
      <c r="F122" s="0" t="str">
        <f aca="false">IF(ISNUMBER(FOLGAS!$C122),FOLGAS!$G122&amp;"","")</f>
        <v/>
      </c>
      <c r="G122" s="0" t="str">
        <f aca="true">IF(D122="","",IF(D122=TODAY(),D122+ROW()/100000,""))</f>
        <v/>
      </c>
      <c r="H122" s="0" t="str">
        <f aca="true">IF(D122="","",IF(AND(D122&gt;TODAY(),D122&lt;=TODAY()+7),D122+ROW()/100000,""))</f>
        <v/>
      </c>
      <c r="I122" s="0" t="str">
        <f aca="false">IF(D122="","",IF(D122=CALENDÁRIO!$L$4,ROW(),""))</f>
        <v/>
      </c>
      <c r="J122" s="0" t="str">
        <f aca="false">IF(D122="","",CHOOSE(WEEKDAY(D122),"Domingo","Segunda","Terça","Quarta","Quinta","Sexta","Sábado"))</f>
        <v/>
      </c>
    </row>
    <row r="123" customFormat="false" ht="15" hidden="false" customHeight="false" outlineLevel="0" collapsed="false">
      <c r="A123" s="0" t="str">
        <f aca="false">IF(ISNUMBER(FOLGAS!$C123),"Folga","")</f>
        <v/>
      </c>
      <c r="B123" s="0" t="str">
        <f aca="false">IF(ISNUMBER(FOLGAS!$C123),FOLGAS!$A123&amp;"","")</f>
        <v/>
      </c>
      <c r="C123" s="0" t="str">
        <f aca="false">IF(ISNUMBER(FOLGAS!$C123),FOLGAS!$B123&amp;"","")</f>
        <v/>
      </c>
      <c r="D123" s="78" t="str">
        <f aca="false">IF(ISNUMBER(FOLGAS!$C123),FOLGAS!$C123,"")</f>
        <v/>
      </c>
      <c r="E123" s="0" t="str">
        <f aca="false">IF(ISNUMBER(FOLGAS!$C123),FOLGAS!$D123&amp;"","")</f>
        <v/>
      </c>
      <c r="F123" s="0" t="str">
        <f aca="false">IF(ISNUMBER(FOLGAS!$C123),FOLGAS!$G123&amp;"","")</f>
        <v/>
      </c>
      <c r="G123" s="0" t="str">
        <f aca="true">IF(D123="","",IF(D123=TODAY(),D123+ROW()/100000,""))</f>
        <v/>
      </c>
      <c r="H123" s="0" t="str">
        <f aca="true">IF(D123="","",IF(AND(D123&gt;TODAY(),D123&lt;=TODAY()+7),D123+ROW()/100000,""))</f>
        <v/>
      </c>
      <c r="I123" s="0" t="str">
        <f aca="false">IF(D123="","",IF(D123=CALENDÁRIO!$L$4,ROW(),""))</f>
        <v/>
      </c>
      <c r="J123" s="0" t="str">
        <f aca="false">IF(D123="","",CHOOSE(WEEKDAY(D123),"Domingo","Segunda","Terça","Quarta","Quinta","Sexta","Sábado"))</f>
        <v/>
      </c>
    </row>
    <row r="124" customFormat="false" ht="15" hidden="false" customHeight="false" outlineLevel="0" collapsed="false">
      <c r="A124" s="0" t="str">
        <f aca="false">IF(ISNUMBER(FOLGAS!$C124),"Folga","")</f>
        <v/>
      </c>
      <c r="B124" s="0" t="str">
        <f aca="false">IF(ISNUMBER(FOLGAS!$C124),FOLGAS!$A124&amp;"","")</f>
        <v/>
      </c>
      <c r="C124" s="0" t="str">
        <f aca="false">IF(ISNUMBER(FOLGAS!$C124),FOLGAS!$B124&amp;"","")</f>
        <v/>
      </c>
      <c r="D124" s="78" t="str">
        <f aca="false">IF(ISNUMBER(FOLGAS!$C124),FOLGAS!$C124,"")</f>
        <v/>
      </c>
      <c r="E124" s="0" t="str">
        <f aca="false">IF(ISNUMBER(FOLGAS!$C124),FOLGAS!$D124&amp;"","")</f>
        <v/>
      </c>
      <c r="F124" s="0" t="str">
        <f aca="false">IF(ISNUMBER(FOLGAS!$C124),FOLGAS!$G124&amp;"","")</f>
        <v/>
      </c>
      <c r="G124" s="0" t="str">
        <f aca="true">IF(D124="","",IF(D124=TODAY(),D124+ROW()/100000,""))</f>
        <v/>
      </c>
      <c r="H124" s="0" t="str">
        <f aca="true">IF(D124="","",IF(AND(D124&gt;TODAY(),D124&lt;=TODAY()+7),D124+ROW()/100000,""))</f>
        <v/>
      </c>
      <c r="I124" s="0" t="str">
        <f aca="false">IF(D124="","",IF(D124=CALENDÁRIO!$L$4,ROW(),""))</f>
        <v/>
      </c>
      <c r="J124" s="0" t="str">
        <f aca="false">IF(D124="","",CHOOSE(WEEKDAY(D124),"Domingo","Segunda","Terça","Quarta","Quinta","Sexta","Sábado"))</f>
        <v/>
      </c>
    </row>
    <row r="125" customFormat="false" ht="15" hidden="false" customHeight="false" outlineLevel="0" collapsed="false">
      <c r="A125" s="0" t="str">
        <f aca="false">IF(ISNUMBER(FOLGAS!$C125),"Folga","")</f>
        <v/>
      </c>
      <c r="B125" s="0" t="str">
        <f aca="false">IF(ISNUMBER(FOLGAS!$C125),FOLGAS!$A125&amp;"","")</f>
        <v/>
      </c>
      <c r="C125" s="0" t="str">
        <f aca="false">IF(ISNUMBER(FOLGAS!$C125),FOLGAS!$B125&amp;"","")</f>
        <v/>
      </c>
      <c r="D125" s="78" t="str">
        <f aca="false">IF(ISNUMBER(FOLGAS!$C125),FOLGAS!$C125,"")</f>
        <v/>
      </c>
      <c r="E125" s="0" t="str">
        <f aca="false">IF(ISNUMBER(FOLGAS!$C125),FOLGAS!$D125&amp;"","")</f>
        <v/>
      </c>
      <c r="F125" s="0" t="str">
        <f aca="false">IF(ISNUMBER(FOLGAS!$C125),FOLGAS!$G125&amp;"","")</f>
        <v/>
      </c>
      <c r="G125" s="0" t="str">
        <f aca="true">IF(D125="","",IF(D125=TODAY(),D125+ROW()/100000,""))</f>
        <v/>
      </c>
      <c r="H125" s="0" t="str">
        <f aca="true">IF(D125="","",IF(AND(D125&gt;TODAY(),D125&lt;=TODAY()+7),D125+ROW()/100000,""))</f>
        <v/>
      </c>
      <c r="I125" s="0" t="str">
        <f aca="false">IF(D125="","",IF(D125=CALENDÁRIO!$L$4,ROW(),""))</f>
        <v/>
      </c>
      <c r="J125" s="0" t="str">
        <f aca="false">IF(D125="","",CHOOSE(WEEKDAY(D125),"Domingo","Segunda","Terça","Quarta","Quinta","Sexta","Sábado"))</f>
        <v/>
      </c>
    </row>
    <row r="126" customFormat="false" ht="15" hidden="false" customHeight="false" outlineLevel="0" collapsed="false">
      <c r="A126" s="0" t="str">
        <f aca="false">IF(ISNUMBER(FOLGAS!$C126),"Folga","")</f>
        <v/>
      </c>
      <c r="B126" s="0" t="str">
        <f aca="false">IF(ISNUMBER(FOLGAS!$C126),FOLGAS!$A126&amp;"","")</f>
        <v/>
      </c>
      <c r="C126" s="0" t="str">
        <f aca="false">IF(ISNUMBER(FOLGAS!$C126),FOLGAS!$B126&amp;"","")</f>
        <v/>
      </c>
      <c r="D126" s="78" t="str">
        <f aca="false">IF(ISNUMBER(FOLGAS!$C126),FOLGAS!$C126,"")</f>
        <v/>
      </c>
      <c r="E126" s="0" t="str">
        <f aca="false">IF(ISNUMBER(FOLGAS!$C126),FOLGAS!$D126&amp;"","")</f>
        <v/>
      </c>
      <c r="F126" s="0" t="str">
        <f aca="false">IF(ISNUMBER(FOLGAS!$C126),FOLGAS!$G126&amp;"","")</f>
        <v/>
      </c>
      <c r="G126" s="0" t="str">
        <f aca="true">IF(D126="","",IF(D126=TODAY(),D126+ROW()/100000,""))</f>
        <v/>
      </c>
      <c r="H126" s="0" t="str">
        <f aca="true">IF(D126="","",IF(AND(D126&gt;TODAY(),D126&lt;=TODAY()+7),D126+ROW()/100000,""))</f>
        <v/>
      </c>
      <c r="I126" s="0" t="str">
        <f aca="false">IF(D126="","",IF(D126=CALENDÁRIO!$L$4,ROW(),""))</f>
        <v/>
      </c>
      <c r="J126" s="0" t="str">
        <f aca="false">IF(D126="","",CHOOSE(WEEKDAY(D126),"Domingo","Segunda","Terça","Quarta","Quinta","Sexta","Sábado"))</f>
        <v/>
      </c>
    </row>
    <row r="127" customFormat="false" ht="15" hidden="false" customHeight="false" outlineLevel="0" collapsed="false">
      <c r="A127" s="0" t="str">
        <f aca="false">IF(ISNUMBER(FOLGAS!$C127),"Folga","")</f>
        <v/>
      </c>
      <c r="B127" s="0" t="str">
        <f aca="false">IF(ISNUMBER(FOLGAS!$C127),FOLGAS!$A127&amp;"","")</f>
        <v/>
      </c>
      <c r="C127" s="0" t="str">
        <f aca="false">IF(ISNUMBER(FOLGAS!$C127),FOLGAS!$B127&amp;"","")</f>
        <v/>
      </c>
      <c r="D127" s="78" t="str">
        <f aca="false">IF(ISNUMBER(FOLGAS!$C127),FOLGAS!$C127,"")</f>
        <v/>
      </c>
      <c r="E127" s="0" t="str">
        <f aca="false">IF(ISNUMBER(FOLGAS!$C127),FOLGAS!$D127&amp;"","")</f>
        <v/>
      </c>
      <c r="F127" s="0" t="str">
        <f aca="false">IF(ISNUMBER(FOLGAS!$C127),FOLGAS!$G127&amp;"","")</f>
        <v/>
      </c>
      <c r="G127" s="0" t="str">
        <f aca="true">IF(D127="","",IF(D127=TODAY(),D127+ROW()/100000,""))</f>
        <v/>
      </c>
      <c r="H127" s="0" t="str">
        <f aca="true">IF(D127="","",IF(AND(D127&gt;TODAY(),D127&lt;=TODAY()+7),D127+ROW()/100000,""))</f>
        <v/>
      </c>
      <c r="I127" s="0" t="str">
        <f aca="false">IF(D127="","",IF(D127=CALENDÁRIO!$L$4,ROW(),""))</f>
        <v/>
      </c>
      <c r="J127" s="0" t="str">
        <f aca="false">IF(D127="","",CHOOSE(WEEKDAY(D127),"Domingo","Segunda","Terça","Quarta","Quinta","Sexta","Sábado"))</f>
        <v/>
      </c>
    </row>
    <row r="128" customFormat="false" ht="15" hidden="false" customHeight="false" outlineLevel="0" collapsed="false">
      <c r="A128" s="0" t="str">
        <f aca="false">IF(ISNUMBER(FOLGAS!$C128),"Folga","")</f>
        <v/>
      </c>
      <c r="B128" s="0" t="str">
        <f aca="false">IF(ISNUMBER(FOLGAS!$C128),FOLGAS!$A128&amp;"","")</f>
        <v/>
      </c>
      <c r="C128" s="0" t="str">
        <f aca="false">IF(ISNUMBER(FOLGAS!$C128),FOLGAS!$B128&amp;"","")</f>
        <v/>
      </c>
      <c r="D128" s="78" t="str">
        <f aca="false">IF(ISNUMBER(FOLGAS!$C128),FOLGAS!$C128,"")</f>
        <v/>
      </c>
      <c r="E128" s="0" t="str">
        <f aca="false">IF(ISNUMBER(FOLGAS!$C128),FOLGAS!$D128&amp;"","")</f>
        <v/>
      </c>
      <c r="F128" s="0" t="str">
        <f aca="false">IF(ISNUMBER(FOLGAS!$C128),FOLGAS!$G128&amp;"","")</f>
        <v/>
      </c>
      <c r="G128" s="0" t="str">
        <f aca="true">IF(D128="","",IF(D128=TODAY(),D128+ROW()/100000,""))</f>
        <v/>
      </c>
      <c r="H128" s="0" t="str">
        <f aca="true">IF(D128="","",IF(AND(D128&gt;TODAY(),D128&lt;=TODAY()+7),D128+ROW()/100000,""))</f>
        <v/>
      </c>
      <c r="I128" s="0" t="str">
        <f aca="false">IF(D128="","",IF(D128=CALENDÁRIO!$L$4,ROW(),""))</f>
        <v/>
      </c>
      <c r="J128" s="0" t="str">
        <f aca="false">IF(D128="","",CHOOSE(WEEKDAY(D128),"Domingo","Segunda","Terça","Quarta","Quinta","Sexta","Sábado"))</f>
        <v/>
      </c>
    </row>
    <row r="129" customFormat="false" ht="15" hidden="false" customHeight="false" outlineLevel="0" collapsed="false">
      <c r="A129" s="0" t="str">
        <f aca="false">IF(ISNUMBER(FOLGAS!$C129),"Folga","")</f>
        <v/>
      </c>
      <c r="B129" s="0" t="str">
        <f aca="false">IF(ISNUMBER(FOLGAS!$C129),FOLGAS!$A129&amp;"","")</f>
        <v/>
      </c>
      <c r="C129" s="0" t="str">
        <f aca="false">IF(ISNUMBER(FOLGAS!$C129),FOLGAS!$B129&amp;"","")</f>
        <v/>
      </c>
      <c r="D129" s="78" t="str">
        <f aca="false">IF(ISNUMBER(FOLGAS!$C129),FOLGAS!$C129,"")</f>
        <v/>
      </c>
      <c r="E129" s="0" t="str">
        <f aca="false">IF(ISNUMBER(FOLGAS!$C129),FOLGAS!$D129&amp;"","")</f>
        <v/>
      </c>
      <c r="F129" s="0" t="str">
        <f aca="false">IF(ISNUMBER(FOLGAS!$C129),FOLGAS!$G129&amp;"","")</f>
        <v/>
      </c>
      <c r="G129" s="0" t="str">
        <f aca="true">IF(D129="","",IF(D129=TODAY(),D129+ROW()/100000,""))</f>
        <v/>
      </c>
      <c r="H129" s="0" t="str">
        <f aca="true">IF(D129="","",IF(AND(D129&gt;TODAY(),D129&lt;=TODAY()+7),D129+ROW()/100000,""))</f>
        <v/>
      </c>
      <c r="I129" s="0" t="str">
        <f aca="false">IF(D129="","",IF(D129=CALENDÁRIO!$L$4,ROW(),""))</f>
        <v/>
      </c>
      <c r="J129" s="0" t="str">
        <f aca="false">IF(D129="","",CHOOSE(WEEKDAY(D129),"Domingo","Segunda","Terça","Quarta","Quinta","Sexta","Sábado"))</f>
        <v/>
      </c>
    </row>
    <row r="130" customFormat="false" ht="15" hidden="false" customHeight="false" outlineLevel="0" collapsed="false">
      <c r="A130" s="0" t="str">
        <f aca="false">IF(ISNUMBER(FOLGAS!$C130),"Folga","")</f>
        <v/>
      </c>
      <c r="B130" s="0" t="str">
        <f aca="false">IF(ISNUMBER(FOLGAS!$C130),FOLGAS!$A130&amp;"","")</f>
        <v/>
      </c>
      <c r="C130" s="0" t="str">
        <f aca="false">IF(ISNUMBER(FOLGAS!$C130),FOLGAS!$B130&amp;"","")</f>
        <v/>
      </c>
      <c r="D130" s="78" t="str">
        <f aca="false">IF(ISNUMBER(FOLGAS!$C130),FOLGAS!$C130,"")</f>
        <v/>
      </c>
      <c r="E130" s="0" t="str">
        <f aca="false">IF(ISNUMBER(FOLGAS!$C130),FOLGAS!$D130&amp;"","")</f>
        <v/>
      </c>
      <c r="F130" s="0" t="str">
        <f aca="false">IF(ISNUMBER(FOLGAS!$C130),FOLGAS!$G130&amp;"","")</f>
        <v/>
      </c>
      <c r="G130" s="0" t="str">
        <f aca="true">IF(D130="","",IF(D130=TODAY(),D130+ROW()/100000,""))</f>
        <v/>
      </c>
      <c r="H130" s="0" t="str">
        <f aca="true">IF(D130="","",IF(AND(D130&gt;TODAY(),D130&lt;=TODAY()+7),D130+ROW()/100000,""))</f>
        <v/>
      </c>
      <c r="I130" s="0" t="str">
        <f aca="false">IF(D130="","",IF(D130=CALENDÁRIO!$L$4,ROW(),""))</f>
        <v/>
      </c>
      <c r="J130" s="0" t="str">
        <f aca="false">IF(D130="","",CHOOSE(WEEKDAY(D130),"Domingo","Segunda","Terça","Quarta","Quinta","Sexta","Sábado"))</f>
        <v/>
      </c>
    </row>
    <row r="131" customFormat="false" ht="15" hidden="false" customHeight="false" outlineLevel="0" collapsed="false">
      <c r="A131" s="0" t="str">
        <f aca="false">IF(ISNUMBER(FOLGAS!$C131),"Folga","")</f>
        <v/>
      </c>
      <c r="B131" s="0" t="str">
        <f aca="false">IF(ISNUMBER(FOLGAS!$C131),FOLGAS!$A131&amp;"","")</f>
        <v/>
      </c>
      <c r="C131" s="0" t="str">
        <f aca="false">IF(ISNUMBER(FOLGAS!$C131),FOLGAS!$B131&amp;"","")</f>
        <v/>
      </c>
      <c r="D131" s="78" t="str">
        <f aca="false">IF(ISNUMBER(FOLGAS!$C131),FOLGAS!$C131,"")</f>
        <v/>
      </c>
      <c r="E131" s="0" t="str">
        <f aca="false">IF(ISNUMBER(FOLGAS!$C131),FOLGAS!$D131&amp;"","")</f>
        <v/>
      </c>
      <c r="F131" s="0" t="str">
        <f aca="false">IF(ISNUMBER(FOLGAS!$C131),FOLGAS!$G131&amp;"","")</f>
        <v/>
      </c>
      <c r="G131" s="0" t="str">
        <f aca="true">IF(D131="","",IF(D131=TODAY(),D131+ROW()/100000,""))</f>
        <v/>
      </c>
      <c r="H131" s="0" t="str">
        <f aca="true">IF(D131="","",IF(AND(D131&gt;TODAY(),D131&lt;=TODAY()+7),D131+ROW()/100000,""))</f>
        <v/>
      </c>
      <c r="I131" s="0" t="str">
        <f aca="false">IF(D131="","",IF(D131=CALENDÁRIO!$L$4,ROW(),""))</f>
        <v/>
      </c>
      <c r="J131" s="0" t="str">
        <f aca="false">IF(D131="","",CHOOSE(WEEKDAY(D131),"Domingo","Segunda","Terça","Quarta","Quinta","Sexta","Sábado"))</f>
        <v/>
      </c>
    </row>
    <row r="132" customFormat="false" ht="15" hidden="false" customHeight="false" outlineLevel="0" collapsed="false">
      <c r="A132" s="0" t="str">
        <f aca="false">IF(ISNUMBER(FOLGAS!$C132),"Folga","")</f>
        <v/>
      </c>
      <c r="B132" s="0" t="str">
        <f aca="false">IF(ISNUMBER(FOLGAS!$C132),FOLGAS!$A132&amp;"","")</f>
        <v/>
      </c>
      <c r="C132" s="0" t="str">
        <f aca="false">IF(ISNUMBER(FOLGAS!$C132),FOLGAS!$B132&amp;"","")</f>
        <v/>
      </c>
      <c r="D132" s="78" t="str">
        <f aca="false">IF(ISNUMBER(FOLGAS!$C132),FOLGAS!$C132,"")</f>
        <v/>
      </c>
      <c r="E132" s="0" t="str">
        <f aca="false">IF(ISNUMBER(FOLGAS!$C132),FOLGAS!$D132&amp;"","")</f>
        <v/>
      </c>
      <c r="F132" s="0" t="str">
        <f aca="false">IF(ISNUMBER(FOLGAS!$C132),FOLGAS!$G132&amp;"","")</f>
        <v/>
      </c>
      <c r="G132" s="0" t="str">
        <f aca="true">IF(D132="","",IF(D132=TODAY(),D132+ROW()/100000,""))</f>
        <v/>
      </c>
      <c r="H132" s="0" t="str">
        <f aca="true">IF(D132="","",IF(AND(D132&gt;TODAY(),D132&lt;=TODAY()+7),D132+ROW()/100000,""))</f>
        <v/>
      </c>
      <c r="I132" s="0" t="str">
        <f aca="false">IF(D132="","",IF(D132=CALENDÁRIO!$L$4,ROW(),""))</f>
        <v/>
      </c>
      <c r="J132" s="0" t="str">
        <f aca="false">IF(D132="","",CHOOSE(WEEKDAY(D132),"Domingo","Segunda","Terça","Quarta","Quinta","Sexta","Sábado"))</f>
        <v/>
      </c>
    </row>
    <row r="133" customFormat="false" ht="15" hidden="false" customHeight="false" outlineLevel="0" collapsed="false">
      <c r="A133" s="0" t="str">
        <f aca="false">IF(ISNUMBER(FOLGAS!$C133),"Folga","")</f>
        <v/>
      </c>
      <c r="B133" s="0" t="str">
        <f aca="false">IF(ISNUMBER(FOLGAS!$C133),FOLGAS!$A133&amp;"","")</f>
        <v/>
      </c>
      <c r="C133" s="0" t="str">
        <f aca="false">IF(ISNUMBER(FOLGAS!$C133),FOLGAS!$B133&amp;"","")</f>
        <v/>
      </c>
      <c r="D133" s="78" t="str">
        <f aca="false">IF(ISNUMBER(FOLGAS!$C133),FOLGAS!$C133,"")</f>
        <v/>
      </c>
      <c r="E133" s="0" t="str">
        <f aca="false">IF(ISNUMBER(FOLGAS!$C133),FOLGAS!$D133&amp;"","")</f>
        <v/>
      </c>
      <c r="F133" s="0" t="str">
        <f aca="false">IF(ISNUMBER(FOLGAS!$C133),FOLGAS!$G133&amp;"","")</f>
        <v/>
      </c>
      <c r="G133" s="0" t="str">
        <f aca="true">IF(D133="","",IF(D133=TODAY(),D133+ROW()/100000,""))</f>
        <v/>
      </c>
      <c r="H133" s="0" t="str">
        <f aca="true">IF(D133="","",IF(AND(D133&gt;TODAY(),D133&lt;=TODAY()+7),D133+ROW()/100000,""))</f>
        <v/>
      </c>
      <c r="I133" s="0" t="str">
        <f aca="false">IF(D133="","",IF(D133=CALENDÁRIO!$L$4,ROW(),""))</f>
        <v/>
      </c>
      <c r="J133" s="0" t="str">
        <f aca="false">IF(D133="","",CHOOSE(WEEKDAY(D133),"Domingo","Segunda","Terça","Quarta","Quinta","Sexta","Sábado"))</f>
        <v/>
      </c>
    </row>
    <row r="134" customFormat="false" ht="15" hidden="false" customHeight="false" outlineLevel="0" collapsed="false">
      <c r="A134" s="0" t="str">
        <f aca="false">IF(ISNUMBER(FOLGAS!$C134),"Folga","")</f>
        <v/>
      </c>
      <c r="B134" s="0" t="str">
        <f aca="false">IF(ISNUMBER(FOLGAS!$C134),FOLGAS!$A134&amp;"","")</f>
        <v/>
      </c>
      <c r="C134" s="0" t="str">
        <f aca="false">IF(ISNUMBER(FOLGAS!$C134),FOLGAS!$B134&amp;"","")</f>
        <v/>
      </c>
      <c r="D134" s="78" t="str">
        <f aca="false">IF(ISNUMBER(FOLGAS!$C134),FOLGAS!$C134,"")</f>
        <v/>
      </c>
      <c r="E134" s="0" t="str">
        <f aca="false">IF(ISNUMBER(FOLGAS!$C134),FOLGAS!$D134&amp;"","")</f>
        <v/>
      </c>
      <c r="F134" s="0" t="str">
        <f aca="false">IF(ISNUMBER(FOLGAS!$C134),FOLGAS!$G134&amp;"","")</f>
        <v/>
      </c>
      <c r="G134" s="0" t="str">
        <f aca="true">IF(D134="","",IF(D134=TODAY(),D134+ROW()/100000,""))</f>
        <v/>
      </c>
      <c r="H134" s="0" t="str">
        <f aca="true">IF(D134="","",IF(AND(D134&gt;TODAY(),D134&lt;=TODAY()+7),D134+ROW()/100000,""))</f>
        <v/>
      </c>
      <c r="I134" s="0" t="str">
        <f aca="false">IF(D134="","",IF(D134=CALENDÁRIO!$L$4,ROW(),""))</f>
        <v/>
      </c>
      <c r="J134" s="0" t="str">
        <f aca="false">IF(D134="","",CHOOSE(WEEKDAY(D134),"Domingo","Segunda","Terça","Quarta","Quinta","Sexta","Sábado"))</f>
        <v/>
      </c>
    </row>
    <row r="135" customFormat="false" ht="15" hidden="false" customHeight="false" outlineLevel="0" collapsed="false">
      <c r="A135" s="0" t="str">
        <f aca="false">IF(ISNUMBER(FOLGAS!$C135),"Folga","")</f>
        <v/>
      </c>
      <c r="B135" s="0" t="str">
        <f aca="false">IF(ISNUMBER(FOLGAS!$C135),FOLGAS!$A135&amp;"","")</f>
        <v/>
      </c>
      <c r="C135" s="0" t="str">
        <f aca="false">IF(ISNUMBER(FOLGAS!$C135),FOLGAS!$B135&amp;"","")</f>
        <v/>
      </c>
      <c r="D135" s="78" t="str">
        <f aca="false">IF(ISNUMBER(FOLGAS!$C135),FOLGAS!$C135,"")</f>
        <v/>
      </c>
      <c r="E135" s="0" t="str">
        <f aca="false">IF(ISNUMBER(FOLGAS!$C135),FOLGAS!$D135&amp;"","")</f>
        <v/>
      </c>
      <c r="F135" s="0" t="str">
        <f aca="false">IF(ISNUMBER(FOLGAS!$C135),FOLGAS!$G135&amp;"","")</f>
        <v/>
      </c>
      <c r="G135" s="0" t="str">
        <f aca="true">IF(D135="","",IF(D135=TODAY(),D135+ROW()/100000,""))</f>
        <v/>
      </c>
      <c r="H135" s="0" t="str">
        <f aca="true">IF(D135="","",IF(AND(D135&gt;TODAY(),D135&lt;=TODAY()+7),D135+ROW()/100000,""))</f>
        <v/>
      </c>
      <c r="I135" s="0" t="str">
        <f aca="false">IF(D135="","",IF(D135=CALENDÁRIO!$L$4,ROW(),""))</f>
        <v/>
      </c>
      <c r="J135" s="0" t="str">
        <f aca="false">IF(D135="","",CHOOSE(WEEKDAY(D135),"Domingo","Segunda","Terça","Quarta","Quinta","Sexta","Sábado"))</f>
        <v/>
      </c>
    </row>
    <row r="136" customFormat="false" ht="15" hidden="false" customHeight="false" outlineLevel="0" collapsed="false">
      <c r="A136" s="0" t="str">
        <f aca="false">IF(ISNUMBER(FOLGAS!$C136),"Folga","")</f>
        <v/>
      </c>
      <c r="B136" s="0" t="str">
        <f aca="false">IF(ISNUMBER(FOLGAS!$C136),FOLGAS!$A136&amp;"","")</f>
        <v/>
      </c>
      <c r="C136" s="0" t="str">
        <f aca="false">IF(ISNUMBER(FOLGAS!$C136),FOLGAS!$B136&amp;"","")</f>
        <v/>
      </c>
      <c r="D136" s="78" t="str">
        <f aca="false">IF(ISNUMBER(FOLGAS!$C136),FOLGAS!$C136,"")</f>
        <v/>
      </c>
      <c r="E136" s="0" t="str">
        <f aca="false">IF(ISNUMBER(FOLGAS!$C136),FOLGAS!$D136&amp;"","")</f>
        <v/>
      </c>
      <c r="F136" s="0" t="str">
        <f aca="false">IF(ISNUMBER(FOLGAS!$C136),FOLGAS!$G136&amp;"","")</f>
        <v/>
      </c>
      <c r="G136" s="0" t="str">
        <f aca="true">IF(D136="","",IF(D136=TODAY(),D136+ROW()/100000,""))</f>
        <v/>
      </c>
      <c r="H136" s="0" t="str">
        <f aca="true">IF(D136="","",IF(AND(D136&gt;TODAY(),D136&lt;=TODAY()+7),D136+ROW()/100000,""))</f>
        <v/>
      </c>
      <c r="I136" s="0" t="str">
        <f aca="false">IF(D136="","",IF(D136=CALENDÁRIO!$L$4,ROW(),""))</f>
        <v/>
      </c>
      <c r="J136" s="0" t="str">
        <f aca="false">IF(D136="","",CHOOSE(WEEKDAY(D136),"Domingo","Segunda","Terça","Quarta","Quinta","Sexta","Sábado"))</f>
        <v/>
      </c>
    </row>
    <row r="137" customFormat="false" ht="15" hidden="false" customHeight="false" outlineLevel="0" collapsed="false">
      <c r="A137" s="0" t="str">
        <f aca="false">IF(ISNUMBER(FOLGAS!$C137),"Folga","")</f>
        <v/>
      </c>
      <c r="B137" s="0" t="str">
        <f aca="false">IF(ISNUMBER(FOLGAS!$C137),FOLGAS!$A137&amp;"","")</f>
        <v/>
      </c>
      <c r="C137" s="0" t="str">
        <f aca="false">IF(ISNUMBER(FOLGAS!$C137),FOLGAS!$B137&amp;"","")</f>
        <v/>
      </c>
      <c r="D137" s="78" t="str">
        <f aca="false">IF(ISNUMBER(FOLGAS!$C137),FOLGAS!$C137,"")</f>
        <v/>
      </c>
      <c r="E137" s="0" t="str">
        <f aca="false">IF(ISNUMBER(FOLGAS!$C137),FOLGAS!$D137&amp;"","")</f>
        <v/>
      </c>
      <c r="F137" s="0" t="str">
        <f aca="false">IF(ISNUMBER(FOLGAS!$C137),FOLGAS!$G137&amp;"","")</f>
        <v/>
      </c>
      <c r="G137" s="0" t="str">
        <f aca="true">IF(D137="","",IF(D137=TODAY(),D137+ROW()/100000,""))</f>
        <v/>
      </c>
      <c r="H137" s="0" t="str">
        <f aca="true">IF(D137="","",IF(AND(D137&gt;TODAY(),D137&lt;=TODAY()+7),D137+ROW()/100000,""))</f>
        <v/>
      </c>
      <c r="I137" s="0" t="str">
        <f aca="false">IF(D137="","",IF(D137=CALENDÁRIO!$L$4,ROW(),""))</f>
        <v/>
      </c>
      <c r="J137" s="0" t="str">
        <f aca="false">IF(D137="","",CHOOSE(WEEKDAY(D137),"Domingo","Segunda","Terça","Quarta","Quinta","Sexta","Sábado"))</f>
        <v/>
      </c>
    </row>
    <row r="138" customFormat="false" ht="15" hidden="false" customHeight="false" outlineLevel="0" collapsed="false">
      <c r="A138" s="0" t="str">
        <f aca="false">IF(ISNUMBER(FOLGAS!$C138),"Folga","")</f>
        <v/>
      </c>
      <c r="B138" s="0" t="str">
        <f aca="false">IF(ISNUMBER(FOLGAS!$C138),FOLGAS!$A138&amp;"","")</f>
        <v/>
      </c>
      <c r="C138" s="0" t="str">
        <f aca="false">IF(ISNUMBER(FOLGAS!$C138),FOLGAS!$B138&amp;"","")</f>
        <v/>
      </c>
      <c r="D138" s="78" t="str">
        <f aca="false">IF(ISNUMBER(FOLGAS!$C138),FOLGAS!$C138,"")</f>
        <v/>
      </c>
      <c r="E138" s="0" t="str">
        <f aca="false">IF(ISNUMBER(FOLGAS!$C138),FOLGAS!$D138&amp;"","")</f>
        <v/>
      </c>
      <c r="F138" s="0" t="str">
        <f aca="false">IF(ISNUMBER(FOLGAS!$C138),FOLGAS!$G138&amp;"","")</f>
        <v/>
      </c>
      <c r="G138" s="0" t="str">
        <f aca="true">IF(D138="","",IF(D138=TODAY(),D138+ROW()/100000,""))</f>
        <v/>
      </c>
      <c r="H138" s="0" t="str">
        <f aca="true">IF(D138="","",IF(AND(D138&gt;TODAY(),D138&lt;=TODAY()+7),D138+ROW()/100000,""))</f>
        <v/>
      </c>
      <c r="I138" s="0" t="str">
        <f aca="false">IF(D138="","",IF(D138=CALENDÁRIO!$L$4,ROW(),""))</f>
        <v/>
      </c>
      <c r="J138" s="0" t="str">
        <f aca="false">IF(D138="","",CHOOSE(WEEKDAY(D138),"Domingo","Segunda","Terça","Quarta","Quinta","Sexta","Sábado"))</f>
        <v/>
      </c>
    </row>
    <row r="139" customFormat="false" ht="15" hidden="false" customHeight="false" outlineLevel="0" collapsed="false">
      <c r="A139" s="0" t="str">
        <f aca="false">IF(ISNUMBER(FOLGAS!$C139),"Folga","")</f>
        <v/>
      </c>
      <c r="B139" s="0" t="str">
        <f aca="false">IF(ISNUMBER(FOLGAS!$C139),FOLGAS!$A139&amp;"","")</f>
        <v/>
      </c>
      <c r="C139" s="0" t="str">
        <f aca="false">IF(ISNUMBER(FOLGAS!$C139),FOLGAS!$B139&amp;"","")</f>
        <v/>
      </c>
      <c r="D139" s="78" t="str">
        <f aca="false">IF(ISNUMBER(FOLGAS!$C139),FOLGAS!$C139,"")</f>
        <v/>
      </c>
      <c r="E139" s="0" t="str">
        <f aca="false">IF(ISNUMBER(FOLGAS!$C139),FOLGAS!$D139&amp;"","")</f>
        <v/>
      </c>
      <c r="F139" s="0" t="str">
        <f aca="false">IF(ISNUMBER(FOLGAS!$C139),FOLGAS!$G139&amp;"","")</f>
        <v/>
      </c>
      <c r="G139" s="0" t="str">
        <f aca="true">IF(D139="","",IF(D139=TODAY(),D139+ROW()/100000,""))</f>
        <v/>
      </c>
      <c r="H139" s="0" t="str">
        <f aca="true">IF(D139="","",IF(AND(D139&gt;TODAY(),D139&lt;=TODAY()+7),D139+ROW()/100000,""))</f>
        <v/>
      </c>
      <c r="I139" s="0" t="str">
        <f aca="false">IF(D139="","",IF(D139=CALENDÁRIO!$L$4,ROW(),""))</f>
        <v/>
      </c>
      <c r="J139" s="0" t="str">
        <f aca="false">IF(D139="","",CHOOSE(WEEKDAY(D139),"Domingo","Segunda","Terça","Quarta","Quinta","Sexta","Sábado"))</f>
        <v/>
      </c>
    </row>
    <row r="140" customFormat="false" ht="15" hidden="false" customHeight="false" outlineLevel="0" collapsed="false">
      <c r="A140" s="0" t="str">
        <f aca="false">IF(ISNUMBER(FOLGAS!$C140),"Folga","")</f>
        <v/>
      </c>
      <c r="B140" s="0" t="str">
        <f aca="false">IF(ISNUMBER(FOLGAS!$C140),FOLGAS!$A140&amp;"","")</f>
        <v/>
      </c>
      <c r="C140" s="0" t="str">
        <f aca="false">IF(ISNUMBER(FOLGAS!$C140),FOLGAS!$B140&amp;"","")</f>
        <v/>
      </c>
      <c r="D140" s="78" t="str">
        <f aca="false">IF(ISNUMBER(FOLGAS!$C140),FOLGAS!$C140,"")</f>
        <v/>
      </c>
      <c r="E140" s="0" t="str">
        <f aca="false">IF(ISNUMBER(FOLGAS!$C140),FOLGAS!$D140&amp;"","")</f>
        <v/>
      </c>
      <c r="F140" s="0" t="str">
        <f aca="false">IF(ISNUMBER(FOLGAS!$C140),FOLGAS!$G140&amp;"","")</f>
        <v/>
      </c>
      <c r="G140" s="0" t="str">
        <f aca="true">IF(D140="","",IF(D140=TODAY(),D140+ROW()/100000,""))</f>
        <v/>
      </c>
      <c r="H140" s="0" t="str">
        <f aca="true">IF(D140="","",IF(AND(D140&gt;TODAY(),D140&lt;=TODAY()+7),D140+ROW()/100000,""))</f>
        <v/>
      </c>
      <c r="I140" s="0" t="str">
        <f aca="false">IF(D140="","",IF(D140=CALENDÁRIO!$L$4,ROW(),""))</f>
        <v/>
      </c>
      <c r="J140" s="0" t="str">
        <f aca="false">IF(D140="","",CHOOSE(WEEKDAY(D140),"Domingo","Segunda","Terça","Quarta","Quinta","Sexta","Sábado"))</f>
        <v/>
      </c>
    </row>
    <row r="141" customFormat="false" ht="15" hidden="false" customHeight="false" outlineLevel="0" collapsed="false">
      <c r="A141" s="0" t="str">
        <f aca="false">IF(ISNUMBER(FOLGAS!$C141),"Folga","")</f>
        <v/>
      </c>
      <c r="B141" s="0" t="str">
        <f aca="false">IF(ISNUMBER(FOLGAS!$C141),FOLGAS!$A141&amp;"","")</f>
        <v/>
      </c>
      <c r="C141" s="0" t="str">
        <f aca="false">IF(ISNUMBER(FOLGAS!$C141),FOLGAS!$B141&amp;"","")</f>
        <v/>
      </c>
      <c r="D141" s="78" t="str">
        <f aca="false">IF(ISNUMBER(FOLGAS!$C141),FOLGAS!$C141,"")</f>
        <v/>
      </c>
      <c r="E141" s="0" t="str">
        <f aca="false">IF(ISNUMBER(FOLGAS!$C141),FOLGAS!$D141&amp;"","")</f>
        <v/>
      </c>
      <c r="F141" s="0" t="str">
        <f aca="false">IF(ISNUMBER(FOLGAS!$C141),FOLGAS!$G141&amp;"","")</f>
        <v/>
      </c>
      <c r="G141" s="0" t="str">
        <f aca="true">IF(D141="","",IF(D141=TODAY(),D141+ROW()/100000,""))</f>
        <v/>
      </c>
      <c r="H141" s="0" t="str">
        <f aca="true">IF(D141="","",IF(AND(D141&gt;TODAY(),D141&lt;=TODAY()+7),D141+ROW()/100000,""))</f>
        <v/>
      </c>
      <c r="I141" s="0" t="str">
        <f aca="false">IF(D141="","",IF(D141=CALENDÁRIO!$L$4,ROW(),""))</f>
        <v/>
      </c>
      <c r="J141" s="0" t="str">
        <f aca="false">IF(D141="","",CHOOSE(WEEKDAY(D141),"Domingo","Segunda","Terça","Quarta","Quinta","Sexta","Sábado"))</f>
        <v/>
      </c>
    </row>
    <row r="142" customFormat="false" ht="15" hidden="false" customHeight="false" outlineLevel="0" collapsed="false">
      <c r="A142" s="0" t="str">
        <f aca="false">IF(ISNUMBER(FOLGAS!$C142),"Folga","")</f>
        <v/>
      </c>
      <c r="B142" s="0" t="str">
        <f aca="false">IF(ISNUMBER(FOLGAS!$C142),FOLGAS!$A142&amp;"","")</f>
        <v/>
      </c>
      <c r="C142" s="0" t="str">
        <f aca="false">IF(ISNUMBER(FOLGAS!$C142),FOLGAS!$B142&amp;"","")</f>
        <v/>
      </c>
      <c r="D142" s="78" t="str">
        <f aca="false">IF(ISNUMBER(FOLGAS!$C142),FOLGAS!$C142,"")</f>
        <v/>
      </c>
      <c r="E142" s="0" t="str">
        <f aca="false">IF(ISNUMBER(FOLGAS!$C142),FOLGAS!$D142&amp;"","")</f>
        <v/>
      </c>
      <c r="F142" s="0" t="str">
        <f aca="false">IF(ISNUMBER(FOLGAS!$C142),FOLGAS!$G142&amp;"","")</f>
        <v/>
      </c>
      <c r="G142" s="0" t="str">
        <f aca="true">IF(D142="","",IF(D142=TODAY(),D142+ROW()/100000,""))</f>
        <v/>
      </c>
      <c r="H142" s="0" t="str">
        <f aca="true">IF(D142="","",IF(AND(D142&gt;TODAY(),D142&lt;=TODAY()+7),D142+ROW()/100000,""))</f>
        <v/>
      </c>
      <c r="I142" s="0" t="str">
        <f aca="false">IF(D142="","",IF(D142=CALENDÁRIO!$L$4,ROW(),""))</f>
        <v/>
      </c>
      <c r="J142" s="0" t="str">
        <f aca="false">IF(D142="","",CHOOSE(WEEKDAY(D142),"Domingo","Segunda","Terça","Quarta","Quinta","Sexta","Sábado"))</f>
        <v/>
      </c>
    </row>
    <row r="143" customFormat="false" ht="15" hidden="false" customHeight="false" outlineLevel="0" collapsed="false">
      <c r="A143" s="0" t="str">
        <f aca="false">IF(ISNUMBER(FOLGAS!$C143),"Folga","")</f>
        <v/>
      </c>
      <c r="B143" s="0" t="str">
        <f aca="false">IF(ISNUMBER(FOLGAS!$C143),FOLGAS!$A143&amp;"","")</f>
        <v/>
      </c>
      <c r="C143" s="0" t="str">
        <f aca="false">IF(ISNUMBER(FOLGAS!$C143),FOLGAS!$B143&amp;"","")</f>
        <v/>
      </c>
      <c r="D143" s="78" t="str">
        <f aca="false">IF(ISNUMBER(FOLGAS!$C143),FOLGAS!$C143,"")</f>
        <v/>
      </c>
      <c r="E143" s="0" t="str">
        <f aca="false">IF(ISNUMBER(FOLGAS!$C143),FOLGAS!$D143&amp;"","")</f>
        <v/>
      </c>
      <c r="F143" s="0" t="str">
        <f aca="false">IF(ISNUMBER(FOLGAS!$C143),FOLGAS!$G143&amp;"","")</f>
        <v/>
      </c>
      <c r="G143" s="0" t="str">
        <f aca="true">IF(D143="","",IF(D143=TODAY(),D143+ROW()/100000,""))</f>
        <v/>
      </c>
      <c r="H143" s="0" t="str">
        <f aca="true">IF(D143="","",IF(AND(D143&gt;TODAY(),D143&lt;=TODAY()+7),D143+ROW()/100000,""))</f>
        <v/>
      </c>
      <c r="I143" s="0" t="str">
        <f aca="false">IF(D143="","",IF(D143=CALENDÁRIO!$L$4,ROW(),""))</f>
        <v/>
      </c>
      <c r="J143" s="0" t="str">
        <f aca="false">IF(D143="","",CHOOSE(WEEKDAY(D143),"Domingo","Segunda","Terça","Quarta","Quinta","Sexta","Sábado"))</f>
        <v/>
      </c>
    </row>
    <row r="144" customFormat="false" ht="15" hidden="false" customHeight="false" outlineLevel="0" collapsed="false">
      <c r="A144" s="0" t="str">
        <f aca="false">IF(ISNUMBER(FOLGAS!$C144),"Folga","")</f>
        <v/>
      </c>
      <c r="B144" s="0" t="str">
        <f aca="false">IF(ISNUMBER(FOLGAS!$C144),FOLGAS!$A144&amp;"","")</f>
        <v/>
      </c>
      <c r="C144" s="0" t="str">
        <f aca="false">IF(ISNUMBER(FOLGAS!$C144),FOLGAS!$B144&amp;"","")</f>
        <v/>
      </c>
      <c r="D144" s="78" t="str">
        <f aca="false">IF(ISNUMBER(FOLGAS!$C144),FOLGAS!$C144,"")</f>
        <v/>
      </c>
      <c r="E144" s="0" t="str">
        <f aca="false">IF(ISNUMBER(FOLGAS!$C144),FOLGAS!$D144&amp;"","")</f>
        <v/>
      </c>
      <c r="F144" s="0" t="str">
        <f aca="false">IF(ISNUMBER(FOLGAS!$C144),FOLGAS!$G144&amp;"","")</f>
        <v/>
      </c>
      <c r="G144" s="0" t="str">
        <f aca="true">IF(D144="","",IF(D144=TODAY(),D144+ROW()/100000,""))</f>
        <v/>
      </c>
      <c r="H144" s="0" t="str">
        <f aca="true">IF(D144="","",IF(AND(D144&gt;TODAY(),D144&lt;=TODAY()+7),D144+ROW()/100000,""))</f>
        <v/>
      </c>
      <c r="I144" s="0" t="str">
        <f aca="false">IF(D144="","",IF(D144=CALENDÁRIO!$L$4,ROW(),""))</f>
        <v/>
      </c>
      <c r="J144" s="0" t="str">
        <f aca="false">IF(D144="","",CHOOSE(WEEKDAY(D144),"Domingo","Segunda","Terça","Quarta","Quinta","Sexta","Sábado"))</f>
        <v/>
      </c>
    </row>
    <row r="145" customFormat="false" ht="15" hidden="false" customHeight="false" outlineLevel="0" collapsed="false">
      <c r="A145" s="0" t="str">
        <f aca="false">IF(ISNUMBER(FOLGAS!$C145),"Folga","")</f>
        <v/>
      </c>
      <c r="B145" s="0" t="str">
        <f aca="false">IF(ISNUMBER(FOLGAS!$C145),FOLGAS!$A145&amp;"","")</f>
        <v/>
      </c>
      <c r="C145" s="0" t="str">
        <f aca="false">IF(ISNUMBER(FOLGAS!$C145),FOLGAS!$B145&amp;"","")</f>
        <v/>
      </c>
      <c r="D145" s="78" t="str">
        <f aca="false">IF(ISNUMBER(FOLGAS!$C145),FOLGAS!$C145,"")</f>
        <v/>
      </c>
      <c r="E145" s="0" t="str">
        <f aca="false">IF(ISNUMBER(FOLGAS!$C145),FOLGAS!$D145&amp;"","")</f>
        <v/>
      </c>
      <c r="F145" s="0" t="str">
        <f aca="false">IF(ISNUMBER(FOLGAS!$C145),FOLGAS!$G145&amp;"","")</f>
        <v/>
      </c>
      <c r="G145" s="0" t="str">
        <f aca="true">IF(D145="","",IF(D145=TODAY(),D145+ROW()/100000,""))</f>
        <v/>
      </c>
      <c r="H145" s="0" t="str">
        <f aca="true">IF(D145="","",IF(AND(D145&gt;TODAY(),D145&lt;=TODAY()+7),D145+ROW()/100000,""))</f>
        <v/>
      </c>
      <c r="I145" s="0" t="str">
        <f aca="false">IF(D145="","",IF(D145=CALENDÁRIO!$L$4,ROW(),""))</f>
        <v/>
      </c>
      <c r="J145" s="0" t="str">
        <f aca="false">IF(D145="","",CHOOSE(WEEKDAY(D145),"Domingo","Segunda","Terça","Quarta","Quinta","Sexta","Sábado"))</f>
        <v/>
      </c>
    </row>
    <row r="146" customFormat="false" ht="15" hidden="false" customHeight="false" outlineLevel="0" collapsed="false">
      <c r="A146" s="0" t="str">
        <f aca="false">IF(ISNUMBER(FOLGAS!$C146),"Folga","")</f>
        <v/>
      </c>
      <c r="B146" s="0" t="str">
        <f aca="false">IF(ISNUMBER(FOLGAS!$C146),FOLGAS!$A146&amp;"","")</f>
        <v/>
      </c>
      <c r="C146" s="0" t="str">
        <f aca="false">IF(ISNUMBER(FOLGAS!$C146),FOLGAS!$B146&amp;"","")</f>
        <v/>
      </c>
      <c r="D146" s="78" t="str">
        <f aca="false">IF(ISNUMBER(FOLGAS!$C146),FOLGAS!$C146,"")</f>
        <v/>
      </c>
      <c r="E146" s="0" t="str">
        <f aca="false">IF(ISNUMBER(FOLGAS!$C146),FOLGAS!$D146&amp;"","")</f>
        <v/>
      </c>
      <c r="F146" s="0" t="str">
        <f aca="false">IF(ISNUMBER(FOLGAS!$C146),FOLGAS!$G146&amp;"","")</f>
        <v/>
      </c>
      <c r="G146" s="0" t="str">
        <f aca="true">IF(D146="","",IF(D146=TODAY(),D146+ROW()/100000,""))</f>
        <v/>
      </c>
      <c r="H146" s="0" t="str">
        <f aca="true">IF(D146="","",IF(AND(D146&gt;TODAY(),D146&lt;=TODAY()+7),D146+ROW()/100000,""))</f>
        <v/>
      </c>
      <c r="I146" s="0" t="str">
        <f aca="false">IF(D146="","",IF(D146=CALENDÁRIO!$L$4,ROW(),""))</f>
        <v/>
      </c>
      <c r="J146" s="0" t="str">
        <f aca="false">IF(D146="","",CHOOSE(WEEKDAY(D146),"Domingo","Segunda","Terça","Quarta","Quinta","Sexta","Sábado"))</f>
        <v/>
      </c>
    </row>
    <row r="147" customFormat="false" ht="15" hidden="false" customHeight="false" outlineLevel="0" collapsed="false">
      <c r="A147" s="0" t="str">
        <f aca="false">IF(ISNUMBER(FOLGAS!$C147),"Folga","")</f>
        <v/>
      </c>
      <c r="B147" s="0" t="str">
        <f aca="false">IF(ISNUMBER(FOLGAS!$C147),FOLGAS!$A147&amp;"","")</f>
        <v/>
      </c>
      <c r="C147" s="0" t="str">
        <f aca="false">IF(ISNUMBER(FOLGAS!$C147),FOLGAS!$B147&amp;"","")</f>
        <v/>
      </c>
      <c r="D147" s="78" t="str">
        <f aca="false">IF(ISNUMBER(FOLGAS!$C147),FOLGAS!$C147,"")</f>
        <v/>
      </c>
      <c r="E147" s="0" t="str">
        <f aca="false">IF(ISNUMBER(FOLGAS!$C147),FOLGAS!$D147&amp;"","")</f>
        <v/>
      </c>
      <c r="F147" s="0" t="str">
        <f aca="false">IF(ISNUMBER(FOLGAS!$C147),FOLGAS!$G147&amp;"","")</f>
        <v/>
      </c>
      <c r="G147" s="0" t="str">
        <f aca="true">IF(D147="","",IF(D147=TODAY(),D147+ROW()/100000,""))</f>
        <v/>
      </c>
      <c r="H147" s="0" t="str">
        <f aca="true">IF(D147="","",IF(AND(D147&gt;TODAY(),D147&lt;=TODAY()+7),D147+ROW()/100000,""))</f>
        <v/>
      </c>
      <c r="I147" s="0" t="str">
        <f aca="false">IF(D147="","",IF(D147=CALENDÁRIO!$L$4,ROW(),""))</f>
        <v/>
      </c>
      <c r="J147" s="0" t="str">
        <f aca="false">IF(D147="","",CHOOSE(WEEKDAY(D147),"Domingo","Segunda","Terça","Quarta","Quinta","Sexta","Sábado"))</f>
        <v/>
      </c>
    </row>
    <row r="148" customFormat="false" ht="15" hidden="false" customHeight="false" outlineLevel="0" collapsed="false">
      <c r="A148" s="0" t="str">
        <f aca="false">IF(ISNUMBER(FOLGAS!$C148),"Folga","")</f>
        <v/>
      </c>
      <c r="B148" s="0" t="str">
        <f aca="false">IF(ISNUMBER(FOLGAS!$C148),FOLGAS!$A148&amp;"","")</f>
        <v/>
      </c>
      <c r="C148" s="0" t="str">
        <f aca="false">IF(ISNUMBER(FOLGAS!$C148),FOLGAS!$B148&amp;"","")</f>
        <v/>
      </c>
      <c r="D148" s="78" t="str">
        <f aca="false">IF(ISNUMBER(FOLGAS!$C148),FOLGAS!$C148,"")</f>
        <v/>
      </c>
      <c r="E148" s="0" t="str">
        <f aca="false">IF(ISNUMBER(FOLGAS!$C148),FOLGAS!$D148&amp;"","")</f>
        <v/>
      </c>
      <c r="F148" s="0" t="str">
        <f aca="false">IF(ISNUMBER(FOLGAS!$C148),FOLGAS!$G148&amp;"","")</f>
        <v/>
      </c>
      <c r="G148" s="0" t="str">
        <f aca="true">IF(D148="","",IF(D148=TODAY(),D148+ROW()/100000,""))</f>
        <v/>
      </c>
      <c r="H148" s="0" t="str">
        <f aca="true">IF(D148="","",IF(AND(D148&gt;TODAY(),D148&lt;=TODAY()+7),D148+ROW()/100000,""))</f>
        <v/>
      </c>
      <c r="I148" s="0" t="str">
        <f aca="false">IF(D148="","",IF(D148=CALENDÁRIO!$L$4,ROW(),""))</f>
        <v/>
      </c>
      <c r="J148" s="0" t="str">
        <f aca="false">IF(D148="","",CHOOSE(WEEKDAY(D148),"Domingo","Segunda","Terça","Quarta","Quinta","Sexta","Sábado"))</f>
        <v/>
      </c>
    </row>
    <row r="149" customFormat="false" ht="15" hidden="false" customHeight="false" outlineLevel="0" collapsed="false">
      <c r="A149" s="0" t="str">
        <f aca="false">IF(ISNUMBER(FOLGAS!$C149),"Folga","")</f>
        <v/>
      </c>
      <c r="B149" s="0" t="str">
        <f aca="false">IF(ISNUMBER(FOLGAS!$C149),FOLGAS!$A149&amp;"","")</f>
        <v/>
      </c>
      <c r="C149" s="0" t="str">
        <f aca="false">IF(ISNUMBER(FOLGAS!$C149),FOLGAS!$B149&amp;"","")</f>
        <v/>
      </c>
      <c r="D149" s="78" t="str">
        <f aca="false">IF(ISNUMBER(FOLGAS!$C149),FOLGAS!$C149,"")</f>
        <v/>
      </c>
      <c r="E149" s="0" t="str">
        <f aca="false">IF(ISNUMBER(FOLGAS!$C149),FOLGAS!$D149&amp;"","")</f>
        <v/>
      </c>
      <c r="F149" s="0" t="str">
        <f aca="false">IF(ISNUMBER(FOLGAS!$C149),FOLGAS!$G149&amp;"","")</f>
        <v/>
      </c>
      <c r="G149" s="0" t="str">
        <f aca="true">IF(D149="","",IF(D149=TODAY(),D149+ROW()/100000,""))</f>
        <v/>
      </c>
      <c r="H149" s="0" t="str">
        <f aca="true">IF(D149="","",IF(AND(D149&gt;TODAY(),D149&lt;=TODAY()+7),D149+ROW()/100000,""))</f>
        <v/>
      </c>
      <c r="I149" s="0" t="str">
        <f aca="false">IF(D149="","",IF(D149=CALENDÁRIO!$L$4,ROW(),""))</f>
        <v/>
      </c>
      <c r="J149" s="0" t="str">
        <f aca="false">IF(D149="","",CHOOSE(WEEKDAY(D149),"Domingo","Segunda","Terça","Quarta","Quinta","Sexta","Sábado"))</f>
        <v/>
      </c>
    </row>
    <row r="150" customFormat="false" ht="15" hidden="false" customHeight="false" outlineLevel="0" collapsed="false">
      <c r="A150" s="0" t="str">
        <f aca="false">IF(ISNUMBER(FOLGAS!$C150),"Folga","")</f>
        <v/>
      </c>
      <c r="B150" s="0" t="str">
        <f aca="false">IF(ISNUMBER(FOLGAS!$C150),FOLGAS!$A150&amp;"","")</f>
        <v/>
      </c>
      <c r="C150" s="0" t="str">
        <f aca="false">IF(ISNUMBER(FOLGAS!$C150),FOLGAS!$B150&amp;"","")</f>
        <v/>
      </c>
      <c r="D150" s="78" t="str">
        <f aca="false">IF(ISNUMBER(FOLGAS!$C150),FOLGAS!$C150,"")</f>
        <v/>
      </c>
      <c r="E150" s="0" t="str">
        <f aca="false">IF(ISNUMBER(FOLGAS!$C150),FOLGAS!$D150&amp;"","")</f>
        <v/>
      </c>
      <c r="F150" s="0" t="str">
        <f aca="false">IF(ISNUMBER(FOLGAS!$C150),FOLGAS!$G150&amp;"","")</f>
        <v/>
      </c>
      <c r="G150" s="0" t="str">
        <f aca="true">IF(D150="","",IF(D150=TODAY(),D150+ROW()/100000,""))</f>
        <v/>
      </c>
      <c r="H150" s="0" t="str">
        <f aca="true">IF(D150="","",IF(AND(D150&gt;TODAY(),D150&lt;=TODAY()+7),D150+ROW()/100000,""))</f>
        <v/>
      </c>
      <c r="I150" s="0" t="str">
        <f aca="false">IF(D150="","",IF(D150=CALENDÁRIO!$L$4,ROW(),""))</f>
        <v/>
      </c>
      <c r="J150" s="0" t="str">
        <f aca="false">IF(D150="","",CHOOSE(WEEKDAY(D150),"Domingo","Segunda","Terça","Quarta","Quinta","Sexta","Sábado"))</f>
        <v/>
      </c>
    </row>
    <row r="151" customFormat="false" ht="15" hidden="false" customHeight="false" outlineLevel="0" collapsed="false">
      <c r="A151" s="0" t="str">
        <f aca="false">IF(ISNUMBER(FOLGAS!$C151),"Folga","")</f>
        <v/>
      </c>
      <c r="B151" s="0" t="str">
        <f aca="false">IF(ISNUMBER(FOLGAS!$C151),FOLGAS!$A151&amp;"","")</f>
        <v/>
      </c>
      <c r="C151" s="0" t="str">
        <f aca="false">IF(ISNUMBER(FOLGAS!$C151),FOLGAS!$B151&amp;"","")</f>
        <v/>
      </c>
      <c r="D151" s="78" t="str">
        <f aca="false">IF(ISNUMBER(FOLGAS!$C151),FOLGAS!$C151,"")</f>
        <v/>
      </c>
      <c r="E151" s="0" t="str">
        <f aca="false">IF(ISNUMBER(FOLGAS!$C151),FOLGAS!$D151&amp;"","")</f>
        <v/>
      </c>
      <c r="F151" s="0" t="str">
        <f aca="false">IF(ISNUMBER(FOLGAS!$C151),FOLGAS!$G151&amp;"","")</f>
        <v/>
      </c>
      <c r="G151" s="0" t="str">
        <f aca="true">IF(D151="","",IF(D151=TODAY(),D151+ROW()/100000,""))</f>
        <v/>
      </c>
      <c r="H151" s="0" t="str">
        <f aca="true">IF(D151="","",IF(AND(D151&gt;TODAY(),D151&lt;=TODAY()+7),D151+ROW()/100000,""))</f>
        <v/>
      </c>
      <c r="I151" s="0" t="str">
        <f aca="false">IF(D151="","",IF(D151=CALENDÁRIO!$L$4,ROW(),""))</f>
        <v/>
      </c>
      <c r="J151" s="0" t="str">
        <f aca="false">IF(D151="","",CHOOSE(WEEKDAY(D151),"Domingo","Segunda","Terça","Quarta","Quinta","Sexta","Sábado"))</f>
        <v/>
      </c>
    </row>
    <row r="152" customFormat="false" ht="15" hidden="false" customHeight="false" outlineLevel="0" collapsed="false">
      <c r="A152" s="0" t="str">
        <f aca="false">IF(ISNUMBER(FOLGAS!$C152),"Folga","")</f>
        <v/>
      </c>
      <c r="B152" s="0" t="str">
        <f aca="false">IF(ISNUMBER(FOLGAS!$C152),FOLGAS!$A152&amp;"","")</f>
        <v/>
      </c>
      <c r="C152" s="0" t="str">
        <f aca="false">IF(ISNUMBER(FOLGAS!$C152),FOLGAS!$B152&amp;"","")</f>
        <v/>
      </c>
      <c r="D152" s="78" t="str">
        <f aca="false">IF(ISNUMBER(FOLGAS!$C152),FOLGAS!$C152,"")</f>
        <v/>
      </c>
      <c r="E152" s="0" t="str">
        <f aca="false">IF(ISNUMBER(FOLGAS!$C152),FOLGAS!$D152&amp;"","")</f>
        <v/>
      </c>
      <c r="F152" s="0" t="str">
        <f aca="false">IF(ISNUMBER(FOLGAS!$C152),FOLGAS!$G152&amp;"","")</f>
        <v/>
      </c>
      <c r="G152" s="0" t="str">
        <f aca="true">IF(D152="","",IF(D152=TODAY(),D152+ROW()/100000,""))</f>
        <v/>
      </c>
      <c r="H152" s="0" t="str">
        <f aca="true">IF(D152="","",IF(AND(D152&gt;TODAY(),D152&lt;=TODAY()+7),D152+ROW()/100000,""))</f>
        <v/>
      </c>
      <c r="I152" s="0" t="str">
        <f aca="false">IF(D152="","",IF(D152=CALENDÁRIO!$L$4,ROW(),""))</f>
        <v/>
      </c>
      <c r="J152" s="0" t="str">
        <f aca="false">IF(D152="","",CHOOSE(WEEKDAY(D152),"Domingo","Segunda","Terça","Quarta","Quinta","Sexta","Sábado"))</f>
        <v/>
      </c>
    </row>
    <row r="153" customFormat="false" ht="15" hidden="false" customHeight="false" outlineLevel="0" collapsed="false">
      <c r="A153" s="0" t="str">
        <f aca="false">IF(ISNUMBER(FOLGAS!$C153),"Folga","")</f>
        <v/>
      </c>
      <c r="B153" s="0" t="str">
        <f aca="false">IF(ISNUMBER(FOLGAS!$C153),FOLGAS!$A153&amp;"","")</f>
        <v/>
      </c>
      <c r="C153" s="0" t="str">
        <f aca="false">IF(ISNUMBER(FOLGAS!$C153),FOLGAS!$B153&amp;"","")</f>
        <v/>
      </c>
      <c r="D153" s="78" t="str">
        <f aca="false">IF(ISNUMBER(FOLGAS!$C153),FOLGAS!$C153,"")</f>
        <v/>
      </c>
      <c r="E153" s="0" t="str">
        <f aca="false">IF(ISNUMBER(FOLGAS!$C153),FOLGAS!$D153&amp;"","")</f>
        <v/>
      </c>
      <c r="F153" s="0" t="str">
        <f aca="false">IF(ISNUMBER(FOLGAS!$C153),FOLGAS!$G153&amp;"","")</f>
        <v/>
      </c>
      <c r="G153" s="0" t="str">
        <f aca="true">IF(D153="","",IF(D153=TODAY(),D153+ROW()/100000,""))</f>
        <v/>
      </c>
      <c r="H153" s="0" t="str">
        <f aca="true">IF(D153="","",IF(AND(D153&gt;TODAY(),D153&lt;=TODAY()+7),D153+ROW()/100000,""))</f>
        <v/>
      </c>
      <c r="I153" s="0" t="str">
        <f aca="false">IF(D153="","",IF(D153=CALENDÁRIO!$L$4,ROW(),""))</f>
        <v/>
      </c>
      <c r="J153" s="0" t="str">
        <f aca="false">IF(D153="","",CHOOSE(WEEKDAY(D153),"Domingo","Segunda","Terça","Quarta","Quinta","Sexta","Sábado"))</f>
        <v/>
      </c>
    </row>
    <row r="154" customFormat="false" ht="15" hidden="false" customHeight="false" outlineLevel="0" collapsed="false">
      <c r="A154" s="0" t="str">
        <f aca="false">IF(ISNUMBER(FOLGAS!$C154),"Folga","")</f>
        <v/>
      </c>
      <c r="B154" s="0" t="str">
        <f aca="false">IF(ISNUMBER(FOLGAS!$C154),FOLGAS!$A154&amp;"","")</f>
        <v/>
      </c>
      <c r="C154" s="0" t="str">
        <f aca="false">IF(ISNUMBER(FOLGAS!$C154),FOLGAS!$B154&amp;"","")</f>
        <v/>
      </c>
      <c r="D154" s="78" t="str">
        <f aca="false">IF(ISNUMBER(FOLGAS!$C154),FOLGAS!$C154,"")</f>
        <v/>
      </c>
      <c r="E154" s="0" t="str">
        <f aca="false">IF(ISNUMBER(FOLGAS!$C154),FOLGAS!$D154&amp;"","")</f>
        <v/>
      </c>
      <c r="F154" s="0" t="str">
        <f aca="false">IF(ISNUMBER(FOLGAS!$C154),FOLGAS!$G154&amp;"","")</f>
        <v/>
      </c>
      <c r="G154" s="0" t="str">
        <f aca="true">IF(D154="","",IF(D154=TODAY(),D154+ROW()/100000,""))</f>
        <v/>
      </c>
      <c r="H154" s="0" t="str">
        <f aca="true">IF(D154="","",IF(AND(D154&gt;TODAY(),D154&lt;=TODAY()+7),D154+ROW()/100000,""))</f>
        <v/>
      </c>
      <c r="I154" s="0" t="str">
        <f aca="false">IF(D154="","",IF(D154=CALENDÁRIO!$L$4,ROW(),""))</f>
        <v/>
      </c>
      <c r="J154" s="0" t="str">
        <f aca="false">IF(D154="","",CHOOSE(WEEKDAY(D154),"Domingo","Segunda","Terça","Quarta","Quinta","Sexta","Sábado"))</f>
        <v/>
      </c>
    </row>
    <row r="155" customFormat="false" ht="15" hidden="false" customHeight="false" outlineLevel="0" collapsed="false">
      <c r="A155" s="0" t="str">
        <f aca="false">IF(ISNUMBER(FOLGAS!$C155),"Folga","")</f>
        <v/>
      </c>
      <c r="B155" s="0" t="str">
        <f aca="false">IF(ISNUMBER(FOLGAS!$C155),FOLGAS!$A155&amp;"","")</f>
        <v/>
      </c>
      <c r="C155" s="0" t="str">
        <f aca="false">IF(ISNUMBER(FOLGAS!$C155),FOLGAS!$B155&amp;"","")</f>
        <v/>
      </c>
      <c r="D155" s="78" t="str">
        <f aca="false">IF(ISNUMBER(FOLGAS!$C155),FOLGAS!$C155,"")</f>
        <v/>
      </c>
      <c r="E155" s="0" t="str">
        <f aca="false">IF(ISNUMBER(FOLGAS!$C155),FOLGAS!$D155&amp;"","")</f>
        <v/>
      </c>
      <c r="F155" s="0" t="str">
        <f aca="false">IF(ISNUMBER(FOLGAS!$C155),FOLGAS!$G155&amp;"","")</f>
        <v/>
      </c>
      <c r="G155" s="0" t="str">
        <f aca="true">IF(D155="","",IF(D155=TODAY(),D155+ROW()/100000,""))</f>
        <v/>
      </c>
      <c r="H155" s="0" t="str">
        <f aca="true">IF(D155="","",IF(AND(D155&gt;TODAY(),D155&lt;=TODAY()+7),D155+ROW()/100000,""))</f>
        <v/>
      </c>
      <c r="I155" s="0" t="str">
        <f aca="false">IF(D155="","",IF(D155=CALENDÁRIO!$L$4,ROW(),""))</f>
        <v/>
      </c>
      <c r="J155" s="0" t="str">
        <f aca="false">IF(D155="","",CHOOSE(WEEKDAY(D155),"Domingo","Segunda","Terça","Quarta","Quinta","Sexta","Sábado"))</f>
        <v/>
      </c>
    </row>
    <row r="156" customFormat="false" ht="15" hidden="false" customHeight="false" outlineLevel="0" collapsed="false">
      <c r="A156" s="0" t="str">
        <f aca="false">IF(ISNUMBER(FOLGAS!$C156),"Folga","")</f>
        <v/>
      </c>
      <c r="B156" s="0" t="str">
        <f aca="false">IF(ISNUMBER(FOLGAS!$C156),FOLGAS!$A156&amp;"","")</f>
        <v/>
      </c>
      <c r="C156" s="0" t="str">
        <f aca="false">IF(ISNUMBER(FOLGAS!$C156),FOLGAS!$B156&amp;"","")</f>
        <v/>
      </c>
      <c r="D156" s="78" t="str">
        <f aca="false">IF(ISNUMBER(FOLGAS!$C156),FOLGAS!$C156,"")</f>
        <v/>
      </c>
      <c r="E156" s="0" t="str">
        <f aca="false">IF(ISNUMBER(FOLGAS!$C156),FOLGAS!$D156&amp;"","")</f>
        <v/>
      </c>
      <c r="F156" s="0" t="str">
        <f aca="false">IF(ISNUMBER(FOLGAS!$C156),FOLGAS!$G156&amp;"","")</f>
        <v/>
      </c>
      <c r="G156" s="0" t="str">
        <f aca="true">IF(D156="","",IF(D156=TODAY(),D156+ROW()/100000,""))</f>
        <v/>
      </c>
      <c r="H156" s="0" t="str">
        <f aca="true">IF(D156="","",IF(AND(D156&gt;TODAY(),D156&lt;=TODAY()+7),D156+ROW()/100000,""))</f>
        <v/>
      </c>
      <c r="I156" s="0" t="str">
        <f aca="false">IF(D156="","",IF(D156=CALENDÁRIO!$L$4,ROW(),""))</f>
        <v/>
      </c>
      <c r="J156" s="0" t="str">
        <f aca="false">IF(D156="","",CHOOSE(WEEKDAY(D156),"Domingo","Segunda","Terça","Quarta","Quinta","Sexta","Sábado"))</f>
        <v/>
      </c>
    </row>
    <row r="157" customFormat="false" ht="15" hidden="false" customHeight="false" outlineLevel="0" collapsed="false">
      <c r="A157" s="0" t="str">
        <f aca="false">IF(ISNUMBER(FOLGAS!$C157),"Folga","")</f>
        <v/>
      </c>
      <c r="B157" s="0" t="str">
        <f aca="false">IF(ISNUMBER(FOLGAS!$C157),FOLGAS!$A157&amp;"","")</f>
        <v/>
      </c>
      <c r="C157" s="0" t="str">
        <f aca="false">IF(ISNUMBER(FOLGAS!$C157),FOLGAS!$B157&amp;"","")</f>
        <v/>
      </c>
      <c r="D157" s="78" t="str">
        <f aca="false">IF(ISNUMBER(FOLGAS!$C157),FOLGAS!$C157,"")</f>
        <v/>
      </c>
      <c r="E157" s="0" t="str">
        <f aca="false">IF(ISNUMBER(FOLGAS!$C157),FOLGAS!$D157&amp;"","")</f>
        <v/>
      </c>
      <c r="F157" s="0" t="str">
        <f aca="false">IF(ISNUMBER(FOLGAS!$C157),FOLGAS!$G157&amp;"","")</f>
        <v/>
      </c>
      <c r="G157" s="0" t="str">
        <f aca="true">IF(D157="","",IF(D157=TODAY(),D157+ROW()/100000,""))</f>
        <v/>
      </c>
      <c r="H157" s="0" t="str">
        <f aca="true">IF(D157="","",IF(AND(D157&gt;TODAY(),D157&lt;=TODAY()+7),D157+ROW()/100000,""))</f>
        <v/>
      </c>
      <c r="I157" s="0" t="str">
        <f aca="false">IF(D157="","",IF(D157=CALENDÁRIO!$L$4,ROW(),""))</f>
        <v/>
      </c>
      <c r="J157" s="0" t="str">
        <f aca="false">IF(D157="","",CHOOSE(WEEKDAY(D157),"Domingo","Segunda","Terça","Quarta","Quinta","Sexta","Sábado"))</f>
        <v/>
      </c>
    </row>
    <row r="158" customFormat="false" ht="15" hidden="false" customHeight="false" outlineLevel="0" collapsed="false">
      <c r="A158" s="0" t="str">
        <f aca="false">IF(ISNUMBER(FOLGAS!$C158),"Folga","")</f>
        <v/>
      </c>
      <c r="B158" s="0" t="str">
        <f aca="false">IF(ISNUMBER(FOLGAS!$C158),FOLGAS!$A158&amp;"","")</f>
        <v/>
      </c>
      <c r="C158" s="0" t="str">
        <f aca="false">IF(ISNUMBER(FOLGAS!$C158),FOLGAS!$B158&amp;"","")</f>
        <v/>
      </c>
      <c r="D158" s="78" t="str">
        <f aca="false">IF(ISNUMBER(FOLGAS!$C158),FOLGAS!$C158,"")</f>
        <v/>
      </c>
      <c r="E158" s="0" t="str">
        <f aca="false">IF(ISNUMBER(FOLGAS!$C158),FOLGAS!$D158&amp;"","")</f>
        <v/>
      </c>
      <c r="F158" s="0" t="str">
        <f aca="false">IF(ISNUMBER(FOLGAS!$C158),FOLGAS!$G158&amp;"","")</f>
        <v/>
      </c>
      <c r="G158" s="0" t="str">
        <f aca="true">IF(D158="","",IF(D158=TODAY(),D158+ROW()/100000,""))</f>
        <v/>
      </c>
      <c r="H158" s="0" t="str">
        <f aca="true">IF(D158="","",IF(AND(D158&gt;TODAY(),D158&lt;=TODAY()+7),D158+ROW()/100000,""))</f>
        <v/>
      </c>
      <c r="I158" s="0" t="str">
        <f aca="false">IF(D158="","",IF(D158=CALENDÁRIO!$L$4,ROW(),""))</f>
        <v/>
      </c>
      <c r="J158" s="0" t="str">
        <f aca="false">IF(D158="","",CHOOSE(WEEKDAY(D158),"Domingo","Segunda","Terça","Quarta","Quinta","Sexta","Sábado"))</f>
        <v/>
      </c>
    </row>
    <row r="159" customFormat="false" ht="15" hidden="false" customHeight="false" outlineLevel="0" collapsed="false">
      <c r="A159" s="0" t="str">
        <f aca="false">IF(ISNUMBER(FOLGAS!$C159),"Folga","")</f>
        <v/>
      </c>
      <c r="B159" s="0" t="str">
        <f aca="false">IF(ISNUMBER(FOLGAS!$C159),FOLGAS!$A159&amp;"","")</f>
        <v/>
      </c>
      <c r="C159" s="0" t="str">
        <f aca="false">IF(ISNUMBER(FOLGAS!$C159),FOLGAS!$B159&amp;"","")</f>
        <v/>
      </c>
      <c r="D159" s="78" t="str">
        <f aca="false">IF(ISNUMBER(FOLGAS!$C159),FOLGAS!$C159,"")</f>
        <v/>
      </c>
      <c r="E159" s="0" t="str">
        <f aca="false">IF(ISNUMBER(FOLGAS!$C159),FOLGAS!$D159&amp;"","")</f>
        <v/>
      </c>
      <c r="F159" s="0" t="str">
        <f aca="false">IF(ISNUMBER(FOLGAS!$C159),FOLGAS!$G159&amp;"","")</f>
        <v/>
      </c>
      <c r="G159" s="0" t="str">
        <f aca="true">IF(D159="","",IF(D159=TODAY(),D159+ROW()/100000,""))</f>
        <v/>
      </c>
      <c r="H159" s="0" t="str">
        <f aca="true">IF(D159="","",IF(AND(D159&gt;TODAY(),D159&lt;=TODAY()+7),D159+ROW()/100000,""))</f>
        <v/>
      </c>
      <c r="I159" s="0" t="str">
        <f aca="false">IF(D159="","",IF(D159=CALENDÁRIO!$L$4,ROW(),""))</f>
        <v/>
      </c>
      <c r="J159" s="0" t="str">
        <f aca="false">IF(D159="","",CHOOSE(WEEKDAY(D159),"Domingo","Segunda","Terça","Quarta","Quinta","Sexta","Sábado"))</f>
        <v/>
      </c>
    </row>
    <row r="160" customFormat="false" ht="15" hidden="false" customHeight="false" outlineLevel="0" collapsed="false">
      <c r="A160" s="0" t="str">
        <f aca="false">IF(ISNUMBER(FOLGAS!$C160),"Folga","")</f>
        <v/>
      </c>
      <c r="B160" s="0" t="str">
        <f aca="false">IF(ISNUMBER(FOLGAS!$C160),FOLGAS!$A160&amp;"","")</f>
        <v/>
      </c>
      <c r="C160" s="0" t="str">
        <f aca="false">IF(ISNUMBER(FOLGAS!$C160),FOLGAS!$B160&amp;"","")</f>
        <v/>
      </c>
      <c r="D160" s="78" t="str">
        <f aca="false">IF(ISNUMBER(FOLGAS!$C160),FOLGAS!$C160,"")</f>
        <v/>
      </c>
      <c r="E160" s="0" t="str">
        <f aca="false">IF(ISNUMBER(FOLGAS!$C160),FOLGAS!$D160&amp;"","")</f>
        <v/>
      </c>
      <c r="F160" s="0" t="str">
        <f aca="false">IF(ISNUMBER(FOLGAS!$C160),FOLGAS!$G160&amp;"","")</f>
        <v/>
      </c>
      <c r="G160" s="0" t="str">
        <f aca="true">IF(D160="","",IF(D160=TODAY(),D160+ROW()/100000,""))</f>
        <v/>
      </c>
      <c r="H160" s="0" t="str">
        <f aca="true">IF(D160="","",IF(AND(D160&gt;TODAY(),D160&lt;=TODAY()+7),D160+ROW()/100000,""))</f>
        <v/>
      </c>
      <c r="I160" s="0" t="str">
        <f aca="false">IF(D160="","",IF(D160=CALENDÁRIO!$L$4,ROW(),""))</f>
        <v/>
      </c>
      <c r="J160" s="0" t="str">
        <f aca="false">IF(D160="","",CHOOSE(WEEKDAY(D160),"Domingo","Segunda","Terça","Quarta","Quinta","Sexta","Sábado"))</f>
        <v/>
      </c>
    </row>
    <row r="161" customFormat="false" ht="15" hidden="false" customHeight="false" outlineLevel="0" collapsed="false">
      <c r="A161" s="0" t="str">
        <f aca="false">IF(ISNUMBER(FOLGAS!$C161),"Folga","")</f>
        <v/>
      </c>
      <c r="B161" s="0" t="str">
        <f aca="false">IF(ISNUMBER(FOLGAS!$C161),FOLGAS!$A161&amp;"","")</f>
        <v/>
      </c>
      <c r="C161" s="0" t="str">
        <f aca="false">IF(ISNUMBER(FOLGAS!$C161),FOLGAS!$B161&amp;"","")</f>
        <v/>
      </c>
      <c r="D161" s="78" t="str">
        <f aca="false">IF(ISNUMBER(FOLGAS!$C161),FOLGAS!$C161,"")</f>
        <v/>
      </c>
      <c r="E161" s="0" t="str">
        <f aca="false">IF(ISNUMBER(FOLGAS!$C161),FOLGAS!$D161&amp;"","")</f>
        <v/>
      </c>
      <c r="F161" s="0" t="str">
        <f aca="false">IF(ISNUMBER(FOLGAS!$C161),FOLGAS!$G161&amp;"","")</f>
        <v/>
      </c>
      <c r="G161" s="0" t="str">
        <f aca="true">IF(D161="","",IF(D161=TODAY(),D161+ROW()/100000,""))</f>
        <v/>
      </c>
      <c r="H161" s="0" t="str">
        <f aca="true">IF(D161="","",IF(AND(D161&gt;TODAY(),D161&lt;=TODAY()+7),D161+ROW()/100000,""))</f>
        <v/>
      </c>
      <c r="I161" s="0" t="str">
        <f aca="false">IF(D161="","",IF(D161=CALENDÁRIO!$L$4,ROW(),""))</f>
        <v/>
      </c>
      <c r="J161" s="0" t="str">
        <f aca="false">IF(D161="","",CHOOSE(WEEKDAY(D161),"Domingo","Segunda","Terça","Quarta","Quinta","Sexta","Sábado"))</f>
        <v/>
      </c>
    </row>
    <row r="162" customFormat="false" ht="15" hidden="false" customHeight="false" outlineLevel="0" collapsed="false">
      <c r="A162" s="0" t="str">
        <f aca="false">IF(ISNUMBER(FOLGAS!$C162),"Folga","")</f>
        <v/>
      </c>
      <c r="B162" s="0" t="str">
        <f aca="false">IF(ISNUMBER(FOLGAS!$C162),FOLGAS!$A162&amp;"","")</f>
        <v/>
      </c>
      <c r="C162" s="0" t="str">
        <f aca="false">IF(ISNUMBER(FOLGAS!$C162),FOLGAS!$B162&amp;"","")</f>
        <v/>
      </c>
      <c r="D162" s="78" t="str">
        <f aca="false">IF(ISNUMBER(FOLGAS!$C162),FOLGAS!$C162,"")</f>
        <v/>
      </c>
      <c r="E162" s="0" t="str">
        <f aca="false">IF(ISNUMBER(FOLGAS!$C162),FOLGAS!$D162&amp;"","")</f>
        <v/>
      </c>
      <c r="F162" s="0" t="str">
        <f aca="false">IF(ISNUMBER(FOLGAS!$C162),FOLGAS!$G162&amp;"","")</f>
        <v/>
      </c>
      <c r="G162" s="0" t="str">
        <f aca="true">IF(D162="","",IF(D162=TODAY(),D162+ROW()/100000,""))</f>
        <v/>
      </c>
      <c r="H162" s="0" t="str">
        <f aca="true">IF(D162="","",IF(AND(D162&gt;TODAY(),D162&lt;=TODAY()+7),D162+ROW()/100000,""))</f>
        <v/>
      </c>
      <c r="I162" s="0" t="str">
        <f aca="false">IF(D162="","",IF(D162=CALENDÁRIO!$L$4,ROW(),""))</f>
        <v/>
      </c>
      <c r="J162" s="0" t="str">
        <f aca="false">IF(D162="","",CHOOSE(WEEKDAY(D162),"Domingo","Segunda","Terça","Quarta","Quinta","Sexta","Sábado"))</f>
        <v/>
      </c>
    </row>
    <row r="163" customFormat="false" ht="15" hidden="false" customHeight="false" outlineLevel="0" collapsed="false">
      <c r="A163" s="0" t="str">
        <f aca="false">IF(ISNUMBER(FOLGAS!$C163),"Folga","")</f>
        <v/>
      </c>
      <c r="B163" s="0" t="str">
        <f aca="false">IF(ISNUMBER(FOLGAS!$C163),FOLGAS!$A163&amp;"","")</f>
        <v/>
      </c>
      <c r="C163" s="0" t="str">
        <f aca="false">IF(ISNUMBER(FOLGAS!$C163),FOLGAS!$B163&amp;"","")</f>
        <v/>
      </c>
      <c r="D163" s="78" t="str">
        <f aca="false">IF(ISNUMBER(FOLGAS!$C163),FOLGAS!$C163,"")</f>
        <v/>
      </c>
      <c r="E163" s="0" t="str">
        <f aca="false">IF(ISNUMBER(FOLGAS!$C163),FOLGAS!$D163&amp;"","")</f>
        <v/>
      </c>
      <c r="F163" s="0" t="str">
        <f aca="false">IF(ISNUMBER(FOLGAS!$C163),FOLGAS!$G163&amp;"","")</f>
        <v/>
      </c>
      <c r="G163" s="0" t="str">
        <f aca="true">IF(D163="","",IF(D163=TODAY(),D163+ROW()/100000,""))</f>
        <v/>
      </c>
      <c r="H163" s="0" t="str">
        <f aca="true">IF(D163="","",IF(AND(D163&gt;TODAY(),D163&lt;=TODAY()+7),D163+ROW()/100000,""))</f>
        <v/>
      </c>
      <c r="I163" s="0" t="str">
        <f aca="false">IF(D163="","",IF(D163=CALENDÁRIO!$L$4,ROW(),""))</f>
        <v/>
      </c>
      <c r="J163" s="0" t="str">
        <f aca="false">IF(D163="","",CHOOSE(WEEKDAY(D163),"Domingo","Segunda","Terça","Quarta","Quinta","Sexta","Sábado"))</f>
        <v/>
      </c>
    </row>
    <row r="164" customFormat="false" ht="15" hidden="false" customHeight="false" outlineLevel="0" collapsed="false">
      <c r="A164" s="0" t="str">
        <f aca="false">IF(ISNUMBER(FOLGAS!$C164),"Folga","")</f>
        <v/>
      </c>
      <c r="B164" s="0" t="str">
        <f aca="false">IF(ISNUMBER(FOLGAS!$C164),FOLGAS!$A164&amp;"","")</f>
        <v/>
      </c>
      <c r="C164" s="0" t="str">
        <f aca="false">IF(ISNUMBER(FOLGAS!$C164),FOLGAS!$B164&amp;"","")</f>
        <v/>
      </c>
      <c r="D164" s="78" t="str">
        <f aca="false">IF(ISNUMBER(FOLGAS!$C164),FOLGAS!$C164,"")</f>
        <v/>
      </c>
      <c r="E164" s="0" t="str">
        <f aca="false">IF(ISNUMBER(FOLGAS!$C164),FOLGAS!$D164&amp;"","")</f>
        <v/>
      </c>
      <c r="F164" s="0" t="str">
        <f aca="false">IF(ISNUMBER(FOLGAS!$C164),FOLGAS!$G164&amp;"","")</f>
        <v/>
      </c>
      <c r="G164" s="0" t="str">
        <f aca="true">IF(D164="","",IF(D164=TODAY(),D164+ROW()/100000,""))</f>
        <v/>
      </c>
      <c r="H164" s="0" t="str">
        <f aca="true">IF(D164="","",IF(AND(D164&gt;TODAY(),D164&lt;=TODAY()+7),D164+ROW()/100000,""))</f>
        <v/>
      </c>
      <c r="I164" s="0" t="str">
        <f aca="false">IF(D164="","",IF(D164=CALENDÁRIO!$L$4,ROW(),""))</f>
        <v/>
      </c>
      <c r="J164" s="0" t="str">
        <f aca="false">IF(D164="","",CHOOSE(WEEKDAY(D164),"Domingo","Segunda","Terça","Quarta","Quinta","Sexta","Sábado"))</f>
        <v/>
      </c>
    </row>
    <row r="165" customFormat="false" ht="15" hidden="false" customHeight="false" outlineLevel="0" collapsed="false">
      <c r="A165" s="0" t="str">
        <f aca="false">IF(ISNUMBER(FOLGAS!$C165),"Folga","")</f>
        <v/>
      </c>
      <c r="B165" s="0" t="str">
        <f aca="false">IF(ISNUMBER(FOLGAS!$C165),FOLGAS!$A165&amp;"","")</f>
        <v/>
      </c>
      <c r="C165" s="0" t="str">
        <f aca="false">IF(ISNUMBER(FOLGAS!$C165),FOLGAS!$B165&amp;"","")</f>
        <v/>
      </c>
      <c r="D165" s="78" t="str">
        <f aca="false">IF(ISNUMBER(FOLGAS!$C165),FOLGAS!$C165,"")</f>
        <v/>
      </c>
      <c r="E165" s="0" t="str">
        <f aca="false">IF(ISNUMBER(FOLGAS!$C165),FOLGAS!$D165&amp;"","")</f>
        <v/>
      </c>
      <c r="F165" s="0" t="str">
        <f aca="false">IF(ISNUMBER(FOLGAS!$C165),FOLGAS!$G165&amp;"","")</f>
        <v/>
      </c>
      <c r="G165" s="0" t="str">
        <f aca="true">IF(D165="","",IF(D165=TODAY(),D165+ROW()/100000,""))</f>
        <v/>
      </c>
      <c r="H165" s="0" t="str">
        <f aca="true">IF(D165="","",IF(AND(D165&gt;TODAY(),D165&lt;=TODAY()+7),D165+ROW()/100000,""))</f>
        <v/>
      </c>
      <c r="I165" s="0" t="str">
        <f aca="false">IF(D165="","",IF(D165=CALENDÁRIO!$L$4,ROW(),""))</f>
        <v/>
      </c>
      <c r="J165" s="0" t="str">
        <f aca="false">IF(D165="","",CHOOSE(WEEKDAY(D165),"Domingo","Segunda","Terça","Quarta","Quinta","Sexta","Sábado"))</f>
        <v/>
      </c>
    </row>
    <row r="166" customFormat="false" ht="15" hidden="false" customHeight="false" outlineLevel="0" collapsed="false">
      <c r="A166" s="0" t="str">
        <f aca="false">IF(ISNUMBER(FOLGAS!$C166),"Folga","")</f>
        <v/>
      </c>
      <c r="B166" s="0" t="str">
        <f aca="false">IF(ISNUMBER(FOLGAS!$C166),FOLGAS!$A166&amp;"","")</f>
        <v/>
      </c>
      <c r="C166" s="0" t="str">
        <f aca="false">IF(ISNUMBER(FOLGAS!$C166),FOLGAS!$B166&amp;"","")</f>
        <v/>
      </c>
      <c r="D166" s="78" t="str">
        <f aca="false">IF(ISNUMBER(FOLGAS!$C166),FOLGAS!$C166,"")</f>
        <v/>
      </c>
      <c r="E166" s="0" t="str">
        <f aca="false">IF(ISNUMBER(FOLGAS!$C166),FOLGAS!$D166&amp;"","")</f>
        <v/>
      </c>
      <c r="F166" s="0" t="str">
        <f aca="false">IF(ISNUMBER(FOLGAS!$C166),FOLGAS!$G166&amp;"","")</f>
        <v/>
      </c>
      <c r="G166" s="0" t="str">
        <f aca="true">IF(D166="","",IF(D166=TODAY(),D166+ROW()/100000,""))</f>
        <v/>
      </c>
      <c r="H166" s="0" t="str">
        <f aca="true">IF(D166="","",IF(AND(D166&gt;TODAY(),D166&lt;=TODAY()+7),D166+ROW()/100000,""))</f>
        <v/>
      </c>
      <c r="I166" s="0" t="str">
        <f aca="false">IF(D166="","",IF(D166=CALENDÁRIO!$L$4,ROW(),""))</f>
        <v/>
      </c>
      <c r="J166" s="0" t="str">
        <f aca="false">IF(D166="","",CHOOSE(WEEKDAY(D166),"Domingo","Segunda","Terça","Quarta","Quinta","Sexta","Sábado"))</f>
        <v/>
      </c>
    </row>
    <row r="167" customFormat="false" ht="15" hidden="false" customHeight="false" outlineLevel="0" collapsed="false">
      <c r="A167" s="0" t="str">
        <f aca="false">IF(ISNUMBER(FOLGAS!$C167),"Folga","")</f>
        <v/>
      </c>
      <c r="B167" s="0" t="str">
        <f aca="false">IF(ISNUMBER(FOLGAS!$C167),FOLGAS!$A167&amp;"","")</f>
        <v/>
      </c>
      <c r="C167" s="0" t="str">
        <f aca="false">IF(ISNUMBER(FOLGAS!$C167),FOLGAS!$B167&amp;"","")</f>
        <v/>
      </c>
      <c r="D167" s="78" t="str">
        <f aca="false">IF(ISNUMBER(FOLGAS!$C167),FOLGAS!$C167,"")</f>
        <v/>
      </c>
      <c r="E167" s="0" t="str">
        <f aca="false">IF(ISNUMBER(FOLGAS!$C167),FOLGAS!$D167&amp;"","")</f>
        <v/>
      </c>
      <c r="F167" s="0" t="str">
        <f aca="false">IF(ISNUMBER(FOLGAS!$C167),FOLGAS!$G167&amp;"","")</f>
        <v/>
      </c>
      <c r="G167" s="0" t="str">
        <f aca="true">IF(D167="","",IF(D167=TODAY(),D167+ROW()/100000,""))</f>
        <v/>
      </c>
      <c r="H167" s="0" t="str">
        <f aca="true">IF(D167="","",IF(AND(D167&gt;TODAY(),D167&lt;=TODAY()+7),D167+ROW()/100000,""))</f>
        <v/>
      </c>
      <c r="I167" s="0" t="str">
        <f aca="false">IF(D167="","",IF(D167=CALENDÁRIO!$L$4,ROW(),""))</f>
        <v/>
      </c>
      <c r="J167" s="0" t="str">
        <f aca="false">IF(D167="","",CHOOSE(WEEKDAY(D167),"Domingo","Segunda","Terça","Quarta","Quinta","Sexta","Sábado"))</f>
        <v/>
      </c>
    </row>
    <row r="168" customFormat="false" ht="15" hidden="false" customHeight="false" outlineLevel="0" collapsed="false">
      <c r="A168" s="0" t="str">
        <f aca="false">IF(ISNUMBER(FOLGAS!$C168),"Folga","")</f>
        <v/>
      </c>
      <c r="B168" s="0" t="str">
        <f aca="false">IF(ISNUMBER(FOLGAS!$C168),FOLGAS!$A168&amp;"","")</f>
        <v/>
      </c>
      <c r="C168" s="0" t="str">
        <f aca="false">IF(ISNUMBER(FOLGAS!$C168),FOLGAS!$B168&amp;"","")</f>
        <v/>
      </c>
      <c r="D168" s="78" t="str">
        <f aca="false">IF(ISNUMBER(FOLGAS!$C168),FOLGAS!$C168,"")</f>
        <v/>
      </c>
      <c r="E168" s="0" t="str">
        <f aca="false">IF(ISNUMBER(FOLGAS!$C168),FOLGAS!$D168&amp;"","")</f>
        <v/>
      </c>
      <c r="F168" s="0" t="str">
        <f aca="false">IF(ISNUMBER(FOLGAS!$C168),FOLGAS!$G168&amp;"","")</f>
        <v/>
      </c>
      <c r="G168" s="0" t="str">
        <f aca="true">IF(D168="","",IF(D168=TODAY(),D168+ROW()/100000,""))</f>
        <v/>
      </c>
      <c r="H168" s="0" t="str">
        <f aca="true">IF(D168="","",IF(AND(D168&gt;TODAY(),D168&lt;=TODAY()+7),D168+ROW()/100000,""))</f>
        <v/>
      </c>
      <c r="I168" s="0" t="str">
        <f aca="false">IF(D168="","",IF(D168=CALENDÁRIO!$L$4,ROW(),""))</f>
        <v/>
      </c>
      <c r="J168" s="0" t="str">
        <f aca="false">IF(D168="","",CHOOSE(WEEKDAY(D168),"Domingo","Segunda","Terça","Quarta","Quinta","Sexta","Sábado"))</f>
        <v/>
      </c>
    </row>
    <row r="169" customFormat="false" ht="15" hidden="false" customHeight="false" outlineLevel="0" collapsed="false">
      <c r="A169" s="0" t="str">
        <f aca="false">IF(ISNUMBER(FOLGAS!$C169),"Folga","")</f>
        <v/>
      </c>
      <c r="B169" s="0" t="str">
        <f aca="false">IF(ISNUMBER(FOLGAS!$C169),FOLGAS!$A169&amp;"","")</f>
        <v/>
      </c>
      <c r="C169" s="0" t="str">
        <f aca="false">IF(ISNUMBER(FOLGAS!$C169),FOLGAS!$B169&amp;"","")</f>
        <v/>
      </c>
      <c r="D169" s="78" t="str">
        <f aca="false">IF(ISNUMBER(FOLGAS!$C169),FOLGAS!$C169,"")</f>
        <v/>
      </c>
      <c r="E169" s="0" t="str">
        <f aca="false">IF(ISNUMBER(FOLGAS!$C169),FOLGAS!$D169&amp;"","")</f>
        <v/>
      </c>
      <c r="F169" s="0" t="str">
        <f aca="false">IF(ISNUMBER(FOLGAS!$C169),FOLGAS!$G169&amp;"","")</f>
        <v/>
      </c>
      <c r="G169" s="0" t="str">
        <f aca="true">IF(D169="","",IF(D169=TODAY(),D169+ROW()/100000,""))</f>
        <v/>
      </c>
      <c r="H169" s="0" t="str">
        <f aca="true">IF(D169="","",IF(AND(D169&gt;TODAY(),D169&lt;=TODAY()+7),D169+ROW()/100000,""))</f>
        <v/>
      </c>
      <c r="I169" s="0" t="str">
        <f aca="false">IF(D169="","",IF(D169=CALENDÁRIO!$L$4,ROW(),""))</f>
        <v/>
      </c>
      <c r="J169" s="0" t="str">
        <f aca="false">IF(D169="","",CHOOSE(WEEKDAY(D169),"Domingo","Segunda","Terça","Quarta","Quinta","Sexta","Sábado"))</f>
        <v/>
      </c>
    </row>
    <row r="170" customFormat="false" ht="15" hidden="false" customHeight="false" outlineLevel="0" collapsed="false">
      <c r="A170" s="0" t="str">
        <f aca="false">IF(ISNUMBER(FOLGAS!$C170),"Folga","")</f>
        <v/>
      </c>
      <c r="B170" s="0" t="str">
        <f aca="false">IF(ISNUMBER(FOLGAS!$C170),FOLGAS!$A170&amp;"","")</f>
        <v/>
      </c>
      <c r="C170" s="0" t="str">
        <f aca="false">IF(ISNUMBER(FOLGAS!$C170),FOLGAS!$B170&amp;"","")</f>
        <v/>
      </c>
      <c r="D170" s="78" t="str">
        <f aca="false">IF(ISNUMBER(FOLGAS!$C170),FOLGAS!$C170,"")</f>
        <v/>
      </c>
      <c r="E170" s="0" t="str">
        <f aca="false">IF(ISNUMBER(FOLGAS!$C170),FOLGAS!$D170&amp;"","")</f>
        <v/>
      </c>
      <c r="F170" s="0" t="str">
        <f aca="false">IF(ISNUMBER(FOLGAS!$C170),FOLGAS!$G170&amp;"","")</f>
        <v/>
      </c>
      <c r="G170" s="0" t="str">
        <f aca="true">IF(D170="","",IF(D170=TODAY(),D170+ROW()/100000,""))</f>
        <v/>
      </c>
      <c r="H170" s="0" t="str">
        <f aca="true">IF(D170="","",IF(AND(D170&gt;TODAY(),D170&lt;=TODAY()+7),D170+ROW()/100000,""))</f>
        <v/>
      </c>
      <c r="I170" s="0" t="str">
        <f aca="false">IF(D170="","",IF(D170=CALENDÁRIO!$L$4,ROW(),""))</f>
        <v/>
      </c>
      <c r="J170" s="0" t="str">
        <f aca="false">IF(D170="","",CHOOSE(WEEKDAY(D170),"Domingo","Segunda","Terça","Quarta","Quinta","Sexta","Sábado"))</f>
        <v/>
      </c>
    </row>
    <row r="171" customFormat="false" ht="15" hidden="false" customHeight="false" outlineLevel="0" collapsed="false">
      <c r="A171" s="0" t="str">
        <f aca="false">IF(ISNUMBER(FOLGAS!$C171),"Folga","")</f>
        <v/>
      </c>
      <c r="B171" s="0" t="str">
        <f aca="false">IF(ISNUMBER(FOLGAS!$C171),FOLGAS!$A171&amp;"","")</f>
        <v/>
      </c>
      <c r="C171" s="0" t="str">
        <f aca="false">IF(ISNUMBER(FOLGAS!$C171),FOLGAS!$B171&amp;"","")</f>
        <v/>
      </c>
      <c r="D171" s="78" t="str">
        <f aca="false">IF(ISNUMBER(FOLGAS!$C171),FOLGAS!$C171,"")</f>
        <v/>
      </c>
      <c r="E171" s="0" t="str">
        <f aca="false">IF(ISNUMBER(FOLGAS!$C171),FOLGAS!$D171&amp;"","")</f>
        <v/>
      </c>
      <c r="F171" s="0" t="str">
        <f aca="false">IF(ISNUMBER(FOLGAS!$C171),FOLGAS!$G171&amp;"","")</f>
        <v/>
      </c>
      <c r="G171" s="0" t="str">
        <f aca="true">IF(D171="","",IF(D171=TODAY(),D171+ROW()/100000,""))</f>
        <v/>
      </c>
      <c r="H171" s="0" t="str">
        <f aca="true">IF(D171="","",IF(AND(D171&gt;TODAY(),D171&lt;=TODAY()+7),D171+ROW()/100000,""))</f>
        <v/>
      </c>
      <c r="I171" s="0" t="str">
        <f aca="false">IF(D171="","",IF(D171=CALENDÁRIO!$L$4,ROW(),""))</f>
        <v/>
      </c>
      <c r="J171" s="0" t="str">
        <f aca="false">IF(D171="","",CHOOSE(WEEKDAY(D171),"Domingo","Segunda","Terça","Quarta","Quinta","Sexta","Sábado"))</f>
        <v/>
      </c>
    </row>
    <row r="172" customFormat="false" ht="15" hidden="false" customHeight="false" outlineLevel="0" collapsed="false">
      <c r="A172" s="0" t="str">
        <f aca="false">IF(ISNUMBER(FOLGAS!$C172),"Folga","")</f>
        <v/>
      </c>
      <c r="B172" s="0" t="str">
        <f aca="false">IF(ISNUMBER(FOLGAS!$C172),FOLGAS!$A172&amp;"","")</f>
        <v/>
      </c>
      <c r="C172" s="0" t="str">
        <f aca="false">IF(ISNUMBER(FOLGAS!$C172),FOLGAS!$B172&amp;"","")</f>
        <v/>
      </c>
      <c r="D172" s="78" t="str">
        <f aca="false">IF(ISNUMBER(FOLGAS!$C172),FOLGAS!$C172,"")</f>
        <v/>
      </c>
      <c r="E172" s="0" t="str">
        <f aca="false">IF(ISNUMBER(FOLGAS!$C172),FOLGAS!$D172&amp;"","")</f>
        <v/>
      </c>
      <c r="F172" s="0" t="str">
        <f aca="false">IF(ISNUMBER(FOLGAS!$C172),FOLGAS!$G172&amp;"","")</f>
        <v/>
      </c>
      <c r="G172" s="0" t="str">
        <f aca="true">IF(D172="","",IF(D172=TODAY(),D172+ROW()/100000,""))</f>
        <v/>
      </c>
      <c r="H172" s="0" t="str">
        <f aca="true">IF(D172="","",IF(AND(D172&gt;TODAY(),D172&lt;=TODAY()+7),D172+ROW()/100000,""))</f>
        <v/>
      </c>
      <c r="I172" s="0" t="str">
        <f aca="false">IF(D172="","",IF(D172=CALENDÁRIO!$L$4,ROW(),""))</f>
        <v/>
      </c>
      <c r="J172" s="0" t="str">
        <f aca="false">IF(D172="","",CHOOSE(WEEKDAY(D172),"Domingo","Segunda","Terça","Quarta","Quinta","Sexta","Sábado"))</f>
        <v/>
      </c>
    </row>
    <row r="173" customFormat="false" ht="15" hidden="false" customHeight="false" outlineLevel="0" collapsed="false">
      <c r="A173" s="0" t="str">
        <f aca="false">IF(ISNUMBER(FOLGAS!$C173),"Folga","")</f>
        <v/>
      </c>
      <c r="B173" s="0" t="str">
        <f aca="false">IF(ISNUMBER(FOLGAS!$C173),FOLGAS!$A173&amp;"","")</f>
        <v/>
      </c>
      <c r="C173" s="0" t="str">
        <f aca="false">IF(ISNUMBER(FOLGAS!$C173),FOLGAS!$B173&amp;"","")</f>
        <v/>
      </c>
      <c r="D173" s="78" t="str">
        <f aca="false">IF(ISNUMBER(FOLGAS!$C173),FOLGAS!$C173,"")</f>
        <v/>
      </c>
      <c r="E173" s="0" t="str">
        <f aca="false">IF(ISNUMBER(FOLGAS!$C173),FOLGAS!$D173&amp;"","")</f>
        <v/>
      </c>
      <c r="F173" s="0" t="str">
        <f aca="false">IF(ISNUMBER(FOLGAS!$C173),FOLGAS!$G173&amp;"","")</f>
        <v/>
      </c>
      <c r="G173" s="0" t="str">
        <f aca="true">IF(D173="","",IF(D173=TODAY(),D173+ROW()/100000,""))</f>
        <v/>
      </c>
      <c r="H173" s="0" t="str">
        <f aca="true">IF(D173="","",IF(AND(D173&gt;TODAY(),D173&lt;=TODAY()+7),D173+ROW()/100000,""))</f>
        <v/>
      </c>
      <c r="I173" s="0" t="str">
        <f aca="false">IF(D173="","",IF(D173=CALENDÁRIO!$L$4,ROW(),""))</f>
        <v/>
      </c>
      <c r="J173" s="0" t="str">
        <f aca="false">IF(D173="","",CHOOSE(WEEKDAY(D173),"Domingo","Segunda","Terça","Quarta","Quinta","Sexta","Sábado"))</f>
        <v/>
      </c>
    </row>
    <row r="174" customFormat="false" ht="15" hidden="false" customHeight="false" outlineLevel="0" collapsed="false">
      <c r="A174" s="0" t="str">
        <f aca="false">IF(ISNUMBER(FOLGAS!$C174),"Folga","")</f>
        <v/>
      </c>
      <c r="B174" s="0" t="str">
        <f aca="false">IF(ISNUMBER(FOLGAS!$C174),FOLGAS!$A174&amp;"","")</f>
        <v/>
      </c>
      <c r="C174" s="0" t="str">
        <f aca="false">IF(ISNUMBER(FOLGAS!$C174),FOLGAS!$B174&amp;"","")</f>
        <v/>
      </c>
      <c r="D174" s="78" t="str">
        <f aca="false">IF(ISNUMBER(FOLGAS!$C174),FOLGAS!$C174,"")</f>
        <v/>
      </c>
      <c r="E174" s="0" t="str">
        <f aca="false">IF(ISNUMBER(FOLGAS!$C174),FOLGAS!$D174&amp;"","")</f>
        <v/>
      </c>
      <c r="F174" s="0" t="str">
        <f aca="false">IF(ISNUMBER(FOLGAS!$C174),FOLGAS!$G174&amp;"","")</f>
        <v/>
      </c>
      <c r="G174" s="0" t="str">
        <f aca="true">IF(D174="","",IF(D174=TODAY(),D174+ROW()/100000,""))</f>
        <v/>
      </c>
      <c r="H174" s="0" t="str">
        <f aca="true">IF(D174="","",IF(AND(D174&gt;TODAY(),D174&lt;=TODAY()+7),D174+ROW()/100000,""))</f>
        <v/>
      </c>
      <c r="I174" s="0" t="str">
        <f aca="false">IF(D174="","",IF(D174=CALENDÁRIO!$L$4,ROW(),""))</f>
        <v/>
      </c>
      <c r="J174" s="0" t="str">
        <f aca="false">IF(D174="","",CHOOSE(WEEKDAY(D174),"Domingo","Segunda","Terça","Quarta","Quinta","Sexta","Sábado"))</f>
        <v/>
      </c>
    </row>
    <row r="175" customFormat="false" ht="15" hidden="false" customHeight="false" outlineLevel="0" collapsed="false">
      <c r="A175" s="0" t="str">
        <f aca="false">IF(ISNUMBER(FOLGAS!$C175),"Folga","")</f>
        <v/>
      </c>
      <c r="B175" s="0" t="str">
        <f aca="false">IF(ISNUMBER(FOLGAS!$C175),FOLGAS!$A175&amp;"","")</f>
        <v/>
      </c>
      <c r="C175" s="0" t="str">
        <f aca="false">IF(ISNUMBER(FOLGAS!$C175),FOLGAS!$B175&amp;"","")</f>
        <v/>
      </c>
      <c r="D175" s="78" t="str">
        <f aca="false">IF(ISNUMBER(FOLGAS!$C175),FOLGAS!$C175,"")</f>
        <v/>
      </c>
      <c r="E175" s="0" t="str">
        <f aca="false">IF(ISNUMBER(FOLGAS!$C175),FOLGAS!$D175&amp;"","")</f>
        <v/>
      </c>
      <c r="F175" s="0" t="str">
        <f aca="false">IF(ISNUMBER(FOLGAS!$C175),FOLGAS!$G175&amp;"","")</f>
        <v/>
      </c>
      <c r="G175" s="0" t="str">
        <f aca="true">IF(D175="","",IF(D175=TODAY(),D175+ROW()/100000,""))</f>
        <v/>
      </c>
      <c r="H175" s="0" t="str">
        <f aca="true">IF(D175="","",IF(AND(D175&gt;TODAY(),D175&lt;=TODAY()+7),D175+ROW()/100000,""))</f>
        <v/>
      </c>
      <c r="I175" s="0" t="str">
        <f aca="false">IF(D175="","",IF(D175=CALENDÁRIO!$L$4,ROW(),""))</f>
        <v/>
      </c>
      <c r="J175" s="0" t="str">
        <f aca="false">IF(D175="","",CHOOSE(WEEKDAY(D175),"Domingo","Segunda","Terça","Quarta","Quinta","Sexta","Sábado"))</f>
        <v/>
      </c>
    </row>
    <row r="176" customFormat="false" ht="15" hidden="false" customHeight="false" outlineLevel="0" collapsed="false">
      <c r="A176" s="0" t="str">
        <f aca="false">IF(ISNUMBER(FOLGAS!$C176),"Folga","")</f>
        <v/>
      </c>
      <c r="B176" s="0" t="str">
        <f aca="false">IF(ISNUMBER(FOLGAS!$C176),FOLGAS!$A176&amp;"","")</f>
        <v/>
      </c>
      <c r="C176" s="0" t="str">
        <f aca="false">IF(ISNUMBER(FOLGAS!$C176),FOLGAS!$B176&amp;"","")</f>
        <v/>
      </c>
      <c r="D176" s="78" t="str">
        <f aca="false">IF(ISNUMBER(FOLGAS!$C176),FOLGAS!$C176,"")</f>
        <v/>
      </c>
      <c r="E176" s="0" t="str">
        <f aca="false">IF(ISNUMBER(FOLGAS!$C176),FOLGAS!$D176&amp;"","")</f>
        <v/>
      </c>
      <c r="F176" s="0" t="str">
        <f aca="false">IF(ISNUMBER(FOLGAS!$C176),FOLGAS!$G176&amp;"","")</f>
        <v/>
      </c>
      <c r="G176" s="0" t="str">
        <f aca="true">IF(D176="","",IF(D176=TODAY(),D176+ROW()/100000,""))</f>
        <v/>
      </c>
      <c r="H176" s="0" t="str">
        <f aca="true">IF(D176="","",IF(AND(D176&gt;TODAY(),D176&lt;=TODAY()+7),D176+ROW()/100000,""))</f>
        <v/>
      </c>
      <c r="I176" s="0" t="str">
        <f aca="false">IF(D176="","",IF(D176=CALENDÁRIO!$L$4,ROW(),""))</f>
        <v/>
      </c>
      <c r="J176" s="0" t="str">
        <f aca="false">IF(D176="","",CHOOSE(WEEKDAY(D176),"Domingo","Segunda","Terça","Quarta","Quinta","Sexta","Sábado"))</f>
        <v/>
      </c>
    </row>
    <row r="177" customFormat="false" ht="15" hidden="false" customHeight="false" outlineLevel="0" collapsed="false">
      <c r="A177" s="0" t="str">
        <f aca="false">IF(ISNUMBER(FOLGAS!$C177),"Folga","")</f>
        <v/>
      </c>
      <c r="B177" s="0" t="str">
        <f aca="false">IF(ISNUMBER(FOLGAS!$C177),FOLGAS!$A177&amp;"","")</f>
        <v/>
      </c>
      <c r="C177" s="0" t="str">
        <f aca="false">IF(ISNUMBER(FOLGAS!$C177),FOLGAS!$B177&amp;"","")</f>
        <v/>
      </c>
      <c r="D177" s="78" t="str">
        <f aca="false">IF(ISNUMBER(FOLGAS!$C177),FOLGAS!$C177,"")</f>
        <v/>
      </c>
      <c r="E177" s="0" t="str">
        <f aca="false">IF(ISNUMBER(FOLGAS!$C177),FOLGAS!$D177&amp;"","")</f>
        <v/>
      </c>
      <c r="F177" s="0" t="str">
        <f aca="false">IF(ISNUMBER(FOLGAS!$C177),FOLGAS!$G177&amp;"","")</f>
        <v/>
      </c>
      <c r="G177" s="0" t="str">
        <f aca="true">IF(D177="","",IF(D177=TODAY(),D177+ROW()/100000,""))</f>
        <v/>
      </c>
      <c r="H177" s="0" t="str">
        <f aca="true">IF(D177="","",IF(AND(D177&gt;TODAY(),D177&lt;=TODAY()+7),D177+ROW()/100000,""))</f>
        <v/>
      </c>
      <c r="I177" s="0" t="str">
        <f aca="false">IF(D177="","",IF(D177=CALENDÁRIO!$L$4,ROW(),""))</f>
        <v/>
      </c>
      <c r="J177" s="0" t="str">
        <f aca="false">IF(D177="","",CHOOSE(WEEKDAY(D177),"Domingo","Segunda","Terça","Quarta","Quinta","Sexta","Sábado"))</f>
        <v/>
      </c>
    </row>
    <row r="178" customFormat="false" ht="15" hidden="false" customHeight="false" outlineLevel="0" collapsed="false">
      <c r="A178" s="0" t="str">
        <f aca="false">IF(ISNUMBER(FOLGAS!$C178),"Folga","")</f>
        <v/>
      </c>
      <c r="B178" s="0" t="str">
        <f aca="false">IF(ISNUMBER(FOLGAS!$C178),FOLGAS!$A178&amp;"","")</f>
        <v/>
      </c>
      <c r="C178" s="0" t="str">
        <f aca="false">IF(ISNUMBER(FOLGAS!$C178),FOLGAS!$B178&amp;"","")</f>
        <v/>
      </c>
      <c r="D178" s="78" t="str">
        <f aca="false">IF(ISNUMBER(FOLGAS!$C178),FOLGAS!$C178,"")</f>
        <v/>
      </c>
      <c r="E178" s="0" t="str">
        <f aca="false">IF(ISNUMBER(FOLGAS!$C178),FOLGAS!$D178&amp;"","")</f>
        <v/>
      </c>
      <c r="F178" s="0" t="str">
        <f aca="false">IF(ISNUMBER(FOLGAS!$C178),FOLGAS!$G178&amp;"","")</f>
        <v/>
      </c>
      <c r="G178" s="0" t="str">
        <f aca="true">IF(D178="","",IF(D178=TODAY(),D178+ROW()/100000,""))</f>
        <v/>
      </c>
      <c r="H178" s="0" t="str">
        <f aca="true">IF(D178="","",IF(AND(D178&gt;TODAY(),D178&lt;=TODAY()+7),D178+ROW()/100000,""))</f>
        <v/>
      </c>
      <c r="I178" s="0" t="str">
        <f aca="false">IF(D178="","",IF(D178=CALENDÁRIO!$L$4,ROW(),""))</f>
        <v/>
      </c>
      <c r="J178" s="0" t="str">
        <f aca="false">IF(D178="","",CHOOSE(WEEKDAY(D178),"Domingo","Segunda","Terça","Quarta","Quinta","Sexta","Sábado"))</f>
        <v/>
      </c>
    </row>
    <row r="179" customFormat="false" ht="15" hidden="false" customHeight="false" outlineLevel="0" collapsed="false">
      <c r="A179" s="0" t="str">
        <f aca="false">IF(ISNUMBER(FOLGAS!$C179),"Folga","")</f>
        <v/>
      </c>
      <c r="B179" s="0" t="str">
        <f aca="false">IF(ISNUMBER(FOLGAS!$C179),FOLGAS!$A179&amp;"","")</f>
        <v/>
      </c>
      <c r="C179" s="0" t="str">
        <f aca="false">IF(ISNUMBER(FOLGAS!$C179),FOLGAS!$B179&amp;"","")</f>
        <v/>
      </c>
      <c r="D179" s="78" t="str">
        <f aca="false">IF(ISNUMBER(FOLGAS!$C179),FOLGAS!$C179,"")</f>
        <v/>
      </c>
      <c r="E179" s="0" t="str">
        <f aca="false">IF(ISNUMBER(FOLGAS!$C179),FOLGAS!$D179&amp;"","")</f>
        <v/>
      </c>
      <c r="F179" s="0" t="str">
        <f aca="false">IF(ISNUMBER(FOLGAS!$C179),FOLGAS!$G179&amp;"","")</f>
        <v/>
      </c>
      <c r="G179" s="0" t="str">
        <f aca="true">IF(D179="","",IF(D179=TODAY(),D179+ROW()/100000,""))</f>
        <v/>
      </c>
      <c r="H179" s="0" t="str">
        <f aca="true">IF(D179="","",IF(AND(D179&gt;TODAY(),D179&lt;=TODAY()+7),D179+ROW()/100000,""))</f>
        <v/>
      </c>
      <c r="I179" s="0" t="str">
        <f aca="false">IF(D179="","",IF(D179=CALENDÁRIO!$L$4,ROW(),""))</f>
        <v/>
      </c>
      <c r="J179" s="0" t="str">
        <f aca="false">IF(D179="","",CHOOSE(WEEKDAY(D179),"Domingo","Segunda","Terça","Quarta","Quinta","Sexta","Sábado"))</f>
        <v/>
      </c>
    </row>
    <row r="180" customFormat="false" ht="15" hidden="false" customHeight="false" outlineLevel="0" collapsed="false">
      <c r="A180" s="0" t="str">
        <f aca="false">IF(ISNUMBER(FOLGAS!$C180),"Folga","")</f>
        <v/>
      </c>
      <c r="B180" s="0" t="str">
        <f aca="false">IF(ISNUMBER(FOLGAS!$C180),FOLGAS!$A180&amp;"","")</f>
        <v/>
      </c>
      <c r="C180" s="0" t="str">
        <f aca="false">IF(ISNUMBER(FOLGAS!$C180),FOLGAS!$B180&amp;"","")</f>
        <v/>
      </c>
      <c r="D180" s="78" t="str">
        <f aca="false">IF(ISNUMBER(FOLGAS!$C180),FOLGAS!$C180,"")</f>
        <v/>
      </c>
      <c r="E180" s="0" t="str">
        <f aca="false">IF(ISNUMBER(FOLGAS!$C180),FOLGAS!$D180&amp;"","")</f>
        <v/>
      </c>
      <c r="F180" s="0" t="str">
        <f aca="false">IF(ISNUMBER(FOLGAS!$C180),FOLGAS!$G180&amp;"","")</f>
        <v/>
      </c>
      <c r="G180" s="0" t="str">
        <f aca="true">IF(D180="","",IF(D180=TODAY(),D180+ROW()/100000,""))</f>
        <v/>
      </c>
      <c r="H180" s="0" t="str">
        <f aca="true">IF(D180="","",IF(AND(D180&gt;TODAY(),D180&lt;=TODAY()+7),D180+ROW()/100000,""))</f>
        <v/>
      </c>
      <c r="I180" s="0" t="str">
        <f aca="false">IF(D180="","",IF(D180=CALENDÁRIO!$L$4,ROW(),""))</f>
        <v/>
      </c>
      <c r="J180" s="0" t="str">
        <f aca="false">IF(D180="","",CHOOSE(WEEKDAY(D180),"Domingo","Segunda","Terça","Quarta","Quinta","Sexta","Sábado"))</f>
        <v/>
      </c>
    </row>
    <row r="181" customFormat="false" ht="15" hidden="false" customHeight="false" outlineLevel="0" collapsed="false">
      <c r="A181" s="0" t="str">
        <f aca="false">IF(ISNUMBER(FOLGAS!$C181),"Folga","")</f>
        <v/>
      </c>
      <c r="B181" s="0" t="str">
        <f aca="false">IF(ISNUMBER(FOLGAS!$C181),FOLGAS!$A181&amp;"","")</f>
        <v/>
      </c>
      <c r="C181" s="0" t="str">
        <f aca="false">IF(ISNUMBER(FOLGAS!$C181),FOLGAS!$B181&amp;"","")</f>
        <v/>
      </c>
      <c r="D181" s="78" t="str">
        <f aca="false">IF(ISNUMBER(FOLGAS!$C181),FOLGAS!$C181,"")</f>
        <v/>
      </c>
      <c r="E181" s="0" t="str">
        <f aca="false">IF(ISNUMBER(FOLGAS!$C181),FOLGAS!$D181&amp;"","")</f>
        <v/>
      </c>
      <c r="F181" s="0" t="str">
        <f aca="false">IF(ISNUMBER(FOLGAS!$C181),FOLGAS!$G181&amp;"","")</f>
        <v/>
      </c>
      <c r="G181" s="0" t="str">
        <f aca="true">IF(D181="","",IF(D181=TODAY(),D181+ROW()/100000,""))</f>
        <v/>
      </c>
      <c r="H181" s="0" t="str">
        <f aca="true">IF(D181="","",IF(AND(D181&gt;TODAY(),D181&lt;=TODAY()+7),D181+ROW()/100000,""))</f>
        <v/>
      </c>
      <c r="I181" s="0" t="str">
        <f aca="false">IF(D181="","",IF(D181=CALENDÁRIO!$L$4,ROW(),""))</f>
        <v/>
      </c>
      <c r="J181" s="0" t="str">
        <f aca="false">IF(D181="","",CHOOSE(WEEKDAY(D181),"Domingo","Segunda","Terça","Quarta","Quinta","Sexta","Sábado"))</f>
        <v/>
      </c>
    </row>
    <row r="182" customFormat="false" ht="15" hidden="false" customHeight="false" outlineLevel="0" collapsed="false">
      <c r="A182" s="0" t="str">
        <f aca="false">IF(ISNUMBER(FOLGAS!$C182),"Folga","")</f>
        <v/>
      </c>
      <c r="B182" s="0" t="str">
        <f aca="false">IF(ISNUMBER(FOLGAS!$C182),FOLGAS!$A182&amp;"","")</f>
        <v/>
      </c>
      <c r="C182" s="0" t="str">
        <f aca="false">IF(ISNUMBER(FOLGAS!$C182),FOLGAS!$B182&amp;"","")</f>
        <v/>
      </c>
      <c r="D182" s="78" t="str">
        <f aca="false">IF(ISNUMBER(FOLGAS!$C182),FOLGAS!$C182,"")</f>
        <v/>
      </c>
      <c r="E182" s="0" t="str">
        <f aca="false">IF(ISNUMBER(FOLGAS!$C182),FOLGAS!$D182&amp;"","")</f>
        <v/>
      </c>
      <c r="F182" s="0" t="str">
        <f aca="false">IF(ISNUMBER(FOLGAS!$C182),FOLGAS!$G182&amp;"","")</f>
        <v/>
      </c>
      <c r="G182" s="0" t="str">
        <f aca="true">IF(D182="","",IF(D182=TODAY(),D182+ROW()/100000,""))</f>
        <v/>
      </c>
      <c r="H182" s="0" t="str">
        <f aca="true">IF(D182="","",IF(AND(D182&gt;TODAY(),D182&lt;=TODAY()+7),D182+ROW()/100000,""))</f>
        <v/>
      </c>
      <c r="I182" s="0" t="str">
        <f aca="false">IF(D182="","",IF(D182=CALENDÁRIO!$L$4,ROW(),""))</f>
        <v/>
      </c>
      <c r="J182" s="0" t="str">
        <f aca="false">IF(D182="","",CHOOSE(WEEKDAY(D182),"Domingo","Segunda","Terça","Quarta","Quinta","Sexta","Sábado"))</f>
        <v/>
      </c>
    </row>
    <row r="183" customFormat="false" ht="15" hidden="false" customHeight="false" outlineLevel="0" collapsed="false">
      <c r="A183" s="0" t="str">
        <f aca="false">IF(ISNUMBER(FOLGAS!$C183),"Folga","")</f>
        <v/>
      </c>
      <c r="B183" s="0" t="str">
        <f aca="false">IF(ISNUMBER(FOLGAS!$C183),FOLGAS!$A183&amp;"","")</f>
        <v/>
      </c>
      <c r="C183" s="0" t="str">
        <f aca="false">IF(ISNUMBER(FOLGAS!$C183),FOLGAS!$B183&amp;"","")</f>
        <v/>
      </c>
      <c r="D183" s="78" t="str">
        <f aca="false">IF(ISNUMBER(FOLGAS!$C183),FOLGAS!$C183,"")</f>
        <v/>
      </c>
      <c r="E183" s="0" t="str">
        <f aca="false">IF(ISNUMBER(FOLGAS!$C183),FOLGAS!$D183&amp;"","")</f>
        <v/>
      </c>
      <c r="F183" s="0" t="str">
        <f aca="false">IF(ISNUMBER(FOLGAS!$C183),FOLGAS!$G183&amp;"","")</f>
        <v/>
      </c>
      <c r="G183" s="0" t="str">
        <f aca="true">IF(D183="","",IF(D183=TODAY(),D183+ROW()/100000,""))</f>
        <v/>
      </c>
      <c r="H183" s="0" t="str">
        <f aca="true">IF(D183="","",IF(AND(D183&gt;TODAY(),D183&lt;=TODAY()+7),D183+ROW()/100000,""))</f>
        <v/>
      </c>
      <c r="I183" s="0" t="str">
        <f aca="false">IF(D183="","",IF(D183=CALENDÁRIO!$L$4,ROW(),""))</f>
        <v/>
      </c>
      <c r="J183" s="0" t="str">
        <f aca="false">IF(D183="","",CHOOSE(WEEKDAY(D183),"Domingo","Segunda","Terça","Quarta","Quinta","Sexta","Sábado"))</f>
        <v/>
      </c>
    </row>
    <row r="184" customFormat="false" ht="15" hidden="false" customHeight="false" outlineLevel="0" collapsed="false">
      <c r="A184" s="0" t="str">
        <f aca="false">IF(ISNUMBER(FOLGAS!$C184),"Folga","")</f>
        <v/>
      </c>
      <c r="B184" s="0" t="str">
        <f aca="false">IF(ISNUMBER(FOLGAS!$C184),FOLGAS!$A184&amp;"","")</f>
        <v/>
      </c>
      <c r="C184" s="0" t="str">
        <f aca="false">IF(ISNUMBER(FOLGAS!$C184),FOLGAS!$B184&amp;"","")</f>
        <v/>
      </c>
      <c r="D184" s="78" t="str">
        <f aca="false">IF(ISNUMBER(FOLGAS!$C184),FOLGAS!$C184,"")</f>
        <v/>
      </c>
      <c r="E184" s="0" t="str">
        <f aca="false">IF(ISNUMBER(FOLGAS!$C184),FOLGAS!$D184&amp;"","")</f>
        <v/>
      </c>
      <c r="F184" s="0" t="str">
        <f aca="false">IF(ISNUMBER(FOLGAS!$C184),FOLGAS!$G184&amp;"","")</f>
        <v/>
      </c>
      <c r="G184" s="0" t="str">
        <f aca="true">IF(D184="","",IF(D184=TODAY(),D184+ROW()/100000,""))</f>
        <v/>
      </c>
      <c r="H184" s="0" t="str">
        <f aca="true">IF(D184="","",IF(AND(D184&gt;TODAY(),D184&lt;=TODAY()+7),D184+ROW()/100000,""))</f>
        <v/>
      </c>
      <c r="I184" s="0" t="str">
        <f aca="false">IF(D184="","",IF(D184=CALENDÁRIO!$L$4,ROW(),""))</f>
        <v/>
      </c>
      <c r="J184" s="0" t="str">
        <f aca="false">IF(D184="","",CHOOSE(WEEKDAY(D184),"Domingo","Segunda","Terça","Quarta","Quinta","Sexta","Sábado"))</f>
        <v/>
      </c>
    </row>
    <row r="185" customFormat="false" ht="15" hidden="false" customHeight="false" outlineLevel="0" collapsed="false">
      <c r="A185" s="0" t="str">
        <f aca="false">IF(ISNUMBER(FOLGAS!$C185),"Folga","")</f>
        <v/>
      </c>
      <c r="B185" s="0" t="str">
        <f aca="false">IF(ISNUMBER(FOLGAS!$C185),FOLGAS!$A185&amp;"","")</f>
        <v/>
      </c>
      <c r="C185" s="0" t="str">
        <f aca="false">IF(ISNUMBER(FOLGAS!$C185),FOLGAS!$B185&amp;"","")</f>
        <v/>
      </c>
      <c r="D185" s="78" t="str">
        <f aca="false">IF(ISNUMBER(FOLGAS!$C185),FOLGAS!$C185,"")</f>
        <v/>
      </c>
      <c r="E185" s="0" t="str">
        <f aca="false">IF(ISNUMBER(FOLGAS!$C185),FOLGAS!$D185&amp;"","")</f>
        <v/>
      </c>
      <c r="F185" s="0" t="str">
        <f aca="false">IF(ISNUMBER(FOLGAS!$C185),FOLGAS!$G185&amp;"","")</f>
        <v/>
      </c>
      <c r="G185" s="0" t="str">
        <f aca="true">IF(D185="","",IF(D185=TODAY(),D185+ROW()/100000,""))</f>
        <v/>
      </c>
      <c r="H185" s="0" t="str">
        <f aca="true">IF(D185="","",IF(AND(D185&gt;TODAY(),D185&lt;=TODAY()+7),D185+ROW()/100000,""))</f>
        <v/>
      </c>
      <c r="I185" s="0" t="str">
        <f aca="false">IF(D185="","",IF(D185=CALENDÁRIO!$L$4,ROW(),""))</f>
        <v/>
      </c>
      <c r="J185" s="0" t="str">
        <f aca="false">IF(D185="","",CHOOSE(WEEKDAY(D185),"Domingo","Segunda","Terça","Quarta","Quinta","Sexta","Sábado"))</f>
        <v/>
      </c>
    </row>
    <row r="186" customFormat="false" ht="15" hidden="false" customHeight="false" outlineLevel="0" collapsed="false">
      <c r="A186" s="0" t="str">
        <f aca="false">IF(ISNUMBER(FOLGAS!$C186),"Folga","")</f>
        <v/>
      </c>
      <c r="B186" s="0" t="str">
        <f aca="false">IF(ISNUMBER(FOLGAS!$C186),FOLGAS!$A186&amp;"","")</f>
        <v/>
      </c>
      <c r="C186" s="0" t="str">
        <f aca="false">IF(ISNUMBER(FOLGAS!$C186),FOLGAS!$B186&amp;"","")</f>
        <v/>
      </c>
      <c r="D186" s="78" t="str">
        <f aca="false">IF(ISNUMBER(FOLGAS!$C186),FOLGAS!$C186,"")</f>
        <v/>
      </c>
      <c r="E186" s="0" t="str">
        <f aca="false">IF(ISNUMBER(FOLGAS!$C186),FOLGAS!$D186&amp;"","")</f>
        <v/>
      </c>
      <c r="F186" s="0" t="str">
        <f aca="false">IF(ISNUMBER(FOLGAS!$C186),FOLGAS!$G186&amp;"","")</f>
        <v/>
      </c>
      <c r="G186" s="0" t="str">
        <f aca="true">IF(D186="","",IF(D186=TODAY(),D186+ROW()/100000,""))</f>
        <v/>
      </c>
      <c r="H186" s="0" t="str">
        <f aca="true">IF(D186="","",IF(AND(D186&gt;TODAY(),D186&lt;=TODAY()+7),D186+ROW()/100000,""))</f>
        <v/>
      </c>
      <c r="I186" s="0" t="str">
        <f aca="false">IF(D186="","",IF(D186=CALENDÁRIO!$L$4,ROW(),""))</f>
        <v/>
      </c>
      <c r="J186" s="0" t="str">
        <f aca="false">IF(D186="","",CHOOSE(WEEKDAY(D186),"Domingo","Segunda","Terça","Quarta","Quinta","Sexta","Sábado"))</f>
        <v/>
      </c>
    </row>
    <row r="187" customFormat="false" ht="15" hidden="false" customHeight="false" outlineLevel="0" collapsed="false">
      <c r="A187" s="0" t="str">
        <f aca="false">IF(ISNUMBER(FOLGAS!$C187),"Folga","")</f>
        <v/>
      </c>
      <c r="B187" s="0" t="str">
        <f aca="false">IF(ISNUMBER(FOLGAS!$C187),FOLGAS!$A187&amp;"","")</f>
        <v/>
      </c>
      <c r="C187" s="0" t="str">
        <f aca="false">IF(ISNUMBER(FOLGAS!$C187),FOLGAS!$B187&amp;"","")</f>
        <v/>
      </c>
      <c r="D187" s="78" t="str">
        <f aca="false">IF(ISNUMBER(FOLGAS!$C187),FOLGAS!$C187,"")</f>
        <v/>
      </c>
      <c r="E187" s="0" t="str">
        <f aca="false">IF(ISNUMBER(FOLGAS!$C187),FOLGAS!$D187&amp;"","")</f>
        <v/>
      </c>
      <c r="F187" s="0" t="str">
        <f aca="false">IF(ISNUMBER(FOLGAS!$C187),FOLGAS!$G187&amp;"","")</f>
        <v/>
      </c>
      <c r="G187" s="0" t="str">
        <f aca="true">IF(D187="","",IF(D187=TODAY(),D187+ROW()/100000,""))</f>
        <v/>
      </c>
      <c r="H187" s="0" t="str">
        <f aca="true">IF(D187="","",IF(AND(D187&gt;TODAY(),D187&lt;=TODAY()+7),D187+ROW()/100000,""))</f>
        <v/>
      </c>
      <c r="I187" s="0" t="str">
        <f aca="false">IF(D187="","",IF(D187=CALENDÁRIO!$L$4,ROW(),""))</f>
        <v/>
      </c>
      <c r="J187" s="0" t="str">
        <f aca="false">IF(D187="","",CHOOSE(WEEKDAY(D187),"Domingo","Segunda","Terça","Quarta","Quinta","Sexta","Sábado"))</f>
        <v/>
      </c>
    </row>
    <row r="188" customFormat="false" ht="15" hidden="false" customHeight="false" outlineLevel="0" collapsed="false">
      <c r="A188" s="0" t="str">
        <f aca="false">IF(ISNUMBER(FOLGAS!$C188),"Folga","")</f>
        <v/>
      </c>
      <c r="B188" s="0" t="str">
        <f aca="false">IF(ISNUMBER(FOLGAS!$C188),FOLGAS!$A188&amp;"","")</f>
        <v/>
      </c>
      <c r="C188" s="0" t="str">
        <f aca="false">IF(ISNUMBER(FOLGAS!$C188),FOLGAS!$B188&amp;"","")</f>
        <v/>
      </c>
      <c r="D188" s="78" t="str">
        <f aca="false">IF(ISNUMBER(FOLGAS!$C188),FOLGAS!$C188,"")</f>
        <v/>
      </c>
      <c r="E188" s="0" t="str">
        <f aca="false">IF(ISNUMBER(FOLGAS!$C188),FOLGAS!$D188&amp;"","")</f>
        <v/>
      </c>
      <c r="F188" s="0" t="str">
        <f aca="false">IF(ISNUMBER(FOLGAS!$C188),FOLGAS!$G188&amp;"","")</f>
        <v/>
      </c>
      <c r="G188" s="0" t="str">
        <f aca="true">IF(D188="","",IF(D188=TODAY(),D188+ROW()/100000,""))</f>
        <v/>
      </c>
      <c r="H188" s="0" t="str">
        <f aca="true">IF(D188="","",IF(AND(D188&gt;TODAY(),D188&lt;=TODAY()+7),D188+ROW()/100000,""))</f>
        <v/>
      </c>
      <c r="I188" s="0" t="str">
        <f aca="false">IF(D188="","",IF(D188=CALENDÁRIO!$L$4,ROW(),""))</f>
        <v/>
      </c>
      <c r="J188" s="0" t="str">
        <f aca="false">IF(D188="","",CHOOSE(WEEKDAY(D188),"Domingo","Segunda","Terça","Quarta","Quinta","Sexta","Sábado"))</f>
        <v/>
      </c>
    </row>
    <row r="189" customFormat="false" ht="15" hidden="false" customHeight="false" outlineLevel="0" collapsed="false">
      <c r="A189" s="0" t="str">
        <f aca="false">IF(ISNUMBER(FOLGAS!$C189),"Folga","")</f>
        <v/>
      </c>
      <c r="B189" s="0" t="str">
        <f aca="false">IF(ISNUMBER(FOLGAS!$C189),FOLGAS!$A189&amp;"","")</f>
        <v/>
      </c>
      <c r="C189" s="0" t="str">
        <f aca="false">IF(ISNUMBER(FOLGAS!$C189),FOLGAS!$B189&amp;"","")</f>
        <v/>
      </c>
      <c r="D189" s="78" t="str">
        <f aca="false">IF(ISNUMBER(FOLGAS!$C189),FOLGAS!$C189,"")</f>
        <v/>
      </c>
      <c r="E189" s="0" t="str">
        <f aca="false">IF(ISNUMBER(FOLGAS!$C189),FOLGAS!$D189&amp;"","")</f>
        <v/>
      </c>
      <c r="F189" s="0" t="str">
        <f aca="false">IF(ISNUMBER(FOLGAS!$C189),FOLGAS!$G189&amp;"","")</f>
        <v/>
      </c>
      <c r="G189" s="0" t="str">
        <f aca="true">IF(D189="","",IF(D189=TODAY(),D189+ROW()/100000,""))</f>
        <v/>
      </c>
      <c r="H189" s="0" t="str">
        <f aca="true">IF(D189="","",IF(AND(D189&gt;TODAY(),D189&lt;=TODAY()+7),D189+ROW()/100000,""))</f>
        <v/>
      </c>
      <c r="I189" s="0" t="str">
        <f aca="false">IF(D189="","",IF(D189=CALENDÁRIO!$L$4,ROW(),""))</f>
        <v/>
      </c>
      <c r="J189" s="0" t="str">
        <f aca="false">IF(D189="","",CHOOSE(WEEKDAY(D189),"Domingo","Segunda","Terça","Quarta","Quinta","Sexta","Sábado"))</f>
        <v/>
      </c>
    </row>
    <row r="190" customFormat="false" ht="15" hidden="false" customHeight="false" outlineLevel="0" collapsed="false">
      <c r="A190" s="0" t="str">
        <f aca="false">IF(ISNUMBER(FOLGAS!$C190),"Folga","")</f>
        <v/>
      </c>
      <c r="B190" s="0" t="str">
        <f aca="false">IF(ISNUMBER(FOLGAS!$C190),FOLGAS!$A190&amp;"","")</f>
        <v/>
      </c>
      <c r="C190" s="0" t="str">
        <f aca="false">IF(ISNUMBER(FOLGAS!$C190),FOLGAS!$B190&amp;"","")</f>
        <v/>
      </c>
      <c r="D190" s="78" t="str">
        <f aca="false">IF(ISNUMBER(FOLGAS!$C190),FOLGAS!$C190,"")</f>
        <v/>
      </c>
      <c r="E190" s="0" t="str">
        <f aca="false">IF(ISNUMBER(FOLGAS!$C190),FOLGAS!$D190&amp;"","")</f>
        <v/>
      </c>
      <c r="F190" s="0" t="str">
        <f aca="false">IF(ISNUMBER(FOLGAS!$C190),FOLGAS!$G190&amp;"","")</f>
        <v/>
      </c>
      <c r="G190" s="0" t="str">
        <f aca="true">IF(D190="","",IF(D190=TODAY(),D190+ROW()/100000,""))</f>
        <v/>
      </c>
      <c r="H190" s="0" t="str">
        <f aca="true">IF(D190="","",IF(AND(D190&gt;TODAY(),D190&lt;=TODAY()+7),D190+ROW()/100000,""))</f>
        <v/>
      </c>
      <c r="I190" s="0" t="str">
        <f aca="false">IF(D190="","",IF(D190=CALENDÁRIO!$L$4,ROW(),""))</f>
        <v/>
      </c>
      <c r="J190" s="0" t="str">
        <f aca="false">IF(D190="","",CHOOSE(WEEKDAY(D190),"Domingo","Segunda","Terça","Quarta","Quinta","Sexta","Sábado"))</f>
        <v/>
      </c>
    </row>
    <row r="191" customFormat="false" ht="15" hidden="false" customHeight="false" outlineLevel="0" collapsed="false">
      <c r="A191" s="0" t="str">
        <f aca="false">IF(ISNUMBER(FOLGAS!$C191),"Folga","")</f>
        <v/>
      </c>
      <c r="B191" s="0" t="str">
        <f aca="false">IF(ISNUMBER(FOLGAS!$C191),FOLGAS!$A191&amp;"","")</f>
        <v/>
      </c>
      <c r="C191" s="0" t="str">
        <f aca="false">IF(ISNUMBER(FOLGAS!$C191),FOLGAS!$B191&amp;"","")</f>
        <v/>
      </c>
      <c r="D191" s="78" t="str">
        <f aca="false">IF(ISNUMBER(FOLGAS!$C191),FOLGAS!$C191,"")</f>
        <v/>
      </c>
      <c r="E191" s="0" t="str">
        <f aca="false">IF(ISNUMBER(FOLGAS!$C191),FOLGAS!$D191&amp;"","")</f>
        <v/>
      </c>
      <c r="F191" s="0" t="str">
        <f aca="false">IF(ISNUMBER(FOLGAS!$C191),FOLGAS!$G191&amp;"","")</f>
        <v/>
      </c>
      <c r="G191" s="0" t="str">
        <f aca="true">IF(D191="","",IF(D191=TODAY(),D191+ROW()/100000,""))</f>
        <v/>
      </c>
      <c r="H191" s="0" t="str">
        <f aca="true">IF(D191="","",IF(AND(D191&gt;TODAY(),D191&lt;=TODAY()+7),D191+ROW()/100000,""))</f>
        <v/>
      </c>
      <c r="I191" s="0" t="str">
        <f aca="false">IF(D191="","",IF(D191=CALENDÁRIO!$L$4,ROW(),""))</f>
        <v/>
      </c>
      <c r="J191" s="0" t="str">
        <f aca="false">IF(D191="","",CHOOSE(WEEKDAY(D191),"Domingo","Segunda","Terça","Quarta","Quinta","Sexta","Sábado"))</f>
        <v/>
      </c>
    </row>
    <row r="192" customFormat="false" ht="15" hidden="false" customHeight="false" outlineLevel="0" collapsed="false">
      <c r="A192" s="0" t="str">
        <f aca="false">IF(ISNUMBER(FOLGAS!$C192),"Folga","")</f>
        <v/>
      </c>
      <c r="B192" s="0" t="str">
        <f aca="false">IF(ISNUMBER(FOLGAS!$C192),FOLGAS!$A192&amp;"","")</f>
        <v/>
      </c>
      <c r="C192" s="0" t="str">
        <f aca="false">IF(ISNUMBER(FOLGAS!$C192),FOLGAS!$B192&amp;"","")</f>
        <v/>
      </c>
      <c r="D192" s="78" t="str">
        <f aca="false">IF(ISNUMBER(FOLGAS!$C192),FOLGAS!$C192,"")</f>
        <v/>
      </c>
      <c r="E192" s="0" t="str">
        <f aca="false">IF(ISNUMBER(FOLGAS!$C192),FOLGAS!$D192&amp;"","")</f>
        <v/>
      </c>
      <c r="F192" s="0" t="str">
        <f aca="false">IF(ISNUMBER(FOLGAS!$C192),FOLGAS!$G192&amp;"","")</f>
        <v/>
      </c>
      <c r="G192" s="0" t="str">
        <f aca="true">IF(D192="","",IF(D192=TODAY(),D192+ROW()/100000,""))</f>
        <v/>
      </c>
      <c r="H192" s="0" t="str">
        <f aca="true">IF(D192="","",IF(AND(D192&gt;TODAY(),D192&lt;=TODAY()+7),D192+ROW()/100000,""))</f>
        <v/>
      </c>
      <c r="I192" s="0" t="str">
        <f aca="false">IF(D192="","",IF(D192=CALENDÁRIO!$L$4,ROW(),""))</f>
        <v/>
      </c>
      <c r="J192" s="0" t="str">
        <f aca="false">IF(D192="","",CHOOSE(WEEKDAY(D192),"Domingo","Segunda","Terça","Quarta","Quinta","Sexta","Sábado"))</f>
        <v/>
      </c>
    </row>
    <row r="193" customFormat="false" ht="15" hidden="false" customHeight="false" outlineLevel="0" collapsed="false">
      <c r="A193" s="0" t="str">
        <f aca="false">IF(ISNUMBER(FOLGAS!$C193),"Folga","")</f>
        <v/>
      </c>
      <c r="B193" s="0" t="str">
        <f aca="false">IF(ISNUMBER(FOLGAS!$C193),FOLGAS!$A193&amp;"","")</f>
        <v/>
      </c>
      <c r="C193" s="0" t="str">
        <f aca="false">IF(ISNUMBER(FOLGAS!$C193),FOLGAS!$B193&amp;"","")</f>
        <v/>
      </c>
      <c r="D193" s="78" t="str">
        <f aca="false">IF(ISNUMBER(FOLGAS!$C193),FOLGAS!$C193,"")</f>
        <v/>
      </c>
      <c r="E193" s="0" t="str">
        <f aca="false">IF(ISNUMBER(FOLGAS!$C193),FOLGAS!$D193&amp;"","")</f>
        <v/>
      </c>
      <c r="F193" s="0" t="str">
        <f aca="false">IF(ISNUMBER(FOLGAS!$C193),FOLGAS!$G193&amp;"","")</f>
        <v/>
      </c>
      <c r="G193" s="0" t="str">
        <f aca="true">IF(D193="","",IF(D193=TODAY(),D193+ROW()/100000,""))</f>
        <v/>
      </c>
      <c r="H193" s="0" t="str">
        <f aca="true">IF(D193="","",IF(AND(D193&gt;TODAY(),D193&lt;=TODAY()+7),D193+ROW()/100000,""))</f>
        <v/>
      </c>
      <c r="I193" s="0" t="str">
        <f aca="false">IF(D193="","",IF(D193=CALENDÁRIO!$L$4,ROW(),""))</f>
        <v/>
      </c>
      <c r="J193" s="0" t="str">
        <f aca="false">IF(D193="","",CHOOSE(WEEKDAY(D193),"Domingo","Segunda","Terça","Quarta","Quinta","Sexta","Sábado"))</f>
        <v/>
      </c>
    </row>
    <row r="194" customFormat="false" ht="15" hidden="false" customHeight="false" outlineLevel="0" collapsed="false">
      <c r="A194" s="0" t="str">
        <f aca="false">IF(ISNUMBER(FOLGAS!$C194),"Folga","")</f>
        <v/>
      </c>
      <c r="B194" s="0" t="str">
        <f aca="false">IF(ISNUMBER(FOLGAS!$C194),FOLGAS!$A194&amp;"","")</f>
        <v/>
      </c>
      <c r="C194" s="0" t="str">
        <f aca="false">IF(ISNUMBER(FOLGAS!$C194),FOLGAS!$B194&amp;"","")</f>
        <v/>
      </c>
      <c r="D194" s="78" t="str">
        <f aca="false">IF(ISNUMBER(FOLGAS!$C194),FOLGAS!$C194,"")</f>
        <v/>
      </c>
      <c r="E194" s="0" t="str">
        <f aca="false">IF(ISNUMBER(FOLGAS!$C194),FOLGAS!$D194&amp;"","")</f>
        <v/>
      </c>
      <c r="F194" s="0" t="str">
        <f aca="false">IF(ISNUMBER(FOLGAS!$C194),FOLGAS!$G194&amp;"","")</f>
        <v/>
      </c>
      <c r="G194" s="0" t="str">
        <f aca="true">IF(D194="","",IF(D194=TODAY(),D194+ROW()/100000,""))</f>
        <v/>
      </c>
      <c r="H194" s="0" t="str">
        <f aca="true">IF(D194="","",IF(AND(D194&gt;TODAY(),D194&lt;=TODAY()+7),D194+ROW()/100000,""))</f>
        <v/>
      </c>
      <c r="I194" s="0" t="str">
        <f aca="false">IF(D194="","",IF(D194=CALENDÁRIO!$L$4,ROW(),""))</f>
        <v/>
      </c>
      <c r="J194" s="0" t="str">
        <f aca="false">IF(D194="","",CHOOSE(WEEKDAY(D194),"Domingo","Segunda","Terça","Quarta","Quinta","Sexta","Sábado"))</f>
        <v/>
      </c>
    </row>
    <row r="195" customFormat="false" ht="15" hidden="false" customHeight="false" outlineLevel="0" collapsed="false">
      <c r="A195" s="0" t="str">
        <f aca="false">IF(ISNUMBER(FOLGAS!$C195),"Folga","")</f>
        <v/>
      </c>
      <c r="B195" s="0" t="str">
        <f aca="false">IF(ISNUMBER(FOLGAS!$C195),FOLGAS!$A195&amp;"","")</f>
        <v/>
      </c>
      <c r="C195" s="0" t="str">
        <f aca="false">IF(ISNUMBER(FOLGAS!$C195),FOLGAS!$B195&amp;"","")</f>
        <v/>
      </c>
      <c r="D195" s="78" t="str">
        <f aca="false">IF(ISNUMBER(FOLGAS!$C195),FOLGAS!$C195,"")</f>
        <v/>
      </c>
      <c r="E195" s="0" t="str">
        <f aca="false">IF(ISNUMBER(FOLGAS!$C195),FOLGAS!$D195&amp;"","")</f>
        <v/>
      </c>
      <c r="F195" s="0" t="str">
        <f aca="false">IF(ISNUMBER(FOLGAS!$C195),FOLGAS!$G195&amp;"","")</f>
        <v/>
      </c>
      <c r="G195" s="0" t="str">
        <f aca="true">IF(D195="","",IF(D195=TODAY(),D195+ROW()/100000,""))</f>
        <v/>
      </c>
      <c r="H195" s="0" t="str">
        <f aca="true">IF(D195="","",IF(AND(D195&gt;TODAY(),D195&lt;=TODAY()+7),D195+ROW()/100000,""))</f>
        <v/>
      </c>
      <c r="I195" s="0" t="str">
        <f aca="false">IF(D195="","",IF(D195=CALENDÁRIO!$L$4,ROW(),""))</f>
        <v/>
      </c>
      <c r="J195" s="0" t="str">
        <f aca="false">IF(D195="","",CHOOSE(WEEKDAY(D195),"Domingo","Segunda","Terça","Quarta","Quinta","Sexta","Sábado"))</f>
        <v/>
      </c>
    </row>
    <row r="196" customFormat="false" ht="15" hidden="false" customHeight="false" outlineLevel="0" collapsed="false">
      <c r="A196" s="0" t="str">
        <f aca="false">IF(ISNUMBER(FOLGAS!$C196),"Folga","")</f>
        <v/>
      </c>
      <c r="B196" s="0" t="str">
        <f aca="false">IF(ISNUMBER(FOLGAS!$C196),FOLGAS!$A196&amp;"","")</f>
        <v/>
      </c>
      <c r="C196" s="0" t="str">
        <f aca="false">IF(ISNUMBER(FOLGAS!$C196),FOLGAS!$B196&amp;"","")</f>
        <v/>
      </c>
      <c r="D196" s="78" t="str">
        <f aca="false">IF(ISNUMBER(FOLGAS!$C196),FOLGAS!$C196,"")</f>
        <v/>
      </c>
      <c r="E196" s="0" t="str">
        <f aca="false">IF(ISNUMBER(FOLGAS!$C196),FOLGAS!$D196&amp;"","")</f>
        <v/>
      </c>
      <c r="F196" s="0" t="str">
        <f aca="false">IF(ISNUMBER(FOLGAS!$C196),FOLGAS!$G196&amp;"","")</f>
        <v/>
      </c>
      <c r="G196" s="0" t="str">
        <f aca="true">IF(D196="","",IF(D196=TODAY(),D196+ROW()/100000,""))</f>
        <v/>
      </c>
      <c r="H196" s="0" t="str">
        <f aca="true">IF(D196="","",IF(AND(D196&gt;TODAY(),D196&lt;=TODAY()+7),D196+ROW()/100000,""))</f>
        <v/>
      </c>
      <c r="I196" s="0" t="str">
        <f aca="false">IF(D196="","",IF(D196=CALENDÁRIO!$L$4,ROW(),""))</f>
        <v/>
      </c>
      <c r="J196" s="0" t="str">
        <f aca="false">IF(D196="","",CHOOSE(WEEKDAY(D196),"Domingo","Segunda","Terça","Quarta","Quinta","Sexta","Sábado"))</f>
        <v/>
      </c>
    </row>
    <row r="197" customFormat="false" ht="15" hidden="false" customHeight="false" outlineLevel="0" collapsed="false">
      <c r="A197" s="0" t="str">
        <f aca="false">IF(ISNUMBER(FOLGAS!$C197),"Folga","")</f>
        <v/>
      </c>
      <c r="B197" s="0" t="str">
        <f aca="false">IF(ISNUMBER(FOLGAS!$C197),FOLGAS!$A197&amp;"","")</f>
        <v/>
      </c>
      <c r="C197" s="0" t="str">
        <f aca="false">IF(ISNUMBER(FOLGAS!$C197),FOLGAS!$B197&amp;"","")</f>
        <v/>
      </c>
      <c r="D197" s="78" t="str">
        <f aca="false">IF(ISNUMBER(FOLGAS!$C197),FOLGAS!$C197,"")</f>
        <v/>
      </c>
      <c r="E197" s="0" t="str">
        <f aca="false">IF(ISNUMBER(FOLGAS!$C197),FOLGAS!$D197&amp;"","")</f>
        <v/>
      </c>
      <c r="F197" s="0" t="str">
        <f aca="false">IF(ISNUMBER(FOLGAS!$C197),FOLGAS!$G197&amp;"","")</f>
        <v/>
      </c>
      <c r="G197" s="0" t="str">
        <f aca="true">IF(D197="","",IF(D197=TODAY(),D197+ROW()/100000,""))</f>
        <v/>
      </c>
      <c r="H197" s="0" t="str">
        <f aca="true">IF(D197="","",IF(AND(D197&gt;TODAY(),D197&lt;=TODAY()+7),D197+ROW()/100000,""))</f>
        <v/>
      </c>
      <c r="I197" s="0" t="str">
        <f aca="false">IF(D197="","",IF(D197=CALENDÁRIO!$L$4,ROW(),""))</f>
        <v/>
      </c>
      <c r="J197" s="0" t="str">
        <f aca="false">IF(D197="","",CHOOSE(WEEKDAY(D197),"Domingo","Segunda","Terça","Quarta","Quinta","Sexta","Sábado"))</f>
        <v/>
      </c>
    </row>
    <row r="198" customFormat="false" ht="15" hidden="false" customHeight="false" outlineLevel="0" collapsed="false">
      <c r="A198" s="0" t="str">
        <f aca="false">IF(ISNUMBER(FOLGAS!$C198),"Folga","")</f>
        <v/>
      </c>
      <c r="B198" s="0" t="str">
        <f aca="false">IF(ISNUMBER(FOLGAS!$C198),FOLGAS!$A198&amp;"","")</f>
        <v/>
      </c>
      <c r="C198" s="0" t="str">
        <f aca="false">IF(ISNUMBER(FOLGAS!$C198),FOLGAS!$B198&amp;"","")</f>
        <v/>
      </c>
      <c r="D198" s="78" t="str">
        <f aca="false">IF(ISNUMBER(FOLGAS!$C198),FOLGAS!$C198,"")</f>
        <v/>
      </c>
      <c r="E198" s="0" t="str">
        <f aca="false">IF(ISNUMBER(FOLGAS!$C198),FOLGAS!$D198&amp;"","")</f>
        <v/>
      </c>
      <c r="F198" s="0" t="str">
        <f aca="false">IF(ISNUMBER(FOLGAS!$C198),FOLGAS!$G198&amp;"","")</f>
        <v/>
      </c>
      <c r="G198" s="0" t="str">
        <f aca="true">IF(D198="","",IF(D198=TODAY(),D198+ROW()/100000,""))</f>
        <v/>
      </c>
      <c r="H198" s="0" t="str">
        <f aca="true">IF(D198="","",IF(AND(D198&gt;TODAY(),D198&lt;=TODAY()+7),D198+ROW()/100000,""))</f>
        <v/>
      </c>
      <c r="I198" s="0" t="str">
        <f aca="false">IF(D198="","",IF(D198=CALENDÁRIO!$L$4,ROW(),""))</f>
        <v/>
      </c>
      <c r="J198" s="0" t="str">
        <f aca="false">IF(D198="","",CHOOSE(WEEKDAY(D198),"Domingo","Segunda","Terça","Quarta","Quinta","Sexta","Sábado"))</f>
        <v/>
      </c>
    </row>
    <row r="199" customFormat="false" ht="15" hidden="false" customHeight="false" outlineLevel="0" collapsed="false">
      <c r="A199" s="0" t="str">
        <f aca="false">IF(ISNUMBER(FOLGAS!$C199),"Folga","")</f>
        <v/>
      </c>
      <c r="B199" s="0" t="str">
        <f aca="false">IF(ISNUMBER(FOLGAS!$C199),FOLGAS!$A199&amp;"","")</f>
        <v/>
      </c>
      <c r="C199" s="0" t="str">
        <f aca="false">IF(ISNUMBER(FOLGAS!$C199),FOLGAS!$B199&amp;"","")</f>
        <v/>
      </c>
      <c r="D199" s="78" t="str">
        <f aca="false">IF(ISNUMBER(FOLGAS!$C199),FOLGAS!$C199,"")</f>
        <v/>
      </c>
      <c r="E199" s="0" t="str">
        <f aca="false">IF(ISNUMBER(FOLGAS!$C199),FOLGAS!$D199&amp;"","")</f>
        <v/>
      </c>
      <c r="F199" s="0" t="str">
        <f aca="false">IF(ISNUMBER(FOLGAS!$C199),FOLGAS!$G199&amp;"","")</f>
        <v/>
      </c>
      <c r="G199" s="0" t="str">
        <f aca="true">IF(D199="","",IF(D199=TODAY(),D199+ROW()/100000,""))</f>
        <v/>
      </c>
      <c r="H199" s="0" t="str">
        <f aca="true">IF(D199="","",IF(AND(D199&gt;TODAY(),D199&lt;=TODAY()+7),D199+ROW()/100000,""))</f>
        <v/>
      </c>
      <c r="I199" s="0" t="str">
        <f aca="false">IF(D199="","",IF(D199=CALENDÁRIO!$L$4,ROW(),""))</f>
        <v/>
      </c>
      <c r="J199" s="0" t="str">
        <f aca="false">IF(D199="","",CHOOSE(WEEKDAY(D199),"Domingo","Segunda","Terça","Quarta","Quinta","Sexta","Sábado"))</f>
        <v/>
      </c>
    </row>
    <row r="200" customFormat="false" ht="15" hidden="false" customHeight="false" outlineLevel="0" collapsed="false">
      <c r="A200" s="0" t="str">
        <f aca="false">IF(ISNUMBER(FOLGAS!$C200),"Folga","")</f>
        <v/>
      </c>
      <c r="B200" s="0" t="str">
        <f aca="false">IF(ISNUMBER(FOLGAS!$C200),FOLGAS!$A200&amp;"","")</f>
        <v/>
      </c>
      <c r="C200" s="0" t="str">
        <f aca="false">IF(ISNUMBER(FOLGAS!$C200),FOLGAS!$B200&amp;"","")</f>
        <v/>
      </c>
      <c r="D200" s="78" t="str">
        <f aca="false">IF(ISNUMBER(FOLGAS!$C200),FOLGAS!$C200,"")</f>
        <v/>
      </c>
      <c r="E200" s="0" t="str">
        <f aca="false">IF(ISNUMBER(FOLGAS!$C200),FOLGAS!$D200&amp;"","")</f>
        <v/>
      </c>
      <c r="F200" s="0" t="str">
        <f aca="false">IF(ISNUMBER(FOLGAS!$C200),FOLGAS!$G200&amp;"","")</f>
        <v/>
      </c>
      <c r="G200" s="0" t="str">
        <f aca="true">IF(D200="","",IF(D200=TODAY(),D200+ROW()/100000,""))</f>
        <v/>
      </c>
      <c r="H200" s="0" t="str">
        <f aca="true">IF(D200="","",IF(AND(D200&gt;TODAY(),D200&lt;=TODAY()+7),D200+ROW()/100000,""))</f>
        <v/>
      </c>
      <c r="I200" s="0" t="str">
        <f aca="false">IF(D200="","",IF(D200=CALENDÁRIO!$L$4,ROW(),""))</f>
        <v/>
      </c>
      <c r="J200" s="0" t="str">
        <f aca="false">IF(D200="","",CHOOSE(WEEKDAY(D200),"Domingo","Segunda","Terça","Quarta","Quinta","Sexta","Sábado"))</f>
        <v/>
      </c>
    </row>
    <row r="201" customFormat="false" ht="15" hidden="false" customHeight="false" outlineLevel="0" collapsed="false">
      <c r="A201" s="0" t="str">
        <f aca="false">IF(ISNUMBER(FOLGAS!$C201),"Folga","")</f>
        <v/>
      </c>
      <c r="B201" s="0" t="str">
        <f aca="false">IF(ISNUMBER(FOLGAS!$C201),FOLGAS!$A201&amp;"","")</f>
        <v/>
      </c>
      <c r="C201" s="0" t="str">
        <f aca="false">IF(ISNUMBER(FOLGAS!$C201),FOLGAS!$B201&amp;"","")</f>
        <v/>
      </c>
      <c r="D201" s="78" t="str">
        <f aca="false">IF(ISNUMBER(FOLGAS!$C201),FOLGAS!$C201,"")</f>
        <v/>
      </c>
      <c r="E201" s="0" t="str">
        <f aca="false">IF(ISNUMBER(FOLGAS!$C201),FOLGAS!$D201&amp;"","")</f>
        <v/>
      </c>
      <c r="F201" s="0" t="str">
        <f aca="false">IF(ISNUMBER(FOLGAS!$C201),FOLGAS!$G201&amp;"","")</f>
        <v/>
      </c>
      <c r="G201" s="0" t="str">
        <f aca="true">IF(D201="","",IF(D201=TODAY(),D201+ROW()/100000,""))</f>
        <v/>
      </c>
      <c r="H201" s="0" t="str">
        <f aca="true">IF(D201="","",IF(AND(D201&gt;TODAY(),D201&lt;=TODAY()+7),D201+ROW()/100000,""))</f>
        <v/>
      </c>
      <c r="I201" s="0" t="str">
        <f aca="false">IF(D201="","",IF(D201=CALENDÁRIO!$L$4,ROW(),""))</f>
        <v/>
      </c>
      <c r="J201" s="0" t="str">
        <f aca="false">IF(D201="","",CHOOSE(WEEKDAY(D201),"Domingo","Segunda","Terça","Quarta","Quinta","Sexta","Sábado"))</f>
        <v/>
      </c>
    </row>
    <row r="202" customFormat="false" ht="15" hidden="false" customHeight="false" outlineLevel="0" collapsed="false">
      <c r="A202" s="0" t="str">
        <f aca="false">IF(ISNUMBER(FOLGAS!$C202),"Folga","")</f>
        <v/>
      </c>
      <c r="B202" s="0" t="str">
        <f aca="false">IF(ISNUMBER(FOLGAS!$C202),FOLGAS!$A202&amp;"","")</f>
        <v/>
      </c>
      <c r="C202" s="0" t="str">
        <f aca="false">IF(ISNUMBER(FOLGAS!$C202),FOLGAS!$B202&amp;"","")</f>
        <v/>
      </c>
      <c r="D202" s="78" t="str">
        <f aca="false">IF(ISNUMBER(FOLGAS!$C202),FOLGAS!$C202,"")</f>
        <v/>
      </c>
      <c r="E202" s="0" t="str">
        <f aca="false">IF(ISNUMBER(FOLGAS!$C202),FOLGAS!$D202&amp;"","")</f>
        <v/>
      </c>
      <c r="F202" s="0" t="str">
        <f aca="false">IF(ISNUMBER(FOLGAS!$C202),FOLGAS!$G202&amp;"","")</f>
        <v/>
      </c>
      <c r="G202" s="0" t="str">
        <f aca="true">IF(D202="","",IF(D202=TODAY(),D202+ROW()/100000,""))</f>
        <v/>
      </c>
      <c r="H202" s="0" t="str">
        <f aca="true">IF(D202="","",IF(AND(D202&gt;TODAY(),D202&lt;=TODAY()+7),D202+ROW()/100000,""))</f>
        <v/>
      </c>
      <c r="I202" s="0" t="str">
        <f aca="false">IF(D202="","",IF(D202=CALENDÁRIO!$L$4,ROW(),""))</f>
        <v/>
      </c>
      <c r="J202" s="0" t="str">
        <f aca="false">IF(D202="","",CHOOSE(WEEKDAY(D202),"Domingo","Segunda","Terça","Quarta","Quinta","Sexta","Sábado"))</f>
        <v/>
      </c>
    </row>
    <row r="203" customFormat="false" ht="15" hidden="false" customHeight="false" outlineLevel="0" collapsed="false">
      <c r="A203" s="0" t="str">
        <f aca="false">IF(ISNUMBER(FOLGAS!$C203),"Folga","")</f>
        <v/>
      </c>
      <c r="B203" s="0" t="str">
        <f aca="false">IF(ISNUMBER(FOLGAS!$C203),FOLGAS!$A203&amp;"","")</f>
        <v/>
      </c>
      <c r="C203" s="0" t="str">
        <f aca="false">IF(ISNUMBER(FOLGAS!$C203),FOLGAS!$B203&amp;"","")</f>
        <v/>
      </c>
      <c r="D203" s="78" t="str">
        <f aca="false">IF(ISNUMBER(FOLGAS!$C203),FOLGAS!$C203,"")</f>
        <v/>
      </c>
      <c r="E203" s="0" t="str">
        <f aca="false">IF(ISNUMBER(FOLGAS!$C203),FOLGAS!$D203&amp;"","")</f>
        <v/>
      </c>
      <c r="F203" s="0" t="str">
        <f aca="false">IF(ISNUMBER(FOLGAS!$C203),FOLGAS!$G203&amp;"","")</f>
        <v/>
      </c>
      <c r="G203" s="0" t="str">
        <f aca="true">IF(D203="","",IF(D203=TODAY(),D203+ROW()/100000,""))</f>
        <v/>
      </c>
      <c r="H203" s="0" t="str">
        <f aca="true">IF(D203="","",IF(AND(D203&gt;TODAY(),D203&lt;=TODAY()+7),D203+ROW()/100000,""))</f>
        <v/>
      </c>
      <c r="I203" s="0" t="str">
        <f aca="false">IF(D203="","",IF(D203=CALENDÁRIO!$L$4,ROW(),""))</f>
        <v/>
      </c>
      <c r="J203" s="0" t="str">
        <f aca="false">IF(D203="","",CHOOSE(WEEKDAY(D203),"Domingo","Segunda","Terça","Quarta","Quinta","Sexta","Sábado"))</f>
        <v/>
      </c>
    </row>
    <row r="204" customFormat="false" ht="15" hidden="false" customHeight="false" outlineLevel="0" collapsed="false">
      <c r="A204" s="0" t="str">
        <f aca="false">IF(ISNUMBER(FOLGAS!$C204),"Folga","")</f>
        <v/>
      </c>
      <c r="B204" s="0" t="str">
        <f aca="false">IF(ISNUMBER(FOLGAS!$C204),FOLGAS!$A204&amp;"","")</f>
        <v/>
      </c>
      <c r="C204" s="0" t="str">
        <f aca="false">IF(ISNUMBER(FOLGAS!$C204),FOLGAS!$B204&amp;"","")</f>
        <v/>
      </c>
      <c r="D204" s="78" t="str">
        <f aca="false">IF(ISNUMBER(FOLGAS!$C204),FOLGAS!$C204,"")</f>
        <v/>
      </c>
      <c r="E204" s="0" t="str">
        <f aca="false">IF(ISNUMBER(FOLGAS!$C204),FOLGAS!$D204&amp;"","")</f>
        <v/>
      </c>
      <c r="F204" s="0" t="str">
        <f aca="false">IF(ISNUMBER(FOLGAS!$C204),FOLGAS!$G204&amp;"","")</f>
        <v/>
      </c>
      <c r="G204" s="0" t="str">
        <f aca="true">IF(D204="","",IF(D204=TODAY(),D204+ROW()/100000,""))</f>
        <v/>
      </c>
      <c r="H204" s="0" t="str">
        <f aca="true">IF(D204="","",IF(AND(D204&gt;TODAY(),D204&lt;=TODAY()+7),D204+ROW()/100000,""))</f>
        <v/>
      </c>
      <c r="I204" s="0" t="str">
        <f aca="false">IF(D204="","",IF(D204=CALENDÁRIO!$L$4,ROW(),""))</f>
        <v/>
      </c>
      <c r="J204" s="0" t="str">
        <f aca="false">IF(D204="","",CHOOSE(WEEKDAY(D204),"Domingo","Segunda","Terça","Quarta","Quinta","Sexta","Sábado"))</f>
        <v/>
      </c>
    </row>
    <row r="205" customFormat="false" ht="15" hidden="false" customHeight="false" outlineLevel="0" collapsed="false">
      <c r="A205" s="0" t="str">
        <f aca="false">IF(ISNUMBER(FOLGAS!$C205),"Folga","")</f>
        <v/>
      </c>
      <c r="B205" s="0" t="str">
        <f aca="false">IF(ISNUMBER(FOLGAS!$C205),FOLGAS!$A205&amp;"","")</f>
        <v/>
      </c>
      <c r="C205" s="0" t="str">
        <f aca="false">IF(ISNUMBER(FOLGAS!$C205),FOLGAS!$B205&amp;"","")</f>
        <v/>
      </c>
      <c r="D205" s="78" t="str">
        <f aca="false">IF(ISNUMBER(FOLGAS!$C205),FOLGAS!$C205,"")</f>
        <v/>
      </c>
      <c r="E205" s="0" t="str">
        <f aca="false">IF(ISNUMBER(FOLGAS!$C205),FOLGAS!$D205&amp;"","")</f>
        <v/>
      </c>
      <c r="F205" s="0" t="str">
        <f aca="false">IF(ISNUMBER(FOLGAS!$C205),FOLGAS!$G205&amp;"","")</f>
        <v/>
      </c>
      <c r="G205" s="0" t="str">
        <f aca="true">IF(D205="","",IF(D205=TODAY(),D205+ROW()/100000,""))</f>
        <v/>
      </c>
      <c r="H205" s="0" t="str">
        <f aca="true">IF(D205="","",IF(AND(D205&gt;TODAY(),D205&lt;=TODAY()+7),D205+ROW()/100000,""))</f>
        <v/>
      </c>
      <c r="I205" s="0" t="str">
        <f aca="false">IF(D205="","",IF(D205=CALENDÁRIO!$L$4,ROW(),""))</f>
        <v/>
      </c>
      <c r="J205" s="0" t="str">
        <f aca="false">IF(D205="","",CHOOSE(WEEKDAY(D205),"Domingo","Segunda","Terça","Quarta","Quinta","Sexta","Sábado"))</f>
        <v/>
      </c>
    </row>
    <row r="206" customFormat="false" ht="15" hidden="false" customHeight="false" outlineLevel="0" collapsed="false">
      <c r="A206" s="0" t="str">
        <f aca="false">IF(ISNUMBER(FOLGAS!$C206),"Folga","")</f>
        <v/>
      </c>
      <c r="B206" s="0" t="str">
        <f aca="false">IF(ISNUMBER(FOLGAS!$C206),FOLGAS!$A206&amp;"","")</f>
        <v/>
      </c>
      <c r="C206" s="0" t="str">
        <f aca="false">IF(ISNUMBER(FOLGAS!$C206),FOLGAS!$B206&amp;"","")</f>
        <v/>
      </c>
      <c r="D206" s="78" t="str">
        <f aca="false">IF(ISNUMBER(FOLGAS!$C206),FOLGAS!$C206,"")</f>
        <v/>
      </c>
      <c r="E206" s="0" t="str">
        <f aca="false">IF(ISNUMBER(FOLGAS!$C206),FOLGAS!$D206&amp;"","")</f>
        <v/>
      </c>
      <c r="F206" s="0" t="str">
        <f aca="false">IF(ISNUMBER(FOLGAS!$C206),FOLGAS!$G206&amp;"","")</f>
        <v/>
      </c>
      <c r="G206" s="0" t="str">
        <f aca="true">IF(D206="","",IF(D206=TODAY(),D206+ROW()/100000,""))</f>
        <v/>
      </c>
      <c r="H206" s="0" t="str">
        <f aca="true">IF(D206="","",IF(AND(D206&gt;TODAY(),D206&lt;=TODAY()+7),D206+ROW()/100000,""))</f>
        <v/>
      </c>
      <c r="I206" s="0" t="str">
        <f aca="false">IF(D206="","",IF(D206=CALENDÁRIO!$L$4,ROW(),""))</f>
        <v/>
      </c>
      <c r="J206" s="0" t="str">
        <f aca="false">IF(D206="","",CHOOSE(WEEKDAY(D206),"Domingo","Segunda","Terça","Quarta","Quinta","Sexta","Sábado"))</f>
        <v/>
      </c>
    </row>
    <row r="207" customFormat="false" ht="15" hidden="false" customHeight="false" outlineLevel="0" collapsed="false">
      <c r="A207" s="0" t="str">
        <f aca="false">IF(ISNUMBER(FOLGAS!$C207),"Folga","")</f>
        <v/>
      </c>
      <c r="B207" s="0" t="str">
        <f aca="false">IF(ISNUMBER(FOLGAS!$C207),FOLGAS!$A207&amp;"","")</f>
        <v/>
      </c>
      <c r="C207" s="0" t="str">
        <f aca="false">IF(ISNUMBER(FOLGAS!$C207),FOLGAS!$B207&amp;"","")</f>
        <v/>
      </c>
      <c r="D207" s="78" t="str">
        <f aca="false">IF(ISNUMBER(FOLGAS!$C207),FOLGAS!$C207,"")</f>
        <v/>
      </c>
      <c r="E207" s="0" t="str">
        <f aca="false">IF(ISNUMBER(FOLGAS!$C207),FOLGAS!$D207&amp;"","")</f>
        <v/>
      </c>
      <c r="F207" s="0" t="str">
        <f aca="false">IF(ISNUMBER(FOLGAS!$C207),FOLGAS!$G207&amp;"","")</f>
        <v/>
      </c>
      <c r="G207" s="0" t="str">
        <f aca="true">IF(D207="","",IF(D207=TODAY(),D207+ROW()/100000,""))</f>
        <v/>
      </c>
      <c r="H207" s="0" t="str">
        <f aca="true">IF(D207="","",IF(AND(D207&gt;TODAY(),D207&lt;=TODAY()+7),D207+ROW()/100000,""))</f>
        <v/>
      </c>
      <c r="I207" s="0" t="str">
        <f aca="false">IF(D207="","",IF(D207=CALENDÁRIO!$L$4,ROW(),""))</f>
        <v/>
      </c>
      <c r="J207" s="0" t="str">
        <f aca="false">IF(D207="","",CHOOSE(WEEKDAY(D207),"Domingo","Segunda","Terça","Quarta","Quinta","Sexta","Sábado"))</f>
        <v/>
      </c>
    </row>
    <row r="208" customFormat="false" ht="15" hidden="false" customHeight="false" outlineLevel="0" collapsed="false">
      <c r="A208" s="0" t="str">
        <f aca="false">IF(ISNUMBER(FOLGAS!$C208),"Folga","")</f>
        <v/>
      </c>
      <c r="B208" s="0" t="str">
        <f aca="false">IF(ISNUMBER(FOLGAS!$C208),FOLGAS!$A208&amp;"","")</f>
        <v/>
      </c>
      <c r="C208" s="0" t="str">
        <f aca="false">IF(ISNUMBER(FOLGAS!$C208),FOLGAS!$B208&amp;"","")</f>
        <v/>
      </c>
      <c r="D208" s="78" t="str">
        <f aca="false">IF(ISNUMBER(FOLGAS!$C208),FOLGAS!$C208,"")</f>
        <v/>
      </c>
      <c r="E208" s="0" t="str">
        <f aca="false">IF(ISNUMBER(FOLGAS!$C208),FOLGAS!$D208&amp;"","")</f>
        <v/>
      </c>
      <c r="F208" s="0" t="str">
        <f aca="false">IF(ISNUMBER(FOLGAS!$C208),FOLGAS!$G208&amp;"","")</f>
        <v/>
      </c>
      <c r="G208" s="0" t="str">
        <f aca="true">IF(D208="","",IF(D208=TODAY(),D208+ROW()/100000,""))</f>
        <v/>
      </c>
      <c r="H208" s="0" t="str">
        <f aca="true">IF(D208="","",IF(AND(D208&gt;TODAY(),D208&lt;=TODAY()+7),D208+ROW()/100000,""))</f>
        <v/>
      </c>
      <c r="I208" s="0" t="str">
        <f aca="false">IF(D208="","",IF(D208=CALENDÁRIO!$L$4,ROW(),""))</f>
        <v/>
      </c>
      <c r="J208" s="0" t="str">
        <f aca="false">IF(D208="","",CHOOSE(WEEKDAY(D208),"Domingo","Segunda","Terça","Quarta","Quinta","Sexta","Sábado"))</f>
        <v/>
      </c>
    </row>
    <row r="209" customFormat="false" ht="15" hidden="false" customHeight="false" outlineLevel="0" collapsed="false">
      <c r="A209" s="0" t="str">
        <f aca="false">IF(ISNUMBER(FOLGAS!$C209),"Folga","")</f>
        <v/>
      </c>
      <c r="B209" s="0" t="str">
        <f aca="false">IF(ISNUMBER(FOLGAS!$C209),FOLGAS!$A209&amp;"","")</f>
        <v/>
      </c>
      <c r="C209" s="0" t="str">
        <f aca="false">IF(ISNUMBER(FOLGAS!$C209),FOLGAS!$B209&amp;"","")</f>
        <v/>
      </c>
      <c r="D209" s="78" t="str">
        <f aca="false">IF(ISNUMBER(FOLGAS!$C209),FOLGAS!$C209,"")</f>
        <v/>
      </c>
      <c r="E209" s="0" t="str">
        <f aca="false">IF(ISNUMBER(FOLGAS!$C209),FOLGAS!$D209&amp;"","")</f>
        <v/>
      </c>
      <c r="F209" s="0" t="str">
        <f aca="false">IF(ISNUMBER(FOLGAS!$C209),FOLGAS!$G209&amp;"","")</f>
        <v/>
      </c>
      <c r="G209" s="0" t="str">
        <f aca="true">IF(D209="","",IF(D209=TODAY(),D209+ROW()/100000,""))</f>
        <v/>
      </c>
      <c r="H209" s="0" t="str">
        <f aca="true">IF(D209="","",IF(AND(D209&gt;TODAY(),D209&lt;=TODAY()+7),D209+ROW()/100000,""))</f>
        <v/>
      </c>
      <c r="I209" s="0" t="str">
        <f aca="false">IF(D209="","",IF(D209=CALENDÁRIO!$L$4,ROW(),""))</f>
        <v/>
      </c>
      <c r="J209" s="0" t="str">
        <f aca="false">IF(D209="","",CHOOSE(WEEKDAY(D209),"Domingo","Segunda","Terça","Quarta","Quinta","Sexta","Sábado"))</f>
        <v/>
      </c>
    </row>
    <row r="210" customFormat="false" ht="15" hidden="false" customHeight="false" outlineLevel="0" collapsed="false">
      <c r="A210" s="0" t="str">
        <f aca="false">IF(ISNUMBER(FOLGAS!$C210),"Folga","")</f>
        <v/>
      </c>
      <c r="B210" s="0" t="str">
        <f aca="false">IF(ISNUMBER(FOLGAS!$C210),FOLGAS!$A210&amp;"","")</f>
        <v/>
      </c>
      <c r="C210" s="0" t="str">
        <f aca="false">IF(ISNUMBER(FOLGAS!$C210),FOLGAS!$B210&amp;"","")</f>
        <v/>
      </c>
      <c r="D210" s="78" t="str">
        <f aca="false">IF(ISNUMBER(FOLGAS!$C210),FOLGAS!$C210,"")</f>
        <v/>
      </c>
      <c r="E210" s="0" t="str">
        <f aca="false">IF(ISNUMBER(FOLGAS!$C210),FOLGAS!$D210&amp;"","")</f>
        <v/>
      </c>
      <c r="F210" s="0" t="str">
        <f aca="false">IF(ISNUMBER(FOLGAS!$C210),FOLGAS!$G210&amp;"","")</f>
        <v/>
      </c>
      <c r="G210" s="0" t="str">
        <f aca="true">IF(D210="","",IF(D210=TODAY(),D210+ROW()/100000,""))</f>
        <v/>
      </c>
      <c r="H210" s="0" t="str">
        <f aca="true">IF(D210="","",IF(AND(D210&gt;TODAY(),D210&lt;=TODAY()+7),D210+ROW()/100000,""))</f>
        <v/>
      </c>
      <c r="I210" s="0" t="str">
        <f aca="false">IF(D210="","",IF(D210=CALENDÁRIO!$L$4,ROW(),""))</f>
        <v/>
      </c>
      <c r="J210" s="0" t="str">
        <f aca="false">IF(D210="","",CHOOSE(WEEKDAY(D210),"Domingo","Segunda","Terça","Quarta","Quinta","Sexta","Sábado"))</f>
        <v/>
      </c>
    </row>
    <row r="211" customFormat="false" ht="15" hidden="false" customHeight="false" outlineLevel="0" collapsed="false">
      <c r="A211" s="0" t="str">
        <f aca="false">IF(ISNUMBER(FOLGAS!$C211),"Folga","")</f>
        <v/>
      </c>
      <c r="B211" s="0" t="str">
        <f aca="false">IF(ISNUMBER(FOLGAS!$C211),FOLGAS!$A211&amp;"","")</f>
        <v/>
      </c>
      <c r="C211" s="0" t="str">
        <f aca="false">IF(ISNUMBER(FOLGAS!$C211),FOLGAS!$B211&amp;"","")</f>
        <v/>
      </c>
      <c r="D211" s="78" t="str">
        <f aca="false">IF(ISNUMBER(FOLGAS!$C211),FOLGAS!$C211,"")</f>
        <v/>
      </c>
      <c r="E211" s="0" t="str">
        <f aca="false">IF(ISNUMBER(FOLGAS!$C211),FOLGAS!$D211&amp;"","")</f>
        <v/>
      </c>
      <c r="F211" s="0" t="str">
        <f aca="false">IF(ISNUMBER(FOLGAS!$C211),FOLGAS!$G211&amp;"","")</f>
        <v/>
      </c>
      <c r="G211" s="0" t="str">
        <f aca="true">IF(D211="","",IF(D211=TODAY(),D211+ROW()/100000,""))</f>
        <v/>
      </c>
      <c r="H211" s="0" t="str">
        <f aca="true">IF(D211="","",IF(AND(D211&gt;TODAY(),D211&lt;=TODAY()+7),D211+ROW()/100000,""))</f>
        <v/>
      </c>
      <c r="I211" s="0" t="str">
        <f aca="false">IF(D211="","",IF(D211=CALENDÁRIO!$L$4,ROW(),""))</f>
        <v/>
      </c>
      <c r="J211" s="0" t="str">
        <f aca="false">IF(D211="","",CHOOSE(WEEKDAY(D211),"Domingo","Segunda","Terça","Quarta","Quinta","Sexta","Sábado"))</f>
        <v/>
      </c>
    </row>
    <row r="212" customFormat="false" ht="15" hidden="false" customHeight="false" outlineLevel="0" collapsed="false">
      <c r="A212" s="0" t="str">
        <f aca="false">IF(ISNUMBER(FOLGAS!$C212),"Folga","")</f>
        <v/>
      </c>
      <c r="B212" s="0" t="str">
        <f aca="false">IF(ISNUMBER(FOLGAS!$C212),FOLGAS!$A212&amp;"","")</f>
        <v/>
      </c>
      <c r="C212" s="0" t="str">
        <f aca="false">IF(ISNUMBER(FOLGAS!$C212),FOLGAS!$B212&amp;"","")</f>
        <v/>
      </c>
      <c r="D212" s="78" t="str">
        <f aca="false">IF(ISNUMBER(FOLGAS!$C212),FOLGAS!$C212,"")</f>
        <v/>
      </c>
      <c r="E212" s="0" t="str">
        <f aca="false">IF(ISNUMBER(FOLGAS!$C212),FOLGAS!$D212&amp;"","")</f>
        <v/>
      </c>
      <c r="F212" s="0" t="str">
        <f aca="false">IF(ISNUMBER(FOLGAS!$C212),FOLGAS!$G212&amp;"","")</f>
        <v/>
      </c>
      <c r="G212" s="0" t="str">
        <f aca="true">IF(D212="","",IF(D212=TODAY(),D212+ROW()/100000,""))</f>
        <v/>
      </c>
      <c r="H212" s="0" t="str">
        <f aca="true">IF(D212="","",IF(AND(D212&gt;TODAY(),D212&lt;=TODAY()+7),D212+ROW()/100000,""))</f>
        <v/>
      </c>
      <c r="I212" s="0" t="str">
        <f aca="false">IF(D212="","",IF(D212=CALENDÁRIO!$L$4,ROW(),""))</f>
        <v/>
      </c>
      <c r="J212" s="0" t="str">
        <f aca="false">IF(D212="","",CHOOSE(WEEKDAY(D212),"Domingo","Segunda","Terça","Quarta","Quinta","Sexta","Sábado"))</f>
        <v/>
      </c>
    </row>
    <row r="213" customFormat="false" ht="15" hidden="false" customHeight="false" outlineLevel="0" collapsed="false">
      <c r="A213" s="0" t="str">
        <f aca="false">IF(ISNUMBER(FOLGAS!$C213),"Folga","")</f>
        <v/>
      </c>
      <c r="B213" s="0" t="str">
        <f aca="false">IF(ISNUMBER(FOLGAS!$C213),FOLGAS!$A213&amp;"","")</f>
        <v/>
      </c>
      <c r="C213" s="0" t="str">
        <f aca="false">IF(ISNUMBER(FOLGAS!$C213),FOLGAS!$B213&amp;"","")</f>
        <v/>
      </c>
      <c r="D213" s="78" t="str">
        <f aca="false">IF(ISNUMBER(FOLGAS!$C213),FOLGAS!$C213,"")</f>
        <v/>
      </c>
      <c r="E213" s="0" t="str">
        <f aca="false">IF(ISNUMBER(FOLGAS!$C213),FOLGAS!$D213&amp;"","")</f>
        <v/>
      </c>
      <c r="F213" s="0" t="str">
        <f aca="false">IF(ISNUMBER(FOLGAS!$C213),FOLGAS!$G213&amp;"","")</f>
        <v/>
      </c>
      <c r="G213" s="0" t="str">
        <f aca="true">IF(D213="","",IF(D213=TODAY(),D213+ROW()/100000,""))</f>
        <v/>
      </c>
      <c r="H213" s="0" t="str">
        <f aca="true">IF(D213="","",IF(AND(D213&gt;TODAY(),D213&lt;=TODAY()+7),D213+ROW()/100000,""))</f>
        <v/>
      </c>
      <c r="I213" s="0" t="str">
        <f aca="false">IF(D213="","",IF(D213=CALENDÁRIO!$L$4,ROW(),""))</f>
        <v/>
      </c>
      <c r="J213" s="0" t="str">
        <f aca="false">IF(D213="","",CHOOSE(WEEKDAY(D213),"Domingo","Segunda","Terça","Quarta","Quinta","Sexta","Sábado"))</f>
        <v/>
      </c>
    </row>
    <row r="214" customFormat="false" ht="15" hidden="false" customHeight="false" outlineLevel="0" collapsed="false">
      <c r="A214" s="0" t="str">
        <f aca="false">IF(ISNUMBER(FOLGAS!$C214),"Folga","")</f>
        <v/>
      </c>
      <c r="B214" s="0" t="str">
        <f aca="false">IF(ISNUMBER(FOLGAS!$C214),FOLGAS!$A214&amp;"","")</f>
        <v/>
      </c>
      <c r="C214" s="0" t="str">
        <f aca="false">IF(ISNUMBER(FOLGAS!$C214),FOLGAS!$B214&amp;"","")</f>
        <v/>
      </c>
      <c r="D214" s="78" t="str">
        <f aca="false">IF(ISNUMBER(FOLGAS!$C214),FOLGAS!$C214,"")</f>
        <v/>
      </c>
      <c r="E214" s="0" t="str">
        <f aca="false">IF(ISNUMBER(FOLGAS!$C214),FOLGAS!$D214&amp;"","")</f>
        <v/>
      </c>
      <c r="F214" s="0" t="str">
        <f aca="false">IF(ISNUMBER(FOLGAS!$C214),FOLGAS!$G214&amp;"","")</f>
        <v/>
      </c>
      <c r="G214" s="0" t="str">
        <f aca="true">IF(D214="","",IF(D214=TODAY(),D214+ROW()/100000,""))</f>
        <v/>
      </c>
      <c r="H214" s="0" t="str">
        <f aca="true">IF(D214="","",IF(AND(D214&gt;TODAY(),D214&lt;=TODAY()+7),D214+ROW()/100000,""))</f>
        <v/>
      </c>
      <c r="I214" s="0" t="str">
        <f aca="false">IF(D214="","",IF(D214=CALENDÁRIO!$L$4,ROW(),""))</f>
        <v/>
      </c>
      <c r="J214" s="0" t="str">
        <f aca="false">IF(D214="","",CHOOSE(WEEKDAY(D214),"Domingo","Segunda","Terça","Quarta","Quinta","Sexta","Sábado"))</f>
        <v/>
      </c>
    </row>
    <row r="215" customFormat="false" ht="15" hidden="false" customHeight="false" outlineLevel="0" collapsed="false">
      <c r="A215" s="0" t="str">
        <f aca="false">IF(ISNUMBER(FOLGAS!$C215),"Folga","")</f>
        <v/>
      </c>
      <c r="B215" s="0" t="str">
        <f aca="false">IF(ISNUMBER(FOLGAS!$C215),FOLGAS!$A215&amp;"","")</f>
        <v/>
      </c>
      <c r="C215" s="0" t="str">
        <f aca="false">IF(ISNUMBER(FOLGAS!$C215),FOLGAS!$B215&amp;"","")</f>
        <v/>
      </c>
      <c r="D215" s="78" t="str">
        <f aca="false">IF(ISNUMBER(FOLGAS!$C215),FOLGAS!$C215,"")</f>
        <v/>
      </c>
      <c r="E215" s="0" t="str">
        <f aca="false">IF(ISNUMBER(FOLGAS!$C215),FOLGAS!$D215&amp;"","")</f>
        <v/>
      </c>
      <c r="F215" s="0" t="str">
        <f aca="false">IF(ISNUMBER(FOLGAS!$C215),FOLGAS!$G215&amp;"","")</f>
        <v/>
      </c>
      <c r="G215" s="0" t="str">
        <f aca="true">IF(D215="","",IF(D215=TODAY(),D215+ROW()/100000,""))</f>
        <v/>
      </c>
      <c r="H215" s="0" t="str">
        <f aca="true">IF(D215="","",IF(AND(D215&gt;TODAY(),D215&lt;=TODAY()+7),D215+ROW()/100000,""))</f>
        <v/>
      </c>
      <c r="I215" s="0" t="str">
        <f aca="false">IF(D215="","",IF(D215=CALENDÁRIO!$L$4,ROW(),""))</f>
        <v/>
      </c>
      <c r="J215" s="0" t="str">
        <f aca="false">IF(D215="","",CHOOSE(WEEKDAY(D215),"Domingo","Segunda","Terça","Quarta","Quinta","Sexta","Sábado"))</f>
        <v/>
      </c>
    </row>
    <row r="216" customFormat="false" ht="15" hidden="false" customHeight="false" outlineLevel="0" collapsed="false">
      <c r="A216" s="0" t="str">
        <f aca="false">IF(ISNUMBER(FOLGAS!$C216),"Folga","")</f>
        <v/>
      </c>
      <c r="B216" s="0" t="str">
        <f aca="false">IF(ISNUMBER(FOLGAS!$C216),FOLGAS!$A216&amp;"","")</f>
        <v/>
      </c>
      <c r="C216" s="0" t="str">
        <f aca="false">IF(ISNUMBER(FOLGAS!$C216),FOLGAS!$B216&amp;"","")</f>
        <v/>
      </c>
      <c r="D216" s="78" t="str">
        <f aca="false">IF(ISNUMBER(FOLGAS!$C216),FOLGAS!$C216,"")</f>
        <v/>
      </c>
      <c r="E216" s="0" t="str">
        <f aca="false">IF(ISNUMBER(FOLGAS!$C216),FOLGAS!$D216&amp;"","")</f>
        <v/>
      </c>
      <c r="F216" s="0" t="str">
        <f aca="false">IF(ISNUMBER(FOLGAS!$C216),FOLGAS!$G216&amp;"","")</f>
        <v/>
      </c>
      <c r="G216" s="0" t="str">
        <f aca="true">IF(D216="","",IF(D216=TODAY(),D216+ROW()/100000,""))</f>
        <v/>
      </c>
      <c r="H216" s="0" t="str">
        <f aca="true">IF(D216="","",IF(AND(D216&gt;TODAY(),D216&lt;=TODAY()+7),D216+ROW()/100000,""))</f>
        <v/>
      </c>
      <c r="I216" s="0" t="str">
        <f aca="false">IF(D216="","",IF(D216=CALENDÁRIO!$L$4,ROW(),""))</f>
        <v/>
      </c>
      <c r="J216" s="0" t="str">
        <f aca="false">IF(D216="","",CHOOSE(WEEKDAY(D216),"Domingo","Segunda","Terça","Quarta","Quinta","Sexta","Sábado"))</f>
        <v/>
      </c>
    </row>
    <row r="217" customFormat="false" ht="15" hidden="false" customHeight="false" outlineLevel="0" collapsed="false">
      <c r="A217" s="0" t="str">
        <f aca="false">IF(ISNUMBER(FOLGAS!$C217),"Folga","")</f>
        <v/>
      </c>
      <c r="B217" s="0" t="str">
        <f aca="false">IF(ISNUMBER(FOLGAS!$C217),FOLGAS!$A217&amp;"","")</f>
        <v/>
      </c>
      <c r="C217" s="0" t="str">
        <f aca="false">IF(ISNUMBER(FOLGAS!$C217),FOLGAS!$B217&amp;"","")</f>
        <v/>
      </c>
      <c r="D217" s="78" t="str">
        <f aca="false">IF(ISNUMBER(FOLGAS!$C217),FOLGAS!$C217,"")</f>
        <v/>
      </c>
      <c r="E217" s="0" t="str">
        <f aca="false">IF(ISNUMBER(FOLGAS!$C217),FOLGAS!$D217&amp;"","")</f>
        <v/>
      </c>
      <c r="F217" s="0" t="str">
        <f aca="false">IF(ISNUMBER(FOLGAS!$C217),FOLGAS!$G217&amp;"","")</f>
        <v/>
      </c>
      <c r="G217" s="0" t="str">
        <f aca="true">IF(D217="","",IF(D217=TODAY(),D217+ROW()/100000,""))</f>
        <v/>
      </c>
      <c r="H217" s="0" t="str">
        <f aca="true">IF(D217="","",IF(AND(D217&gt;TODAY(),D217&lt;=TODAY()+7),D217+ROW()/100000,""))</f>
        <v/>
      </c>
      <c r="I217" s="0" t="str">
        <f aca="false">IF(D217="","",IF(D217=CALENDÁRIO!$L$4,ROW(),""))</f>
        <v/>
      </c>
      <c r="J217" s="0" t="str">
        <f aca="false">IF(D217="","",CHOOSE(WEEKDAY(D217),"Domingo","Segunda","Terça","Quarta","Quinta","Sexta","Sábado"))</f>
        <v/>
      </c>
    </row>
    <row r="218" customFormat="false" ht="15" hidden="false" customHeight="false" outlineLevel="0" collapsed="false">
      <c r="A218" s="0" t="str">
        <f aca="false">IF(ISNUMBER(FOLGAS!$C218),"Folga","")</f>
        <v/>
      </c>
      <c r="B218" s="0" t="str">
        <f aca="false">IF(ISNUMBER(FOLGAS!$C218),FOLGAS!$A218&amp;"","")</f>
        <v/>
      </c>
      <c r="C218" s="0" t="str">
        <f aca="false">IF(ISNUMBER(FOLGAS!$C218),FOLGAS!$B218&amp;"","")</f>
        <v/>
      </c>
      <c r="D218" s="78" t="str">
        <f aca="false">IF(ISNUMBER(FOLGAS!$C218),FOLGAS!$C218,"")</f>
        <v/>
      </c>
      <c r="E218" s="0" t="str">
        <f aca="false">IF(ISNUMBER(FOLGAS!$C218),FOLGAS!$D218&amp;"","")</f>
        <v/>
      </c>
      <c r="F218" s="0" t="str">
        <f aca="false">IF(ISNUMBER(FOLGAS!$C218),FOLGAS!$G218&amp;"","")</f>
        <v/>
      </c>
      <c r="G218" s="0" t="str">
        <f aca="true">IF(D218="","",IF(D218=TODAY(),D218+ROW()/100000,""))</f>
        <v/>
      </c>
      <c r="H218" s="0" t="str">
        <f aca="true">IF(D218="","",IF(AND(D218&gt;TODAY(),D218&lt;=TODAY()+7),D218+ROW()/100000,""))</f>
        <v/>
      </c>
      <c r="I218" s="0" t="str">
        <f aca="false">IF(D218="","",IF(D218=CALENDÁRIO!$L$4,ROW(),""))</f>
        <v/>
      </c>
      <c r="J218" s="0" t="str">
        <f aca="false">IF(D218="","",CHOOSE(WEEKDAY(D218),"Domingo","Segunda","Terça","Quarta","Quinta","Sexta","Sábado"))</f>
        <v/>
      </c>
    </row>
    <row r="219" customFormat="false" ht="15" hidden="false" customHeight="false" outlineLevel="0" collapsed="false">
      <c r="A219" s="0" t="str">
        <f aca="false">IF(ISNUMBER(FOLGAS!$C219),"Folga","")</f>
        <v/>
      </c>
      <c r="B219" s="0" t="str">
        <f aca="false">IF(ISNUMBER(FOLGAS!$C219),FOLGAS!$A219&amp;"","")</f>
        <v/>
      </c>
      <c r="C219" s="0" t="str">
        <f aca="false">IF(ISNUMBER(FOLGAS!$C219),FOLGAS!$B219&amp;"","")</f>
        <v/>
      </c>
      <c r="D219" s="78" t="str">
        <f aca="false">IF(ISNUMBER(FOLGAS!$C219),FOLGAS!$C219,"")</f>
        <v/>
      </c>
      <c r="E219" s="0" t="str">
        <f aca="false">IF(ISNUMBER(FOLGAS!$C219),FOLGAS!$D219&amp;"","")</f>
        <v/>
      </c>
      <c r="F219" s="0" t="str">
        <f aca="false">IF(ISNUMBER(FOLGAS!$C219),FOLGAS!$G219&amp;"","")</f>
        <v/>
      </c>
      <c r="G219" s="0" t="str">
        <f aca="true">IF(D219="","",IF(D219=TODAY(),D219+ROW()/100000,""))</f>
        <v/>
      </c>
      <c r="H219" s="0" t="str">
        <f aca="true">IF(D219="","",IF(AND(D219&gt;TODAY(),D219&lt;=TODAY()+7),D219+ROW()/100000,""))</f>
        <v/>
      </c>
      <c r="I219" s="0" t="str">
        <f aca="false">IF(D219="","",IF(D219=CALENDÁRIO!$L$4,ROW(),""))</f>
        <v/>
      </c>
      <c r="J219" s="0" t="str">
        <f aca="false">IF(D219="","",CHOOSE(WEEKDAY(D219),"Domingo","Segunda","Terça","Quarta","Quinta","Sexta","Sábado"))</f>
        <v/>
      </c>
    </row>
    <row r="220" customFormat="false" ht="15" hidden="false" customHeight="false" outlineLevel="0" collapsed="false">
      <c r="A220" s="0" t="str">
        <f aca="false">IF(ISNUMBER(FOLGAS!$C220),"Folga","")</f>
        <v/>
      </c>
      <c r="B220" s="0" t="str">
        <f aca="false">IF(ISNUMBER(FOLGAS!$C220),FOLGAS!$A220&amp;"","")</f>
        <v/>
      </c>
      <c r="C220" s="0" t="str">
        <f aca="false">IF(ISNUMBER(FOLGAS!$C220),FOLGAS!$B220&amp;"","")</f>
        <v/>
      </c>
      <c r="D220" s="78" t="str">
        <f aca="false">IF(ISNUMBER(FOLGAS!$C220),FOLGAS!$C220,"")</f>
        <v/>
      </c>
      <c r="E220" s="0" t="str">
        <f aca="false">IF(ISNUMBER(FOLGAS!$C220),FOLGAS!$D220&amp;"","")</f>
        <v/>
      </c>
      <c r="F220" s="0" t="str">
        <f aca="false">IF(ISNUMBER(FOLGAS!$C220),FOLGAS!$G220&amp;"","")</f>
        <v/>
      </c>
      <c r="G220" s="0" t="str">
        <f aca="true">IF(D220="","",IF(D220=TODAY(),D220+ROW()/100000,""))</f>
        <v/>
      </c>
      <c r="H220" s="0" t="str">
        <f aca="true">IF(D220="","",IF(AND(D220&gt;TODAY(),D220&lt;=TODAY()+7),D220+ROW()/100000,""))</f>
        <v/>
      </c>
      <c r="I220" s="0" t="str">
        <f aca="false">IF(D220="","",IF(D220=CALENDÁRIO!$L$4,ROW(),""))</f>
        <v/>
      </c>
      <c r="J220" s="0" t="str">
        <f aca="false">IF(D220="","",CHOOSE(WEEKDAY(D220),"Domingo","Segunda","Terça","Quarta","Quinta","Sexta","Sábado"))</f>
        <v/>
      </c>
    </row>
    <row r="221" customFormat="false" ht="15" hidden="false" customHeight="false" outlineLevel="0" collapsed="false">
      <c r="A221" s="0" t="str">
        <f aca="false">IF(ISNUMBER(FOLGAS!$C221),"Folga","")</f>
        <v/>
      </c>
      <c r="B221" s="0" t="str">
        <f aca="false">IF(ISNUMBER(FOLGAS!$C221),FOLGAS!$A221&amp;"","")</f>
        <v/>
      </c>
      <c r="C221" s="0" t="str">
        <f aca="false">IF(ISNUMBER(FOLGAS!$C221),FOLGAS!$B221&amp;"","")</f>
        <v/>
      </c>
      <c r="D221" s="78" t="str">
        <f aca="false">IF(ISNUMBER(FOLGAS!$C221),FOLGAS!$C221,"")</f>
        <v/>
      </c>
      <c r="E221" s="0" t="str">
        <f aca="false">IF(ISNUMBER(FOLGAS!$C221),FOLGAS!$D221&amp;"","")</f>
        <v/>
      </c>
      <c r="F221" s="0" t="str">
        <f aca="false">IF(ISNUMBER(FOLGAS!$C221),FOLGAS!$G221&amp;"","")</f>
        <v/>
      </c>
      <c r="G221" s="0" t="str">
        <f aca="true">IF(D221="","",IF(D221=TODAY(),D221+ROW()/100000,""))</f>
        <v/>
      </c>
      <c r="H221" s="0" t="str">
        <f aca="true">IF(D221="","",IF(AND(D221&gt;TODAY(),D221&lt;=TODAY()+7),D221+ROW()/100000,""))</f>
        <v/>
      </c>
      <c r="I221" s="0" t="str">
        <f aca="false">IF(D221="","",IF(D221=CALENDÁRIO!$L$4,ROW(),""))</f>
        <v/>
      </c>
      <c r="J221" s="0" t="str">
        <f aca="false">IF(D221="","",CHOOSE(WEEKDAY(D221),"Domingo","Segunda","Terça","Quarta","Quinta","Sexta","Sábado"))</f>
        <v/>
      </c>
    </row>
    <row r="222" customFormat="false" ht="15" hidden="false" customHeight="false" outlineLevel="0" collapsed="false">
      <c r="A222" s="0" t="str">
        <f aca="false">IF(ISNUMBER(FOLGAS!$C222),"Folga","")</f>
        <v/>
      </c>
      <c r="B222" s="0" t="str">
        <f aca="false">IF(ISNUMBER(FOLGAS!$C222),FOLGAS!$A222&amp;"","")</f>
        <v/>
      </c>
      <c r="C222" s="0" t="str">
        <f aca="false">IF(ISNUMBER(FOLGAS!$C222),FOLGAS!$B222&amp;"","")</f>
        <v/>
      </c>
      <c r="D222" s="78" t="str">
        <f aca="false">IF(ISNUMBER(FOLGAS!$C222),FOLGAS!$C222,"")</f>
        <v/>
      </c>
      <c r="E222" s="0" t="str">
        <f aca="false">IF(ISNUMBER(FOLGAS!$C222),FOLGAS!$D222&amp;"","")</f>
        <v/>
      </c>
      <c r="F222" s="0" t="str">
        <f aca="false">IF(ISNUMBER(FOLGAS!$C222),FOLGAS!$G222&amp;"","")</f>
        <v/>
      </c>
      <c r="G222" s="0" t="str">
        <f aca="true">IF(D222="","",IF(D222=TODAY(),D222+ROW()/100000,""))</f>
        <v/>
      </c>
      <c r="H222" s="0" t="str">
        <f aca="true">IF(D222="","",IF(AND(D222&gt;TODAY(),D222&lt;=TODAY()+7),D222+ROW()/100000,""))</f>
        <v/>
      </c>
      <c r="I222" s="0" t="str">
        <f aca="false">IF(D222="","",IF(D222=CALENDÁRIO!$L$4,ROW(),""))</f>
        <v/>
      </c>
      <c r="J222" s="0" t="str">
        <f aca="false">IF(D222="","",CHOOSE(WEEKDAY(D222),"Domingo","Segunda","Terça","Quarta","Quinta","Sexta","Sábado"))</f>
        <v/>
      </c>
    </row>
    <row r="223" customFormat="false" ht="15" hidden="false" customHeight="false" outlineLevel="0" collapsed="false">
      <c r="A223" s="0" t="str">
        <f aca="false">IF(ISNUMBER(FOLGAS!$C223),"Folga","")</f>
        <v/>
      </c>
      <c r="B223" s="0" t="str">
        <f aca="false">IF(ISNUMBER(FOLGAS!$C223),FOLGAS!$A223&amp;"","")</f>
        <v/>
      </c>
      <c r="C223" s="0" t="str">
        <f aca="false">IF(ISNUMBER(FOLGAS!$C223),FOLGAS!$B223&amp;"","")</f>
        <v/>
      </c>
      <c r="D223" s="78" t="str">
        <f aca="false">IF(ISNUMBER(FOLGAS!$C223),FOLGAS!$C223,"")</f>
        <v/>
      </c>
      <c r="E223" s="0" t="str">
        <f aca="false">IF(ISNUMBER(FOLGAS!$C223),FOLGAS!$D223&amp;"","")</f>
        <v/>
      </c>
      <c r="F223" s="0" t="str">
        <f aca="false">IF(ISNUMBER(FOLGAS!$C223),FOLGAS!$G223&amp;"","")</f>
        <v/>
      </c>
      <c r="G223" s="0" t="str">
        <f aca="true">IF(D223="","",IF(D223=TODAY(),D223+ROW()/100000,""))</f>
        <v/>
      </c>
      <c r="H223" s="0" t="str">
        <f aca="true">IF(D223="","",IF(AND(D223&gt;TODAY(),D223&lt;=TODAY()+7),D223+ROW()/100000,""))</f>
        <v/>
      </c>
      <c r="I223" s="0" t="str">
        <f aca="false">IF(D223="","",IF(D223=CALENDÁRIO!$L$4,ROW(),""))</f>
        <v/>
      </c>
      <c r="J223" s="0" t="str">
        <f aca="false">IF(D223="","",CHOOSE(WEEKDAY(D223),"Domingo","Segunda","Terça","Quarta","Quinta","Sexta","Sábado"))</f>
        <v/>
      </c>
    </row>
    <row r="224" customFormat="false" ht="15" hidden="false" customHeight="false" outlineLevel="0" collapsed="false">
      <c r="A224" s="0" t="str">
        <f aca="false">IF(ISNUMBER(FOLGAS!$C224),"Folga","")</f>
        <v/>
      </c>
      <c r="B224" s="0" t="str">
        <f aca="false">IF(ISNUMBER(FOLGAS!$C224),FOLGAS!$A224&amp;"","")</f>
        <v/>
      </c>
      <c r="C224" s="0" t="str">
        <f aca="false">IF(ISNUMBER(FOLGAS!$C224),FOLGAS!$B224&amp;"","")</f>
        <v/>
      </c>
      <c r="D224" s="78" t="str">
        <f aca="false">IF(ISNUMBER(FOLGAS!$C224),FOLGAS!$C224,"")</f>
        <v/>
      </c>
      <c r="E224" s="0" t="str">
        <f aca="false">IF(ISNUMBER(FOLGAS!$C224),FOLGAS!$D224&amp;"","")</f>
        <v/>
      </c>
      <c r="F224" s="0" t="str">
        <f aca="false">IF(ISNUMBER(FOLGAS!$C224),FOLGAS!$G224&amp;"","")</f>
        <v/>
      </c>
      <c r="G224" s="0" t="str">
        <f aca="true">IF(D224="","",IF(D224=TODAY(),D224+ROW()/100000,""))</f>
        <v/>
      </c>
      <c r="H224" s="0" t="str">
        <f aca="true">IF(D224="","",IF(AND(D224&gt;TODAY(),D224&lt;=TODAY()+7),D224+ROW()/100000,""))</f>
        <v/>
      </c>
      <c r="I224" s="0" t="str">
        <f aca="false">IF(D224="","",IF(D224=CALENDÁRIO!$L$4,ROW(),""))</f>
        <v/>
      </c>
      <c r="J224" s="0" t="str">
        <f aca="false">IF(D224="","",CHOOSE(WEEKDAY(D224),"Domingo","Segunda","Terça","Quarta","Quinta","Sexta","Sábado"))</f>
        <v/>
      </c>
    </row>
    <row r="225" customFormat="false" ht="15" hidden="false" customHeight="false" outlineLevel="0" collapsed="false">
      <c r="A225" s="0" t="str">
        <f aca="false">IF(ISNUMBER(FOLGAS!$C225),"Folga","")</f>
        <v/>
      </c>
      <c r="B225" s="0" t="str">
        <f aca="false">IF(ISNUMBER(FOLGAS!$C225),FOLGAS!$A225&amp;"","")</f>
        <v/>
      </c>
      <c r="C225" s="0" t="str">
        <f aca="false">IF(ISNUMBER(FOLGAS!$C225),FOLGAS!$B225&amp;"","")</f>
        <v/>
      </c>
      <c r="D225" s="78" t="str">
        <f aca="false">IF(ISNUMBER(FOLGAS!$C225),FOLGAS!$C225,"")</f>
        <v/>
      </c>
      <c r="E225" s="0" t="str">
        <f aca="false">IF(ISNUMBER(FOLGAS!$C225),FOLGAS!$D225&amp;"","")</f>
        <v/>
      </c>
      <c r="F225" s="0" t="str">
        <f aca="false">IF(ISNUMBER(FOLGAS!$C225),FOLGAS!$G225&amp;"","")</f>
        <v/>
      </c>
      <c r="G225" s="0" t="str">
        <f aca="true">IF(D225="","",IF(D225=TODAY(),D225+ROW()/100000,""))</f>
        <v/>
      </c>
      <c r="H225" s="0" t="str">
        <f aca="true">IF(D225="","",IF(AND(D225&gt;TODAY(),D225&lt;=TODAY()+7),D225+ROW()/100000,""))</f>
        <v/>
      </c>
      <c r="I225" s="0" t="str">
        <f aca="false">IF(D225="","",IF(D225=CALENDÁRIO!$L$4,ROW(),""))</f>
        <v/>
      </c>
      <c r="J225" s="0" t="str">
        <f aca="false">IF(D225="","",CHOOSE(WEEKDAY(D225),"Domingo","Segunda","Terça","Quarta","Quinta","Sexta","Sábado"))</f>
        <v/>
      </c>
    </row>
    <row r="226" customFormat="false" ht="15" hidden="false" customHeight="false" outlineLevel="0" collapsed="false">
      <c r="A226" s="0" t="str">
        <f aca="false">IF(ISNUMBER(FOLGAS!$C226),"Folga","")</f>
        <v/>
      </c>
      <c r="B226" s="0" t="str">
        <f aca="false">IF(ISNUMBER(FOLGAS!$C226),FOLGAS!$A226&amp;"","")</f>
        <v/>
      </c>
      <c r="C226" s="0" t="str">
        <f aca="false">IF(ISNUMBER(FOLGAS!$C226),FOLGAS!$B226&amp;"","")</f>
        <v/>
      </c>
      <c r="D226" s="78" t="str">
        <f aca="false">IF(ISNUMBER(FOLGAS!$C226),FOLGAS!$C226,"")</f>
        <v/>
      </c>
      <c r="E226" s="0" t="str">
        <f aca="false">IF(ISNUMBER(FOLGAS!$C226),FOLGAS!$D226&amp;"","")</f>
        <v/>
      </c>
      <c r="F226" s="0" t="str">
        <f aca="false">IF(ISNUMBER(FOLGAS!$C226),FOLGAS!$G226&amp;"","")</f>
        <v/>
      </c>
      <c r="G226" s="0" t="str">
        <f aca="true">IF(D226="","",IF(D226=TODAY(),D226+ROW()/100000,""))</f>
        <v/>
      </c>
      <c r="H226" s="0" t="str">
        <f aca="true">IF(D226="","",IF(AND(D226&gt;TODAY(),D226&lt;=TODAY()+7),D226+ROW()/100000,""))</f>
        <v/>
      </c>
      <c r="I226" s="0" t="str">
        <f aca="false">IF(D226="","",IF(D226=CALENDÁRIO!$L$4,ROW(),""))</f>
        <v/>
      </c>
      <c r="J226" s="0" t="str">
        <f aca="false">IF(D226="","",CHOOSE(WEEKDAY(D226),"Domingo","Segunda","Terça","Quarta","Quinta","Sexta","Sábado"))</f>
        <v/>
      </c>
    </row>
    <row r="227" customFormat="false" ht="15" hidden="false" customHeight="false" outlineLevel="0" collapsed="false">
      <c r="A227" s="0" t="str">
        <f aca="false">IF(ISNUMBER(FOLGAS!$C227),"Folga","")</f>
        <v/>
      </c>
      <c r="B227" s="0" t="str">
        <f aca="false">IF(ISNUMBER(FOLGAS!$C227),FOLGAS!$A227&amp;"","")</f>
        <v/>
      </c>
      <c r="C227" s="0" t="str">
        <f aca="false">IF(ISNUMBER(FOLGAS!$C227),FOLGAS!$B227&amp;"","")</f>
        <v/>
      </c>
      <c r="D227" s="78" t="str">
        <f aca="false">IF(ISNUMBER(FOLGAS!$C227),FOLGAS!$C227,"")</f>
        <v/>
      </c>
      <c r="E227" s="0" t="str">
        <f aca="false">IF(ISNUMBER(FOLGAS!$C227),FOLGAS!$D227&amp;"","")</f>
        <v/>
      </c>
      <c r="F227" s="0" t="str">
        <f aca="false">IF(ISNUMBER(FOLGAS!$C227),FOLGAS!$G227&amp;"","")</f>
        <v/>
      </c>
      <c r="G227" s="0" t="str">
        <f aca="true">IF(D227="","",IF(D227=TODAY(),D227+ROW()/100000,""))</f>
        <v/>
      </c>
      <c r="H227" s="0" t="str">
        <f aca="true">IF(D227="","",IF(AND(D227&gt;TODAY(),D227&lt;=TODAY()+7),D227+ROW()/100000,""))</f>
        <v/>
      </c>
      <c r="I227" s="0" t="str">
        <f aca="false">IF(D227="","",IF(D227=CALENDÁRIO!$L$4,ROW(),""))</f>
        <v/>
      </c>
      <c r="J227" s="0" t="str">
        <f aca="false">IF(D227="","",CHOOSE(WEEKDAY(D227),"Domingo","Segunda","Terça","Quarta","Quinta","Sexta","Sábado"))</f>
        <v/>
      </c>
    </row>
    <row r="228" customFormat="false" ht="15" hidden="false" customHeight="false" outlineLevel="0" collapsed="false">
      <c r="A228" s="0" t="str">
        <f aca="false">IF(ISNUMBER(FOLGAS!$C228),"Folga","")</f>
        <v/>
      </c>
      <c r="B228" s="0" t="str">
        <f aca="false">IF(ISNUMBER(FOLGAS!$C228),FOLGAS!$A228&amp;"","")</f>
        <v/>
      </c>
      <c r="C228" s="0" t="str">
        <f aca="false">IF(ISNUMBER(FOLGAS!$C228),FOLGAS!$B228&amp;"","")</f>
        <v/>
      </c>
      <c r="D228" s="78" t="str">
        <f aca="false">IF(ISNUMBER(FOLGAS!$C228),FOLGAS!$C228,"")</f>
        <v/>
      </c>
      <c r="E228" s="0" t="str">
        <f aca="false">IF(ISNUMBER(FOLGAS!$C228),FOLGAS!$D228&amp;"","")</f>
        <v/>
      </c>
      <c r="F228" s="0" t="str">
        <f aca="false">IF(ISNUMBER(FOLGAS!$C228),FOLGAS!$G228&amp;"","")</f>
        <v/>
      </c>
      <c r="G228" s="0" t="str">
        <f aca="true">IF(D228="","",IF(D228=TODAY(),D228+ROW()/100000,""))</f>
        <v/>
      </c>
      <c r="H228" s="0" t="str">
        <f aca="true">IF(D228="","",IF(AND(D228&gt;TODAY(),D228&lt;=TODAY()+7),D228+ROW()/100000,""))</f>
        <v/>
      </c>
      <c r="I228" s="0" t="str">
        <f aca="false">IF(D228="","",IF(D228=CALENDÁRIO!$L$4,ROW(),""))</f>
        <v/>
      </c>
      <c r="J228" s="0" t="str">
        <f aca="false">IF(D228="","",CHOOSE(WEEKDAY(D228),"Domingo","Segunda","Terça","Quarta","Quinta","Sexta","Sábado"))</f>
        <v/>
      </c>
    </row>
    <row r="229" customFormat="false" ht="15" hidden="false" customHeight="false" outlineLevel="0" collapsed="false">
      <c r="A229" s="0" t="str">
        <f aca="false">IF(ISNUMBER(FOLGAS!$C229),"Folga","")</f>
        <v/>
      </c>
      <c r="B229" s="0" t="str">
        <f aca="false">IF(ISNUMBER(FOLGAS!$C229),FOLGAS!$A229&amp;"","")</f>
        <v/>
      </c>
      <c r="C229" s="0" t="str">
        <f aca="false">IF(ISNUMBER(FOLGAS!$C229),FOLGAS!$B229&amp;"","")</f>
        <v/>
      </c>
      <c r="D229" s="78" t="str">
        <f aca="false">IF(ISNUMBER(FOLGAS!$C229),FOLGAS!$C229,"")</f>
        <v/>
      </c>
      <c r="E229" s="0" t="str">
        <f aca="false">IF(ISNUMBER(FOLGAS!$C229),FOLGAS!$D229&amp;"","")</f>
        <v/>
      </c>
      <c r="F229" s="0" t="str">
        <f aca="false">IF(ISNUMBER(FOLGAS!$C229),FOLGAS!$G229&amp;"","")</f>
        <v/>
      </c>
      <c r="G229" s="0" t="str">
        <f aca="true">IF(D229="","",IF(D229=TODAY(),D229+ROW()/100000,""))</f>
        <v/>
      </c>
      <c r="H229" s="0" t="str">
        <f aca="true">IF(D229="","",IF(AND(D229&gt;TODAY(),D229&lt;=TODAY()+7),D229+ROW()/100000,""))</f>
        <v/>
      </c>
      <c r="I229" s="0" t="str">
        <f aca="false">IF(D229="","",IF(D229=CALENDÁRIO!$L$4,ROW(),""))</f>
        <v/>
      </c>
      <c r="J229" s="0" t="str">
        <f aca="false">IF(D229="","",CHOOSE(WEEKDAY(D229),"Domingo","Segunda","Terça","Quarta","Quinta","Sexta","Sábado"))</f>
        <v/>
      </c>
    </row>
    <row r="230" customFormat="false" ht="15" hidden="false" customHeight="false" outlineLevel="0" collapsed="false">
      <c r="A230" s="0" t="str">
        <f aca="false">IF(ISNUMBER(FOLGAS!$C230),"Folga","")</f>
        <v/>
      </c>
      <c r="B230" s="0" t="str">
        <f aca="false">IF(ISNUMBER(FOLGAS!$C230),FOLGAS!$A230&amp;"","")</f>
        <v/>
      </c>
      <c r="C230" s="0" t="str">
        <f aca="false">IF(ISNUMBER(FOLGAS!$C230),FOLGAS!$B230&amp;"","")</f>
        <v/>
      </c>
      <c r="D230" s="78" t="str">
        <f aca="false">IF(ISNUMBER(FOLGAS!$C230),FOLGAS!$C230,"")</f>
        <v/>
      </c>
      <c r="E230" s="0" t="str">
        <f aca="false">IF(ISNUMBER(FOLGAS!$C230),FOLGAS!$D230&amp;"","")</f>
        <v/>
      </c>
      <c r="F230" s="0" t="str">
        <f aca="false">IF(ISNUMBER(FOLGAS!$C230),FOLGAS!$G230&amp;"","")</f>
        <v/>
      </c>
      <c r="G230" s="0" t="str">
        <f aca="true">IF(D230="","",IF(D230=TODAY(),D230+ROW()/100000,""))</f>
        <v/>
      </c>
      <c r="H230" s="0" t="str">
        <f aca="true">IF(D230="","",IF(AND(D230&gt;TODAY(),D230&lt;=TODAY()+7),D230+ROW()/100000,""))</f>
        <v/>
      </c>
      <c r="I230" s="0" t="str">
        <f aca="false">IF(D230="","",IF(D230=CALENDÁRIO!$L$4,ROW(),""))</f>
        <v/>
      </c>
      <c r="J230" s="0" t="str">
        <f aca="false">IF(D230="","",CHOOSE(WEEKDAY(D230),"Domingo","Segunda","Terça","Quarta","Quinta","Sexta","Sábado"))</f>
        <v/>
      </c>
    </row>
    <row r="231" customFormat="false" ht="15" hidden="false" customHeight="false" outlineLevel="0" collapsed="false">
      <c r="A231" s="0" t="str">
        <f aca="false">IF(ISNUMBER(FOLGAS!$C231),"Folga","")</f>
        <v/>
      </c>
      <c r="B231" s="0" t="str">
        <f aca="false">IF(ISNUMBER(FOLGAS!$C231),FOLGAS!$A231&amp;"","")</f>
        <v/>
      </c>
      <c r="C231" s="0" t="str">
        <f aca="false">IF(ISNUMBER(FOLGAS!$C231),FOLGAS!$B231&amp;"","")</f>
        <v/>
      </c>
      <c r="D231" s="78" t="str">
        <f aca="false">IF(ISNUMBER(FOLGAS!$C231),FOLGAS!$C231,"")</f>
        <v/>
      </c>
      <c r="E231" s="0" t="str">
        <f aca="false">IF(ISNUMBER(FOLGAS!$C231),FOLGAS!$D231&amp;"","")</f>
        <v/>
      </c>
      <c r="F231" s="0" t="str">
        <f aca="false">IF(ISNUMBER(FOLGAS!$C231),FOLGAS!$G231&amp;"","")</f>
        <v/>
      </c>
      <c r="G231" s="0" t="str">
        <f aca="true">IF(D231="","",IF(D231=TODAY(),D231+ROW()/100000,""))</f>
        <v/>
      </c>
      <c r="H231" s="0" t="str">
        <f aca="true">IF(D231="","",IF(AND(D231&gt;TODAY(),D231&lt;=TODAY()+7),D231+ROW()/100000,""))</f>
        <v/>
      </c>
      <c r="I231" s="0" t="str">
        <f aca="false">IF(D231="","",IF(D231=CALENDÁRIO!$L$4,ROW(),""))</f>
        <v/>
      </c>
      <c r="J231" s="0" t="str">
        <f aca="false">IF(D231="","",CHOOSE(WEEKDAY(D231),"Domingo","Segunda","Terça","Quarta","Quinta","Sexta","Sábado"))</f>
        <v/>
      </c>
    </row>
    <row r="232" customFormat="false" ht="15" hidden="false" customHeight="false" outlineLevel="0" collapsed="false">
      <c r="A232" s="0" t="str">
        <f aca="false">IF(ISNUMBER(FOLGAS!$C232),"Folga","")</f>
        <v/>
      </c>
      <c r="B232" s="0" t="str">
        <f aca="false">IF(ISNUMBER(FOLGAS!$C232),FOLGAS!$A232&amp;"","")</f>
        <v/>
      </c>
      <c r="C232" s="0" t="str">
        <f aca="false">IF(ISNUMBER(FOLGAS!$C232),FOLGAS!$B232&amp;"","")</f>
        <v/>
      </c>
      <c r="D232" s="78" t="str">
        <f aca="false">IF(ISNUMBER(FOLGAS!$C232),FOLGAS!$C232,"")</f>
        <v/>
      </c>
      <c r="E232" s="0" t="str">
        <f aca="false">IF(ISNUMBER(FOLGAS!$C232),FOLGAS!$D232&amp;"","")</f>
        <v/>
      </c>
      <c r="F232" s="0" t="str">
        <f aca="false">IF(ISNUMBER(FOLGAS!$C232),FOLGAS!$G232&amp;"","")</f>
        <v/>
      </c>
      <c r="G232" s="0" t="str">
        <f aca="true">IF(D232="","",IF(D232=TODAY(),D232+ROW()/100000,""))</f>
        <v/>
      </c>
      <c r="H232" s="0" t="str">
        <f aca="true">IF(D232="","",IF(AND(D232&gt;TODAY(),D232&lt;=TODAY()+7),D232+ROW()/100000,""))</f>
        <v/>
      </c>
      <c r="I232" s="0" t="str">
        <f aca="false">IF(D232="","",IF(D232=CALENDÁRIO!$L$4,ROW(),""))</f>
        <v/>
      </c>
      <c r="J232" s="0" t="str">
        <f aca="false">IF(D232="","",CHOOSE(WEEKDAY(D232),"Domingo","Segunda","Terça","Quarta","Quinta","Sexta","Sábado"))</f>
        <v/>
      </c>
    </row>
    <row r="233" customFormat="false" ht="15" hidden="false" customHeight="false" outlineLevel="0" collapsed="false">
      <c r="A233" s="0" t="str">
        <f aca="false">IF(ISNUMBER(FOLGAS!$C233),"Folga","")</f>
        <v/>
      </c>
      <c r="B233" s="0" t="str">
        <f aca="false">IF(ISNUMBER(FOLGAS!$C233),FOLGAS!$A233&amp;"","")</f>
        <v/>
      </c>
      <c r="C233" s="0" t="str">
        <f aca="false">IF(ISNUMBER(FOLGAS!$C233),FOLGAS!$B233&amp;"","")</f>
        <v/>
      </c>
      <c r="D233" s="78" t="str">
        <f aca="false">IF(ISNUMBER(FOLGAS!$C233),FOLGAS!$C233,"")</f>
        <v/>
      </c>
      <c r="E233" s="0" t="str">
        <f aca="false">IF(ISNUMBER(FOLGAS!$C233),FOLGAS!$D233&amp;"","")</f>
        <v/>
      </c>
      <c r="F233" s="0" t="str">
        <f aca="false">IF(ISNUMBER(FOLGAS!$C233),FOLGAS!$G233&amp;"","")</f>
        <v/>
      </c>
      <c r="G233" s="0" t="str">
        <f aca="true">IF(D233="","",IF(D233=TODAY(),D233+ROW()/100000,""))</f>
        <v/>
      </c>
      <c r="H233" s="0" t="str">
        <f aca="true">IF(D233="","",IF(AND(D233&gt;TODAY(),D233&lt;=TODAY()+7),D233+ROW()/100000,""))</f>
        <v/>
      </c>
      <c r="I233" s="0" t="str">
        <f aca="false">IF(D233="","",IF(D233=CALENDÁRIO!$L$4,ROW(),""))</f>
        <v/>
      </c>
      <c r="J233" s="0" t="str">
        <f aca="false">IF(D233="","",CHOOSE(WEEKDAY(D233),"Domingo","Segunda","Terça","Quarta","Quinta","Sexta","Sábado"))</f>
        <v/>
      </c>
    </row>
    <row r="234" customFormat="false" ht="15" hidden="false" customHeight="false" outlineLevel="0" collapsed="false">
      <c r="A234" s="0" t="str">
        <f aca="false">IF(ISNUMBER(FOLGAS!$C234),"Folga","")</f>
        <v/>
      </c>
      <c r="B234" s="0" t="str">
        <f aca="false">IF(ISNUMBER(FOLGAS!$C234),FOLGAS!$A234&amp;"","")</f>
        <v/>
      </c>
      <c r="C234" s="0" t="str">
        <f aca="false">IF(ISNUMBER(FOLGAS!$C234),FOLGAS!$B234&amp;"","")</f>
        <v/>
      </c>
      <c r="D234" s="78" t="str">
        <f aca="false">IF(ISNUMBER(FOLGAS!$C234),FOLGAS!$C234,"")</f>
        <v/>
      </c>
      <c r="E234" s="0" t="str">
        <f aca="false">IF(ISNUMBER(FOLGAS!$C234),FOLGAS!$D234&amp;"","")</f>
        <v/>
      </c>
      <c r="F234" s="0" t="str">
        <f aca="false">IF(ISNUMBER(FOLGAS!$C234),FOLGAS!$G234&amp;"","")</f>
        <v/>
      </c>
      <c r="G234" s="0" t="str">
        <f aca="true">IF(D234="","",IF(D234=TODAY(),D234+ROW()/100000,""))</f>
        <v/>
      </c>
      <c r="H234" s="0" t="str">
        <f aca="true">IF(D234="","",IF(AND(D234&gt;TODAY(),D234&lt;=TODAY()+7),D234+ROW()/100000,""))</f>
        <v/>
      </c>
      <c r="I234" s="0" t="str">
        <f aca="false">IF(D234="","",IF(D234=CALENDÁRIO!$L$4,ROW(),""))</f>
        <v/>
      </c>
      <c r="J234" s="0" t="str">
        <f aca="false">IF(D234="","",CHOOSE(WEEKDAY(D234),"Domingo","Segunda","Terça","Quarta","Quinta","Sexta","Sábado"))</f>
        <v/>
      </c>
    </row>
    <row r="235" customFormat="false" ht="15" hidden="false" customHeight="false" outlineLevel="0" collapsed="false">
      <c r="A235" s="0" t="str">
        <f aca="false">IF(ISNUMBER(FOLGAS!$C235),"Folga","")</f>
        <v/>
      </c>
      <c r="B235" s="0" t="str">
        <f aca="false">IF(ISNUMBER(FOLGAS!$C235),FOLGAS!$A235&amp;"","")</f>
        <v/>
      </c>
      <c r="C235" s="0" t="str">
        <f aca="false">IF(ISNUMBER(FOLGAS!$C235),FOLGAS!$B235&amp;"","")</f>
        <v/>
      </c>
      <c r="D235" s="78" t="str">
        <f aca="false">IF(ISNUMBER(FOLGAS!$C235),FOLGAS!$C235,"")</f>
        <v/>
      </c>
      <c r="E235" s="0" t="str">
        <f aca="false">IF(ISNUMBER(FOLGAS!$C235),FOLGAS!$D235&amp;"","")</f>
        <v/>
      </c>
      <c r="F235" s="0" t="str">
        <f aca="false">IF(ISNUMBER(FOLGAS!$C235),FOLGAS!$G235&amp;"","")</f>
        <v/>
      </c>
      <c r="G235" s="0" t="str">
        <f aca="true">IF(D235="","",IF(D235=TODAY(),D235+ROW()/100000,""))</f>
        <v/>
      </c>
      <c r="H235" s="0" t="str">
        <f aca="true">IF(D235="","",IF(AND(D235&gt;TODAY(),D235&lt;=TODAY()+7),D235+ROW()/100000,""))</f>
        <v/>
      </c>
      <c r="I235" s="0" t="str">
        <f aca="false">IF(D235="","",IF(D235=CALENDÁRIO!$L$4,ROW(),""))</f>
        <v/>
      </c>
      <c r="J235" s="0" t="str">
        <f aca="false">IF(D235="","",CHOOSE(WEEKDAY(D235),"Domingo","Segunda","Terça","Quarta","Quinta","Sexta","Sábado"))</f>
        <v/>
      </c>
    </row>
    <row r="236" customFormat="false" ht="15" hidden="false" customHeight="false" outlineLevel="0" collapsed="false">
      <c r="A236" s="0" t="str">
        <f aca="false">IF(ISNUMBER(FOLGAS!$C236),"Folga","")</f>
        <v/>
      </c>
      <c r="B236" s="0" t="str">
        <f aca="false">IF(ISNUMBER(FOLGAS!$C236),FOLGAS!$A236&amp;"","")</f>
        <v/>
      </c>
      <c r="C236" s="0" t="str">
        <f aca="false">IF(ISNUMBER(FOLGAS!$C236),FOLGAS!$B236&amp;"","")</f>
        <v/>
      </c>
      <c r="D236" s="78" t="str">
        <f aca="false">IF(ISNUMBER(FOLGAS!$C236),FOLGAS!$C236,"")</f>
        <v/>
      </c>
      <c r="E236" s="0" t="str">
        <f aca="false">IF(ISNUMBER(FOLGAS!$C236),FOLGAS!$D236&amp;"","")</f>
        <v/>
      </c>
      <c r="F236" s="0" t="str">
        <f aca="false">IF(ISNUMBER(FOLGAS!$C236),FOLGAS!$G236&amp;"","")</f>
        <v/>
      </c>
      <c r="G236" s="0" t="str">
        <f aca="true">IF(D236="","",IF(D236=TODAY(),D236+ROW()/100000,""))</f>
        <v/>
      </c>
      <c r="H236" s="0" t="str">
        <f aca="true">IF(D236="","",IF(AND(D236&gt;TODAY(),D236&lt;=TODAY()+7),D236+ROW()/100000,""))</f>
        <v/>
      </c>
      <c r="I236" s="0" t="str">
        <f aca="false">IF(D236="","",IF(D236=CALENDÁRIO!$L$4,ROW(),""))</f>
        <v/>
      </c>
      <c r="J236" s="0" t="str">
        <f aca="false">IF(D236="","",CHOOSE(WEEKDAY(D236),"Domingo","Segunda","Terça","Quarta","Quinta","Sexta","Sábado"))</f>
        <v/>
      </c>
    </row>
    <row r="237" customFormat="false" ht="15" hidden="false" customHeight="false" outlineLevel="0" collapsed="false">
      <c r="A237" s="0" t="str">
        <f aca="false">IF(ISNUMBER(FOLGAS!$C237),"Folga","")</f>
        <v/>
      </c>
      <c r="B237" s="0" t="str">
        <f aca="false">IF(ISNUMBER(FOLGAS!$C237),FOLGAS!$A237&amp;"","")</f>
        <v/>
      </c>
      <c r="C237" s="0" t="str">
        <f aca="false">IF(ISNUMBER(FOLGAS!$C237),FOLGAS!$B237&amp;"","")</f>
        <v/>
      </c>
      <c r="D237" s="78" t="str">
        <f aca="false">IF(ISNUMBER(FOLGAS!$C237),FOLGAS!$C237,"")</f>
        <v/>
      </c>
      <c r="E237" s="0" t="str">
        <f aca="false">IF(ISNUMBER(FOLGAS!$C237),FOLGAS!$D237&amp;"","")</f>
        <v/>
      </c>
      <c r="F237" s="0" t="str">
        <f aca="false">IF(ISNUMBER(FOLGAS!$C237),FOLGAS!$G237&amp;"","")</f>
        <v/>
      </c>
      <c r="G237" s="0" t="str">
        <f aca="true">IF(D237="","",IF(D237=TODAY(),D237+ROW()/100000,""))</f>
        <v/>
      </c>
      <c r="H237" s="0" t="str">
        <f aca="true">IF(D237="","",IF(AND(D237&gt;TODAY(),D237&lt;=TODAY()+7),D237+ROW()/100000,""))</f>
        <v/>
      </c>
      <c r="I237" s="0" t="str">
        <f aca="false">IF(D237="","",IF(D237=CALENDÁRIO!$L$4,ROW(),""))</f>
        <v/>
      </c>
      <c r="J237" s="0" t="str">
        <f aca="false">IF(D237="","",CHOOSE(WEEKDAY(D237),"Domingo","Segunda","Terça","Quarta","Quinta","Sexta","Sábado"))</f>
        <v/>
      </c>
    </row>
    <row r="238" customFormat="false" ht="15" hidden="false" customHeight="false" outlineLevel="0" collapsed="false">
      <c r="A238" s="0" t="str">
        <f aca="false">IF(ISNUMBER(FOLGAS!$C238),"Folga","")</f>
        <v/>
      </c>
      <c r="B238" s="0" t="str">
        <f aca="false">IF(ISNUMBER(FOLGAS!$C238),FOLGAS!$A238&amp;"","")</f>
        <v/>
      </c>
      <c r="C238" s="0" t="str">
        <f aca="false">IF(ISNUMBER(FOLGAS!$C238),FOLGAS!$B238&amp;"","")</f>
        <v/>
      </c>
      <c r="D238" s="78" t="str">
        <f aca="false">IF(ISNUMBER(FOLGAS!$C238),FOLGAS!$C238,"")</f>
        <v/>
      </c>
      <c r="E238" s="0" t="str">
        <f aca="false">IF(ISNUMBER(FOLGAS!$C238),FOLGAS!$D238&amp;"","")</f>
        <v/>
      </c>
      <c r="F238" s="0" t="str">
        <f aca="false">IF(ISNUMBER(FOLGAS!$C238),FOLGAS!$G238&amp;"","")</f>
        <v/>
      </c>
      <c r="G238" s="0" t="str">
        <f aca="true">IF(D238="","",IF(D238=TODAY(),D238+ROW()/100000,""))</f>
        <v/>
      </c>
      <c r="H238" s="0" t="str">
        <f aca="true">IF(D238="","",IF(AND(D238&gt;TODAY(),D238&lt;=TODAY()+7),D238+ROW()/100000,""))</f>
        <v/>
      </c>
      <c r="I238" s="0" t="str">
        <f aca="false">IF(D238="","",IF(D238=CALENDÁRIO!$L$4,ROW(),""))</f>
        <v/>
      </c>
      <c r="J238" s="0" t="str">
        <f aca="false">IF(D238="","",CHOOSE(WEEKDAY(D238),"Domingo","Segunda","Terça","Quarta","Quinta","Sexta","Sábado"))</f>
        <v/>
      </c>
    </row>
    <row r="239" customFormat="false" ht="15" hidden="false" customHeight="false" outlineLevel="0" collapsed="false">
      <c r="A239" s="0" t="str">
        <f aca="false">IF(ISNUMBER(FOLGAS!$C239),"Folga","")</f>
        <v/>
      </c>
      <c r="B239" s="0" t="str">
        <f aca="false">IF(ISNUMBER(FOLGAS!$C239),FOLGAS!$A239&amp;"","")</f>
        <v/>
      </c>
      <c r="C239" s="0" t="str">
        <f aca="false">IF(ISNUMBER(FOLGAS!$C239),FOLGAS!$B239&amp;"","")</f>
        <v/>
      </c>
      <c r="D239" s="78" t="str">
        <f aca="false">IF(ISNUMBER(FOLGAS!$C239),FOLGAS!$C239,"")</f>
        <v/>
      </c>
      <c r="E239" s="0" t="str">
        <f aca="false">IF(ISNUMBER(FOLGAS!$C239),FOLGAS!$D239&amp;"","")</f>
        <v/>
      </c>
      <c r="F239" s="0" t="str">
        <f aca="false">IF(ISNUMBER(FOLGAS!$C239),FOLGAS!$G239&amp;"","")</f>
        <v/>
      </c>
      <c r="G239" s="0" t="str">
        <f aca="true">IF(D239="","",IF(D239=TODAY(),D239+ROW()/100000,""))</f>
        <v/>
      </c>
      <c r="H239" s="0" t="str">
        <f aca="true">IF(D239="","",IF(AND(D239&gt;TODAY(),D239&lt;=TODAY()+7),D239+ROW()/100000,""))</f>
        <v/>
      </c>
      <c r="I239" s="0" t="str">
        <f aca="false">IF(D239="","",IF(D239=CALENDÁRIO!$L$4,ROW(),""))</f>
        <v/>
      </c>
      <c r="J239" s="0" t="str">
        <f aca="false">IF(D239="","",CHOOSE(WEEKDAY(D239),"Domingo","Segunda","Terça","Quarta","Quinta","Sexta","Sábado"))</f>
        <v/>
      </c>
    </row>
    <row r="240" customFormat="false" ht="15" hidden="false" customHeight="false" outlineLevel="0" collapsed="false">
      <c r="A240" s="0" t="str">
        <f aca="false">IF(ISNUMBER(FOLGAS!$C240),"Folga","")</f>
        <v/>
      </c>
      <c r="B240" s="0" t="str">
        <f aca="false">IF(ISNUMBER(FOLGAS!$C240),FOLGAS!$A240&amp;"","")</f>
        <v/>
      </c>
      <c r="C240" s="0" t="str">
        <f aca="false">IF(ISNUMBER(FOLGAS!$C240),FOLGAS!$B240&amp;"","")</f>
        <v/>
      </c>
      <c r="D240" s="78" t="str">
        <f aca="false">IF(ISNUMBER(FOLGAS!$C240),FOLGAS!$C240,"")</f>
        <v/>
      </c>
      <c r="E240" s="0" t="str">
        <f aca="false">IF(ISNUMBER(FOLGAS!$C240),FOLGAS!$D240&amp;"","")</f>
        <v/>
      </c>
      <c r="F240" s="0" t="str">
        <f aca="false">IF(ISNUMBER(FOLGAS!$C240),FOLGAS!$G240&amp;"","")</f>
        <v/>
      </c>
      <c r="G240" s="0" t="str">
        <f aca="true">IF(D240="","",IF(D240=TODAY(),D240+ROW()/100000,""))</f>
        <v/>
      </c>
      <c r="H240" s="0" t="str">
        <f aca="true">IF(D240="","",IF(AND(D240&gt;TODAY(),D240&lt;=TODAY()+7),D240+ROW()/100000,""))</f>
        <v/>
      </c>
      <c r="I240" s="0" t="str">
        <f aca="false">IF(D240="","",IF(D240=CALENDÁRIO!$L$4,ROW(),""))</f>
        <v/>
      </c>
      <c r="J240" s="0" t="str">
        <f aca="false">IF(D240="","",CHOOSE(WEEKDAY(D240),"Domingo","Segunda","Terça","Quarta","Quinta","Sexta","Sábado"))</f>
        <v/>
      </c>
    </row>
    <row r="241" customFormat="false" ht="15" hidden="false" customHeight="false" outlineLevel="0" collapsed="false">
      <c r="A241" s="0" t="str">
        <f aca="false">IF(ISNUMBER(FOLGAS!$C241),"Folga","")</f>
        <v/>
      </c>
      <c r="B241" s="0" t="str">
        <f aca="false">IF(ISNUMBER(FOLGAS!$C241),FOLGAS!$A241&amp;"","")</f>
        <v/>
      </c>
      <c r="C241" s="0" t="str">
        <f aca="false">IF(ISNUMBER(FOLGAS!$C241),FOLGAS!$B241&amp;"","")</f>
        <v/>
      </c>
      <c r="D241" s="78" t="str">
        <f aca="false">IF(ISNUMBER(FOLGAS!$C241),FOLGAS!$C241,"")</f>
        <v/>
      </c>
      <c r="E241" s="0" t="str">
        <f aca="false">IF(ISNUMBER(FOLGAS!$C241),FOLGAS!$D241&amp;"","")</f>
        <v/>
      </c>
      <c r="F241" s="0" t="str">
        <f aca="false">IF(ISNUMBER(FOLGAS!$C241),FOLGAS!$G241&amp;"","")</f>
        <v/>
      </c>
      <c r="G241" s="0" t="str">
        <f aca="true">IF(D241="","",IF(D241=TODAY(),D241+ROW()/100000,""))</f>
        <v/>
      </c>
      <c r="H241" s="0" t="str">
        <f aca="true">IF(D241="","",IF(AND(D241&gt;TODAY(),D241&lt;=TODAY()+7),D241+ROW()/100000,""))</f>
        <v/>
      </c>
      <c r="I241" s="0" t="str">
        <f aca="false">IF(D241="","",IF(D241=CALENDÁRIO!$L$4,ROW(),""))</f>
        <v/>
      </c>
      <c r="J241" s="0" t="str">
        <f aca="false">IF(D241="","",CHOOSE(WEEKDAY(D241),"Domingo","Segunda","Terça","Quarta","Quinta","Sexta","Sábado"))</f>
        <v/>
      </c>
    </row>
    <row r="242" customFormat="false" ht="15" hidden="false" customHeight="false" outlineLevel="0" collapsed="false">
      <c r="A242" s="0" t="str">
        <f aca="false">IF(ISNUMBER(FOLGAS!$C242),"Folga","")</f>
        <v/>
      </c>
      <c r="B242" s="0" t="str">
        <f aca="false">IF(ISNUMBER(FOLGAS!$C242),FOLGAS!$A242&amp;"","")</f>
        <v/>
      </c>
      <c r="C242" s="0" t="str">
        <f aca="false">IF(ISNUMBER(FOLGAS!$C242),FOLGAS!$B242&amp;"","")</f>
        <v/>
      </c>
      <c r="D242" s="78" t="str">
        <f aca="false">IF(ISNUMBER(FOLGAS!$C242),FOLGAS!$C242,"")</f>
        <v/>
      </c>
      <c r="E242" s="0" t="str">
        <f aca="false">IF(ISNUMBER(FOLGAS!$C242),FOLGAS!$D242&amp;"","")</f>
        <v/>
      </c>
      <c r="F242" s="0" t="str">
        <f aca="false">IF(ISNUMBER(FOLGAS!$C242),FOLGAS!$G242&amp;"","")</f>
        <v/>
      </c>
      <c r="G242" s="0" t="str">
        <f aca="true">IF(D242="","",IF(D242=TODAY(),D242+ROW()/100000,""))</f>
        <v/>
      </c>
      <c r="H242" s="0" t="str">
        <f aca="true">IF(D242="","",IF(AND(D242&gt;TODAY(),D242&lt;=TODAY()+7),D242+ROW()/100000,""))</f>
        <v/>
      </c>
      <c r="I242" s="0" t="str">
        <f aca="false">IF(D242="","",IF(D242=CALENDÁRIO!$L$4,ROW(),""))</f>
        <v/>
      </c>
      <c r="J242" s="0" t="str">
        <f aca="false">IF(D242="","",CHOOSE(WEEKDAY(D242),"Domingo","Segunda","Terça","Quarta","Quinta","Sexta","Sábado"))</f>
        <v/>
      </c>
    </row>
    <row r="243" customFormat="false" ht="15" hidden="false" customHeight="false" outlineLevel="0" collapsed="false">
      <c r="A243" s="0" t="str">
        <f aca="false">IF(ISNUMBER(FOLGAS!$C243),"Folga","")</f>
        <v/>
      </c>
      <c r="B243" s="0" t="str">
        <f aca="false">IF(ISNUMBER(FOLGAS!$C243),FOLGAS!$A243&amp;"","")</f>
        <v/>
      </c>
      <c r="C243" s="0" t="str">
        <f aca="false">IF(ISNUMBER(FOLGAS!$C243),FOLGAS!$B243&amp;"","")</f>
        <v/>
      </c>
      <c r="D243" s="78" t="str">
        <f aca="false">IF(ISNUMBER(FOLGAS!$C243),FOLGAS!$C243,"")</f>
        <v/>
      </c>
      <c r="E243" s="0" t="str">
        <f aca="false">IF(ISNUMBER(FOLGAS!$C243),FOLGAS!$D243&amp;"","")</f>
        <v/>
      </c>
      <c r="F243" s="0" t="str">
        <f aca="false">IF(ISNUMBER(FOLGAS!$C243),FOLGAS!$G243&amp;"","")</f>
        <v/>
      </c>
      <c r="G243" s="0" t="str">
        <f aca="true">IF(D243="","",IF(D243=TODAY(),D243+ROW()/100000,""))</f>
        <v/>
      </c>
      <c r="H243" s="0" t="str">
        <f aca="true">IF(D243="","",IF(AND(D243&gt;TODAY(),D243&lt;=TODAY()+7),D243+ROW()/100000,""))</f>
        <v/>
      </c>
      <c r="I243" s="0" t="str">
        <f aca="false">IF(D243="","",IF(D243=CALENDÁRIO!$L$4,ROW(),""))</f>
        <v/>
      </c>
      <c r="J243" s="0" t="str">
        <f aca="false">IF(D243="","",CHOOSE(WEEKDAY(D243),"Domingo","Segunda","Terça","Quarta","Quinta","Sexta","Sábado"))</f>
        <v/>
      </c>
    </row>
    <row r="244" customFormat="false" ht="15" hidden="false" customHeight="false" outlineLevel="0" collapsed="false">
      <c r="A244" s="0" t="str">
        <f aca="false">IF(ISNUMBER(FOLGAS!$C244),"Folga","")</f>
        <v/>
      </c>
      <c r="B244" s="0" t="str">
        <f aca="false">IF(ISNUMBER(FOLGAS!$C244),FOLGAS!$A244&amp;"","")</f>
        <v/>
      </c>
      <c r="C244" s="0" t="str">
        <f aca="false">IF(ISNUMBER(FOLGAS!$C244),FOLGAS!$B244&amp;"","")</f>
        <v/>
      </c>
      <c r="D244" s="78" t="str">
        <f aca="false">IF(ISNUMBER(FOLGAS!$C244),FOLGAS!$C244,"")</f>
        <v/>
      </c>
      <c r="E244" s="0" t="str">
        <f aca="false">IF(ISNUMBER(FOLGAS!$C244),FOLGAS!$D244&amp;"","")</f>
        <v/>
      </c>
      <c r="F244" s="0" t="str">
        <f aca="false">IF(ISNUMBER(FOLGAS!$C244),FOLGAS!$G244&amp;"","")</f>
        <v/>
      </c>
      <c r="G244" s="0" t="str">
        <f aca="true">IF(D244="","",IF(D244=TODAY(),D244+ROW()/100000,""))</f>
        <v/>
      </c>
      <c r="H244" s="0" t="str">
        <f aca="true">IF(D244="","",IF(AND(D244&gt;TODAY(),D244&lt;=TODAY()+7),D244+ROW()/100000,""))</f>
        <v/>
      </c>
      <c r="I244" s="0" t="str">
        <f aca="false">IF(D244="","",IF(D244=CALENDÁRIO!$L$4,ROW(),""))</f>
        <v/>
      </c>
      <c r="J244" s="0" t="str">
        <f aca="false">IF(D244="","",CHOOSE(WEEKDAY(D244),"Domingo","Segunda","Terça","Quarta","Quinta","Sexta","Sábado"))</f>
        <v/>
      </c>
    </row>
    <row r="245" customFormat="false" ht="15" hidden="false" customHeight="false" outlineLevel="0" collapsed="false">
      <c r="A245" s="0" t="str">
        <f aca="false">IF(ISNUMBER(FOLGAS!$C245),"Folga","")</f>
        <v/>
      </c>
      <c r="B245" s="0" t="str">
        <f aca="false">IF(ISNUMBER(FOLGAS!$C245),FOLGAS!$A245&amp;"","")</f>
        <v/>
      </c>
      <c r="C245" s="0" t="str">
        <f aca="false">IF(ISNUMBER(FOLGAS!$C245),FOLGAS!$B245&amp;"","")</f>
        <v/>
      </c>
      <c r="D245" s="78" t="str">
        <f aca="false">IF(ISNUMBER(FOLGAS!$C245),FOLGAS!$C245,"")</f>
        <v/>
      </c>
      <c r="E245" s="0" t="str">
        <f aca="false">IF(ISNUMBER(FOLGAS!$C245),FOLGAS!$D245&amp;"","")</f>
        <v/>
      </c>
      <c r="F245" s="0" t="str">
        <f aca="false">IF(ISNUMBER(FOLGAS!$C245),FOLGAS!$G245&amp;"","")</f>
        <v/>
      </c>
      <c r="G245" s="0" t="str">
        <f aca="true">IF(D245="","",IF(D245=TODAY(),D245+ROW()/100000,""))</f>
        <v/>
      </c>
      <c r="H245" s="0" t="str">
        <f aca="true">IF(D245="","",IF(AND(D245&gt;TODAY(),D245&lt;=TODAY()+7),D245+ROW()/100000,""))</f>
        <v/>
      </c>
      <c r="I245" s="0" t="str">
        <f aca="false">IF(D245="","",IF(D245=CALENDÁRIO!$L$4,ROW(),""))</f>
        <v/>
      </c>
      <c r="J245" s="0" t="str">
        <f aca="false">IF(D245="","",CHOOSE(WEEKDAY(D245),"Domingo","Segunda","Terça","Quarta","Quinta","Sexta","Sábado"))</f>
        <v/>
      </c>
    </row>
    <row r="246" customFormat="false" ht="15" hidden="false" customHeight="false" outlineLevel="0" collapsed="false">
      <c r="A246" s="0" t="str">
        <f aca="false">IF(ISNUMBER(FOLGAS!$C246),"Folga","")</f>
        <v/>
      </c>
      <c r="B246" s="0" t="str">
        <f aca="false">IF(ISNUMBER(FOLGAS!$C246),FOLGAS!$A246&amp;"","")</f>
        <v/>
      </c>
      <c r="C246" s="0" t="str">
        <f aca="false">IF(ISNUMBER(FOLGAS!$C246),FOLGAS!$B246&amp;"","")</f>
        <v/>
      </c>
      <c r="D246" s="78" t="str">
        <f aca="false">IF(ISNUMBER(FOLGAS!$C246),FOLGAS!$C246,"")</f>
        <v/>
      </c>
      <c r="E246" s="0" t="str">
        <f aca="false">IF(ISNUMBER(FOLGAS!$C246),FOLGAS!$D246&amp;"","")</f>
        <v/>
      </c>
      <c r="F246" s="0" t="str">
        <f aca="false">IF(ISNUMBER(FOLGAS!$C246),FOLGAS!$G246&amp;"","")</f>
        <v/>
      </c>
      <c r="G246" s="0" t="str">
        <f aca="true">IF(D246="","",IF(D246=TODAY(),D246+ROW()/100000,""))</f>
        <v/>
      </c>
      <c r="H246" s="0" t="str">
        <f aca="true">IF(D246="","",IF(AND(D246&gt;TODAY(),D246&lt;=TODAY()+7),D246+ROW()/100000,""))</f>
        <v/>
      </c>
      <c r="I246" s="0" t="str">
        <f aca="false">IF(D246="","",IF(D246=CALENDÁRIO!$L$4,ROW(),""))</f>
        <v/>
      </c>
      <c r="J246" s="0" t="str">
        <f aca="false">IF(D246="","",CHOOSE(WEEKDAY(D246),"Domingo","Segunda","Terça","Quarta","Quinta","Sexta","Sábado"))</f>
        <v/>
      </c>
    </row>
    <row r="247" customFormat="false" ht="15" hidden="false" customHeight="false" outlineLevel="0" collapsed="false">
      <c r="A247" s="0" t="str">
        <f aca="false">IF(ISNUMBER(FOLGAS!$C247),"Folga","")</f>
        <v/>
      </c>
      <c r="B247" s="0" t="str">
        <f aca="false">IF(ISNUMBER(FOLGAS!$C247),FOLGAS!$A247&amp;"","")</f>
        <v/>
      </c>
      <c r="C247" s="0" t="str">
        <f aca="false">IF(ISNUMBER(FOLGAS!$C247),FOLGAS!$B247&amp;"","")</f>
        <v/>
      </c>
      <c r="D247" s="78" t="str">
        <f aca="false">IF(ISNUMBER(FOLGAS!$C247),FOLGAS!$C247,"")</f>
        <v/>
      </c>
      <c r="E247" s="0" t="str">
        <f aca="false">IF(ISNUMBER(FOLGAS!$C247),FOLGAS!$D247&amp;"","")</f>
        <v/>
      </c>
      <c r="F247" s="0" t="str">
        <f aca="false">IF(ISNUMBER(FOLGAS!$C247),FOLGAS!$G247&amp;"","")</f>
        <v/>
      </c>
      <c r="G247" s="0" t="str">
        <f aca="true">IF(D247="","",IF(D247=TODAY(),D247+ROW()/100000,""))</f>
        <v/>
      </c>
      <c r="H247" s="0" t="str">
        <f aca="true">IF(D247="","",IF(AND(D247&gt;TODAY(),D247&lt;=TODAY()+7),D247+ROW()/100000,""))</f>
        <v/>
      </c>
      <c r="I247" s="0" t="str">
        <f aca="false">IF(D247="","",IF(D247=CALENDÁRIO!$L$4,ROW(),""))</f>
        <v/>
      </c>
      <c r="J247" s="0" t="str">
        <f aca="false">IF(D247="","",CHOOSE(WEEKDAY(D247),"Domingo","Segunda","Terça","Quarta","Quinta","Sexta","Sábado"))</f>
        <v/>
      </c>
    </row>
    <row r="248" customFormat="false" ht="15" hidden="false" customHeight="false" outlineLevel="0" collapsed="false">
      <c r="A248" s="0" t="str">
        <f aca="false">IF(ISNUMBER(FOLGAS!$C248),"Folga","")</f>
        <v/>
      </c>
      <c r="B248" s="0" t="str">
        <f aca="false">IF(ISNUMBER(FOLGAS!$C248),FOLGAS!$A248&amp;"","")</f>
        <v/>
      </c>
      <c r="C248" s="0" t="str">
        <f aca="false">IF(ISNUMBER(FOLGAS!$C248),FOLGAS!$B248&amp;"","")</f>
        <v/>
      </c>
      <c r="D248" s="78" t="str">
        <f aca="false">IF(ISNUMBER(FOLGAS!$C248),FOLGAS!$C248,"")</f>
        <v/>
      </c>
      <c r="E248" s="0" t="str">
        <f aca="false">IF(ISNUMBER(FOLGAS!$C248),FOLGAS!$D248&amp;"","")</f>
        <v/>
      </c>
      <c r="F248" s="0" t="str">
        <f aca="false">IF(ISNUMBER(FOLGAS!$C248),FOLGAS!$G248&amp;"","")</f>
        <v/>
      </c>
      <c r="G248" s="0" t="str">
        <f aca="true">IF(D248="","",IF(D248=TODAY(),D248+ROW()/100000,""))</f>
        <v/>
      </c>
      <c r="H248" s="0" t="str">
        <f aca="true">IF(D248="","",IF(AND(D248&gt;TODAY(),D248&lt;=TODAY()+7),D248+ROW()/100000,""))</f>
        <v/>
      </c>
      <c r="I248" s="0" t="str">
        <f aca="false">IF(D248="","",IF(D248=CALENDÁRIO!$L$4,ROW(),""))</f>
        <v/>
      </c>
      <c r="J248" s="0" t="str">
        <f aca="false">IF(D248="","",CHOOSE(WEEKDAY(D248),"Domingo","Segunda","Terça","Quarta","Quinta","Sexta","Sábado"))</f>
        <v/>
      </c>
    </row>
    <row r="249" customFormat="false" ht="15" hidden="false" customHeight="false" outlineLevel="0" collapsed="false">
      <c r="A249" s="0" t="str">
        <f aca="false">IF(ISNUMBER(FOLGAS!$C249),"Folga","")</f>
        <v/>
      </c>
      <c r="B249" s="0" t="str">
        <f aca="false">IF(ISNUMBER(FOLGAS!$C249),FOLGAS!$A249&amp;"","")</f>
        <v/>
      </c>
      <c r="C249" s="0" t="str">
        <f aca="false">IF(ISNUMBER(FOLGAS!$C249),FOLGAS!$B249&amp;"","")</f>
        <v/>
      </c>
      <c r="D249" s="78" t="str">
        <f aca="false">IF(ISNUMBER(FOLGAS!$C249),FOLGAS!$C249,"")</f>
        <v/>
      </c>
      <c r="E249" s="0" t="str">
        <f aca="false">IF(ISNUMBER(FOLGAS!$C249),FOLGAS!$D249&amp;"","")</f>
        <v/>
      </c>
      <c r="F249" s="0" t="str">
        <f aca="false">IF(ISNUMBER(FOLGAS!$C249),FOLGAS!$G249&amp;"","")</f>
        <v/>
      </c>
      <c r="G249" s="0" t="str">
        <f aca="true">IF(D249="","",IF(D249=TODAY(),D249+ROW()/100000,""))</f>
        <v/>
      </c>
      <c r="H249" s="0" t="str">
        <f aca="true">IF(D249="","",IF(AND(D249&gt;TODAY(),D249&lt;=TODAY()+7),D249+ROW()/100000,""))</f>
        <v/>
      </c>
      <c r="I249" s="0" t="str">
        <f aca="false">IF(D249="","",IF(D249=CALENDÁRIO!$L$4,ROW(),""))</f>
        <v/>
      </c>
      <c r="J249" s="0" t="str">
        <f aca="false">IF(D249="","",CHOOSE(WEEKDAY(D249),"Domingo","Segunda","Terça","Quarta","Quinta","Sexta","Sábado"))</f>
        <v/>
      </c>
    </row>
    <row r="250" customFormat="false" ht="15" hidden="false" customHeight="false" outlineLevel="0" collapsed="false">
      <c r="A250" s="0" t="str">
        <f aca="false">IF(ISNUMBER(FOLGAS!$C250),"Folga","")</f>
        <v/>
      </c>
      <c r="B250" s="0" t="str">
        <f aca="false">IF(ISNUMBER(FOLGAS!$C250),FOLGAS!$A250&amp;"","")</f>
        <v/>
      </c>
      <c r="C250" s="0" t="str">
        <f aca="false">IF(ISNUMBER(FOLGAS!$C250),FOLGAS!$B250&amp;"","")</f>
        <v/>
      </c>
      <c r="D250" s="78" t="str">
        <f aca="false">IF(ISNUMBER(FOLGAS!$C250),FOLGAS!$C250,"")</f>
        <v/>
      </c>
      <c r="E250" s="0" t="str">
        <f aca="false">IF(ISNUMBER(FOLGAS!$C250),FOLGAS!$D250&amp;"","")</f>
        <v/>
      </c>
      <c r="F250" s="0" t="str">
        <f aca="false">IF(ISNUMBER(FOLGAS!$C250),FOLGAS!$G250&amp;"","")</f>
        <v/>
      </c>
      <c r="G250" s="0" t="str">
        <f aca="true">IF(D250="","",IF(D250=TODAY(),D250+ROW()/100000,""))</f>
        <v/>
      </c>
      <c r="H250" s="0" t="str">
        <f aca="true">IF(D250="","",IF(AND(D250&gt;TODAY(),D250&lt;=TODAY()+7),D250+ROW()/100000,""))</f>
        <v/>
      </c>
      <c r="I250" s="0" t="str">
        <f aca="false">IF(D250="","",IF(D250=CALENDÁRIO!$L$4,ROW(),""))</f>
        <v/>
      </c>
      <c r="J250" s="0" t="str">
        <f aca="false">IF(D250="","",CHOOSE(WEEKDAY(D250),"Domingo","Segunda","Terça","Quarta","Quinta","Sexta","Sábado"))</f>
        <v/>
      </c>
    </row>
    <row r="251" customFormat="false" ht="15" hidden="false" customHeight="false" outlineLevel="0" collapsed="false">
      <c r="A251" s="0" t="str">
        <f aca="false">IF(ISNUMBER(FOLGAS!$C251),"Folga","")</f>
        <v/>
      </c>
      <c r="B251" s="0" t="str">
        <f aca="false">IF(ISNUMBER(FOLGAS!$C251),FOLGAS!$A251&amp;"","")</f>
        <v/>
      </c>
      <c r="C251" s="0" t="str">
        <f aca="false">IF(ISNUMBER(FOLGAS!$C251),FOLGAS!$B251&amp;"","")</f>
        <v/>
      </c>
      <c r="D251" s="78" t="str">
        <f aca="false">IF(ISNUMBER(FOLGAS!$C251),FOLGAS!$C251,"")</f>
        <v/>
      </c>
      <c r="E251" s="0" t="str">
        <f aca="false">IF(ISNUMBER(FOLGAS!$C251),FOLGAS!$D251&amp;"","")</f>
        <v/>
      </c>
      <c r="F251" s="0" t="str">
        <f aca="false">IF(ISNUMBER(FOLGAS!$C251),FOLGAS!$G251&amp;"","")</f>
        <v/>
      </c>
      <c r="G251" s="0" t="str">
        <f aca="true">IF(D251="","",IF(D251=TODAY(),D251+ROW()/100000,""))</f>
        <v/>
      </c>
      <c r="H251" s="0" t="str">
        <f aca="true">IF(D251="","",IF(AND(D251&gt;TODAY(),D251&lt;=TODAY()+7),D251+ROW()/100000,""))</f>
        <v/>
      </c>
      <c r="I251" s="0" t="str">
        <f aca="false">IF(D251="","",IF(D251=CALENDÁRIO!$L$4,ROW(),""))</f>
        <v/>
      </c>
      <c r="J251" s="0" t="str">
        <f aca="false">IF(D251="","",CHOOSE(WEEKDAY(D251),"Domingo","Segunda","Terça","Quarta","Quinta","Sexta","Sábado"))</f>
        <v/>
      </c>
    </row>
    <row r="252" customFormat="false" ht="15" hidden="false" customHeight="false" outlineLevel="0" collapsed="false">
      <c r="A252" s="0" t="str">
        <f aca="false">IF(ISNUMBER(FOLGAS!$C252),"Folga","")</f>
        <v/>
      </c>
      <c r="B252" s="0" t="str">
        <f aca="false">IF(ISNUMBER(FOLGAS!$C252),FOLGAS!$A252&amp;"","")</f>
        <v/>
      </c>
      <c r="C252" s="0" t="str">
        <f aca="false">IF(ISNUMBER(FOLGAS!$C252),FOLGAS!$B252&amp;"","")</f>
        <v/>
      </c>
      <c r="D252" s="78" t="str">
        <f aca="false">IF(ISNUMBER(FOLGAS!$C252),FOLGAS!$C252,"")</f>
        <v/>
      </c>
      <c r="E252" s="0" t="str">
        <f aca="false">IF(ISNUMBER(FOLGAS!$C252),FOLGAS!$D252&amp;"","")</f>
        <v/>
      </c>
      <c r="F252" s="0" t="str">
        <f aca="false">IF(ISNUMBER(FOLGAS!$C252),FOLGAS!$G252&amp;"","")</f>
        <v/>
      </c>
      <c r="G252" s="0" t="str">
        <f aca="true">IF(D252="","",IF(D252=TODAY(),D252+ROW()/100000,""))</f>
        <v/>
      </c>
      <c r="H252" s="0" t="str">
        <f aca="true">IF(D252="","",IF(AND(D252&gt;TODAY(),D252&lt;=TODAY()+7),D252+ROW()/100000,""))</f>
        <v/>
      </c>
      <c r="I252" s="0" t="str">
        <f aca="false">IF(D252="","",IF(D252=CALENDÁRIO!$L$4,ROW(),""))</f>
        <v/>
      </c>
      <c r="J252" s="0" t="str">
        <f aca="false">IF(D252="","",CHOOSE(WEEKDAY(D252),"Domingo","Segunda","Terça","Quarta","Quinta","Sexta","Sábado"))</f>
        <v/>
      </c>
    </row>
    <row r="253" customFormat="false" ht="15" hidden="false" customHeight="false" outlineLevel="0" collapsed="false">
      <c r="A253" s="0" t="str">
        <f aca="false">IF(ISNUMBER(FOLGAS!$C253),"Folga","")</f>
        <v/>
      </c>
      <c r="B253" s="0" t="str">
        <f aca="false">IF(ISNUMBER(FOLGAS!$C253),FOLGAS!$A253&amp;"","")</f>
        <v/>
      </c>
      <c r="C253" s="0" t="str">
        <f aca="false">IF(ISNUMBER(FOLGAS!$C253),FOLGAS!$B253&amp;"","")</f>
        <v/>
      </c>
      <c r="D253" s="78" t="str">
        <f aca="false">IF(ISNUMBER(FOLGAS!$C253),FOLGAS!$C253,"")</f>
        <v/>
      </c>
      <c r="E253" s="0" t="str">
        <f aca="false">IF(ISNUMBER(FOLGAS!$C253),FOLGAS!$D253&amp;"","")</f>
        <v/>
      </c>
      <c r="F253" s="0" t="str">
        <f aca="false">IF(ISNUMBER(FOLGAS!$C253),FOLGAS!$G253&amp;"","")</f>
        <v/>
      </c>
      <c r="G253" s="0" t="str">
        <f aca="true">IF(D253="","",IF(D253=TODAY(),D253+ROW()/100000,""))</f>
        <v/>
      </c>
      <c r="H253" s="0" t="str">
        <f aca="true">IF(D253="","",IF(AND(D253&gt;TODAY(),D253&lt;=TODAY()+7),D253+ROW()/100000,""))</f>
        <v/>
      </c>
      <c r="I253" s="0" t="str">
        <f aca="false">IF(D253="","",IF(D253=CALENDÁRIO!$L$4,ROW(),""))</f>
        <v/>
      </c>
      <c r="J253" s="0" t="str">
        <f aca="false">IF(D253="","",CHOOSE(WEEKDAY(D253),"Domingo","Segunda","Terça","Quarta","Quinta","Sexta","Sábado"))</f>
        <v/>
      </c>
    </row>
    <row r="254" customFormat="false" ht="15" hidden="false" customHeight="false" outlineLevel="0" collapsed="false">
      <c r="A254" s="0" t="str">
        <f aca="false">IF(ISNUMBER(FOLGAS!$C254),"Folga","")</f>
        <v/>
      </c>
      <c r="B254" s="0" t="str">
        <f aca="false">IF(ISNUMBER(FOLGAS!$C254),FOLGAS!$A254&amp;"","")</f>
        <v/>
      </c>
      <c r="C254" s="0" t="str">
        <f aca="false">IF(ISNUMBER(FOLGAS!$C254),FOLGAS!$B254&amp;"","")</f>
        <v/>
      </c>
      <c r="D254" s="78" t="str">
        <f aca="false">IF(ISNUMBER(FOLGAS!$C254),FOLGAS!$C254,"")</f>
        <v/>
      </c>
      <c r="E254" s="0" t="str">
        <f aca="false">IF(ISNUMBER(FOLGAS!$C254),FOLGAS!$D254&amp;"","")</f>
        <v/>
      </c>
      <c r="F254" s="0" t="str">
        <f aca="false">IF(ISNUMBER(FOLGAS!$C254),FOLGAS!$G254&amp;"","")</f>
        <v/>
      </c>
      <c r="G254" s="0" t="str">
        <f aca="true">IF(D254="","",IF(D254=TODAY(),D254+ROW()/100000,""))</f>
        <v/>
      </c>
      <c r="H254" s="0" t="str">
        <f aca="true">IF(D254="","",IF(AND(D254&gt;TODAY(),D254&lt;=TODAY()+7),D254+ROW()/100000,""))</f>
        <v/>
      </c>
      <c r="I254" s="0" t="str">
        <f aca="false">IF(D254="","",IF(D254=CALENDÁRIO!$L$4,ROW(),""))</f>
        <v/>
      </c>
      <c r="J254" s="0" t="str">
        <f aca="false">IF(D254="","",CHOOSE(WEEKDAY(D254),"Domingo","Segunda","Terça","Quarta","Quinta","Sexta","Sábado"))</f>
        <v/>
      </c>
    </row>
    <row r="255" customFormat="false" ht="15" hidden="false" customHeight="false" outlineLevel="0" collapsed="false">
      <c r="A255" s="0" t="str">
        <f aca="false">IF(ISNUMBER(FOLGAS!$C255),"Folga","")</f>
        <v/>
      </c>
      <c r="B255" s="0" t="str">
        <f aca="false">IF(ISNUMBER(FOLGAS!$C255),FOLGAS!$A255&amp;"","")</f>
        <v/>
      </c>
      <c r="C255" s="0" t="str">
        <f aca="false">IF(ISNUMBER(FOLGAS!$C255),FOLGAS!$B255&amp;"","")</f>
        <v/>
      </c>
      <c r="D255" s="78" t="str">
        <f aca="false">IF(ISNUMBER(FOLGAS!$C255),FOLGAS!$C255,"")</f>
        <v/>
      </c>
      <c r="E255" s="0" t="str">
        <f aca="false">IF(ISNUMBER(FOLGAS!$C255),FOLGAS!$D255&amp;"","")</f>
        <v/>
      </c>
      <c r="F255" s="0" t="str">
        <f aca="false">IF(ISNUMBER(FOLGAS!$C255),FOLGAS!$G255&amp;"","")</f>
        <v/>
      </c>
      <c r="G255" s="0" t="str">
        <f aca="true">IF(D255="","",IF(D255=TODAY(),D255+ROW()/100000,""))</f>
        <v/>
      </c>
      <c r="H255" s="0" t="str">
        <f aca="true">IF(D255="","",IF(AND(D255&gt;TODAY(),D255&lt;=TODAY()+7),D255+ROW()/100000,""))</f>
        <v/>
      </c>
      <c r="I255" s="0" t="str">
        <f aca="false">IF(D255="","",IF(D255=CALENDÁRIO!$L$4,ROW(),""))</f>
        <v/>
      </c>
      <c r="J255" s="0" t="str">
        <f aca="false">IF(D255="","",CHOOSE(WEEKDAY(D255),"Domingo","Segunda","Terça","Quarta","Quinta","Sexta","Sábado"))</f>
        <v/>
      </c>
    </row>
    <row r="256" customFormat="false" ht="15" hidden="false" customHeight="false" outlineLevel="0" collapsed="false">
      <c r="A256" s="0" t="str">
        <f aca="false">IF(ISNUMBER(FOLGAS!$C256),"Folga","")</f>
        <v/>
      </c>
      <c r="B256" s="0" t="str">
        <f aca="false">IF(ISNUMBER(FOLGAS!$C256),FOLGAS!$A256&amp;"","")</f>
        <v/>
      </c>
      <c r="C256" s="0" t="str">
        <f aca="false">IF(ISNUMBER(FOLGAS!$C256),FOLGAS!$B256&amp;"","")</f>
        <v/>
      </c>
      <c r="D256" s="78" t="str">
        <f aca="false">IF(ISNUMBER(FOLGAS!$C256),FOLGAS!$C256,"")</f>
        <v/>
      </c>
      <c r="E256" s="0" t="str">
        <f aca="false">IF(ISNUMBER(FOLGAS!$C256),FOLGAS!$D256&amp;"","")</f>
        <v/>
      </c>
      <c r="F256" s="0" t="str">
        <f aca="false">IF(ISNUMBER(FOLGAS!$C256),FOLGAS!$G256&amp;"","")</f>
        <v/>
      </c>
      <c r="G256" s="0" t="str">
        <f aca="true">IF(D256="","",IF(D256=TODAY(),D256+ROW()/100000,""))</f>
        <v/>
      </c>
      <c r="H256" s="0" t="str">
        <f aca="true">IF(D256="","",IF(AND(D256&gt;TODAY(),D256&lt;=TODAY()+7),D256+ROW()/100000,""))</f>
        <v/>
      </c>
      <c r="I256" s="0" t="str">
        <f aca="false">IF(D256="","",IF(D256=CALENDÁRIO!$L$4,ROW(),""))</f>
        <v/>
      </c>
      <c r="J256" s="0" t="str">
        <f aca="false">IF(D256="","",CHOOSE(WEEKDAY(D256),"Domingo","Segunda","Terça","Quarta","Quinta","Sexta","Sábado"))</f>
        <v/>
      </c>
    </row>
    <row r="257" customFormat="false" ht="15" hidden="false" customHeight="false" outlineLevel="0" collapsed="false">
      <c r="A257" s="0" t="str">
        <f aca="false">IF(ISNUMBER(FOLGAS!$C257),"Folga","")</f>
        <v/>
      </c>
      <c r="B257" s="0" t="str">
        <f aca="false">IF(ISNUMBER(FOLGAS!$C257),FOLGAS!$A257&amp;"","")</f>
        <v/>
      </c>
      <c r="C257" s="0" t="str">
        <f aca="false">IF(ISNUMBER(FOLGAS!$C257),FOLGAS!$B257&amp;"","")</f>
        <v/>
      </c>
      <c r="D257" s="78" t="str">
        <f aca="false">IF(ISNUMBER(FOLGAS!$C257),FOLGAS!$C257,"")</f>
        <v/>
      </c>
      <c r="E257" s="0" t="str">
        <f aca="false">IF(ISNUMBER(FOLGAS!$C257),FOLGAS!$D257&amp;"","")</f>
        <v/>
      </c>
      <c r="F257" s="0" t="str">
        <f aca="false">IF(ISNUMBER(FOLGAS!$C257),FOLGAS!$G257&amp;"","")</f>
        <v/>
      </c>
      <c r="G257" s="0" t="str">
        <f aca="true">IF(D257="","",IF(D257=TODAY(),D257+ROW()/100000,""))</f>
        <v/>
      </c>
      <c r="H257" s="0" t="str">
        <f aca="true">IF(D257="","",IF(AND(D257&gt;TODAY(),D257&lt;=TODAY()+7),D257+ROW()/100000,""))</f>
        <v/>
      </c>
      <c r="I257" s="0" t="str">
        <f aca="false">IF(D257="","",IF(D257=CALENDÁRIO!$L$4,ROW(),""))</f>
        <v/>
      </c>
      <c r="J257" s="0" t="str">
        <f aca="false">IF(D257="","",CHOOSE(WEEKDAY(D257),"Domingo","Segunda","Terça","Quarta","Quinta","Sexta","Sábado"))</f>
        <v/>
      </c>
    </row>
    <row r="258" customFormat="false" ht="15" hidden="false" customHeight="false" outlineLevel="0" collapsed="false">
      <c r="A258" s="0" t="str">
        <f aca="false">IF(ISNUMBER(FOLGAS!$C258),"Folga","")</f>
        <v/>
      </c>
      <c r="B258" s="0" t="str">
        <f aca="false">IF(ISNUMBER(FOLGAS!$C258),FOLGAS!$A258&amp;"","")</f>
        <v/>
      </c>
      <c r="C258" s="0" t="str">
        <f aca="false">IF(ISNUMBER(FOLGAS!$C258),FOLGAS!$B258&amp;"","")</f>
        <v/>
      </c>
      <c r="D258" s="78" t="str">
        <f aca="false">IF(ISNUMBER(FOLGAS!$C258),FOLGAS!$C258,"")</f>
        <v/>
      </c>
      <c r="E258" s="0" t="str">
        <f aca="false">IF(ISNUMBER(FOLGAS!$C258),FOLGAS!$D258&amp;"","")</f>
        <v/>
      </c>
      <c r="F258" s="0" t="str">
        <f aca="false">IF(ISNUMBER(FOLGAS!$C258),FOLGAS!$G258&amp;"","")</f>
        <v/>
      </c>
      <c r="G258" s="0" t="str">
        <f aca="true">IF(D258="","",IF(D258=TODAY(),D258+ROW()/100000,""))</f>
        <v/>
      </c>
      <c r="H258" s="0" t="str">
        <f aca="true">IF(D258="","",IF(AND(D258&gt;TODAY(),D258&lt;=TODAY()+7),D258+ROW()/100000,""))</f>
        <v/>
      </c>
      <c r="I258" s="0" t="str">
        <f aca="false">IF(D258="","",IF(D258=CALENDÁRIO!$L$4,ROW(),""))</f>
        <v/>
      </c>
      <c r="J258" s="0" t="str">
        <f aca="false">IF(D258="","",CHOOSE(WEEKDAY(D258),"Domingo","Segunda","Terça","Quarta","Quinta","Sexta","Sábado"))</f>
        <v/>
      </c>
    </row>
    <row r="259" customFormat="false" ht="15" hidden="false" customHeight="false" outlineLevel="0" collapsed="false">
      <c r="A259" s="0" t="str">
        <f aca="false">IF(ISNUMBER(FOLGAS!$C259),"Folga","")</f>
        <v/>
      </c>
      <c r="B259" s="0" t="str">
        <f aca="false">IF(ISNUMBER(FOLGAS!$C259),FOLGAS!$A259&amp;"","")</f>
        <v/>
      </c>
      <c r="C259" s="0" t="str">
        <f aca="false">IF(ISNUMBER(FOLGAS!$C259),FOLGAS!$B259&amp;"","")</f>
        <v/>
      </c>
      <c r="D259" s="78" t="str">
        <f aca="false">IF(ISNUMBER(FOLGAS!$C259),FOLGAS!$C259,"")</f>
        <v/>
      </c>
      <c r="E259" s="0" t="str">
        <f aca="false">IF(ISNUMBER(FOLGAS!$C259),FOLGAS!$D259&amp;"","")</f>
        <v/>
      </c>
      <c r="F259" s="0" t="str">
        <f aca="false">IF(ISNUMBER(FOLGAS!$C259),FOLGAS!$G259&amp;"","")</f>
        <v/>
      </c>
      <c r="G259" s="0" t="str">
        <f aca="true">IF(D259="","",IF(D259=TODAY(),D259+ROW()/100000,""))</f>
        <v/>
      </c>
      <c r="H259" s="0" t="str">
        <f aca="true">IF(D259="","",IF(AND(D259&gt;TODAY(),D259&lt;=TODAY()+7),D259+ROW()/100000,""))</f>
        <v/>
      </c>
      <c r="I259" s="0" t="str">
        <f aca="false">IF(D259="","",IF(D259=CALENDÁRIO!$L$4,ROW(),""))</f>
        <v/>
      </c>
      <c r="J259" s="0" t="str">
        <f aca="false">IF(D259="","",CHOOSE(WEEKDAY(D259),"Domingo","Segunda","Terça","Quarta","Quinta","Sexta","Sábado"))</f>
        <v/>
      </c>
    </row>
    <row r="260" customFormat="false" ht="15" hidden="false" customHeight="false" outlineLevel="0" collapsed="false">
      <c r="A260" s="0" t="str">
        <f aca="false">IF(ISNUMBER(FOLGAS!$C260),"Folga","")</f>
        <v/>
      </c>
      <c r="B260" s="0" t="str">
        <f aca="false">IF(ISNUMBER(FOLGAS!$C260),FOLGAS!$A260&amp;"","")</f>
        <v/>
      </c>
      <c r="C260" s="0" t="str">
        <f aca="false">IF(ISNUMBER(FOLGAS!$C260),FOLGAS!$B260&amp;"","")</f>
        <v/>
      </c>
      <c r="D260" s="78" t="str">
        <f aca="false">IF(ISNUMBER(FOLGAS!$C260),FOLGAS!$C260,"")</f>
        <v/>
      </c>
      <c r="E260" s="0" t="str">
        <f aca="false">IF(ISNUMBER(FOLGAS!$C260),FOLGAS!$D260&amp;"","")</f>
        <v/>
      </c>
      <c r="F260" s="0" t="str">
        <f aca="false">IF(ISNUMBER(FOLGAS!$C260),FOLGAS!$G260&amp;"","")</f>
        <v/>
      </c>
      <c r="G260" s="0" t="str">
        <f aca="true">IF(D260="","",IF(D260=TODAY(),D260+ROW()/100000,""))</f>
        <v/>
      </c>
      <c r="H260" s="0" t="str">
        <f aca="true">IF(D260="","",IF(AND(D260&gt;TODAY(),D260&lt;=TODAY()+7),D260+ROW()/100000,""))</f>
        <v/>
      </c>
      <c r="I260" s="0" t="str">
        <f aca="false">IF(D260="","",IF(D260=CALENDÁRIO!$L$4,ROW(),""))</f>
        <v/>
      </c>
      <c r="J260" s="0" t="str">
        <f aca="false">IF(D260="","",CHOOSE(WEEKDAY(D260),"Domingo","Segunda","Terça","Quarta","Quinta","Sexta","Sábado"))</f>
        <v/>
      </c>
    </row>
    <row r="261" customFormat="false" ht="15" hidden="false" customHeight="false" outlineLevel="0" collapsed="false">
      <c r="A261" s="0" t="str">
        <f aca="false">IF(ISNUMBER(FOLGAS!$C261),"Folga","")</f>
        <v/>
      </c>
      <c r="B261" s="0" t="str">
        <f aca="false">IF(ISNUMBER(FOLGAS!$C261),FOLGAS!$A261&amp;"","")</f>
        <v/>
      </c>
      <c r="C261" s="0" t="str">
        <f aca="false">IF(ISNUMBER(FOLGAS!$C261),FOLGAS!$B261&amp;"","")</f>
        <v/>
      </c>
      <c r="D261" s="78" t="str">
        <f aca="false">IF(ISNUMBER(FOLGAS!$C261),FOLGAS!$C261,"")</f>
        <v/>
      </c>
      <c r="E261" s="0" t="str">
        <f aca="false">IF(ISNUMBER(FOLGAS!$C261),FOLGAS!$D261&amp;"","")</f>
        <v/>
      </c>
      <c r="F261" s="0" t="str">
        <f aca="false">IF(ISNUMBER(FOLGAS!$C261),FOLGAS!$G261&amp;"","")</f>
        <v/>
      </c>
      <c r="G261" s="0" t="str">
        <f aca="true">IF(D261="","",IF(D261=TODAY(),D261+ROW()/100000,""))</f>
        <v/>
      </c>
      <c r="H261" s="0" t="str">
        <f aca="true">IF(D261="","",IF(AND(D261&gt;TODAY(),D261&lt;=TODAY()+7),D261+ROW()/100000,""))</f>
        <v/>
      </c>
      <c r="I261" s="0" t="str">
        <f aca="false">IF(D261="","",IF(D261=CALENDÁRIO!$L$4,ROW(),""))</f>
        <v/>
      </c>
      <c r="J261" s="0" t="str">
        <f aca="false">IF(D261="","",CHOOSE(WEEKDAY(D261),"Domingo","Segunda","Terça","Quarta","Quinta","Sexta","Sábado"))</f>
        <v/>
      </c>
    </row>
    <row r="262" customFormat="false" ht="15" hidden="false" customHeight="false" outlineLevel="0" collapsed="false">
      <c r="A262" s="0" t="str">
        <f aca="false">IF(ISNUMBER(FOLGAS!$C262),"Folga","")</f>
        <v/>
      </c>
      <c r="B262" s="0" t="str">
        <f aca="false">IF(ISNUMBER(FOLGAS!$C262),FOLGAS!$A262&amp;"","")</f>
        <v/>
      </c>
      <c r="C262" s="0" t="str">
        <f aca="false">IF(ISNUMBER(FOLGAS!$C262),FOLGAS!$B262&amp;"","")</f>
        <v/>
      </c>
      <c r="D262" s="78" t="str">
        <f aca="false">IF(ISNUMBER(FOLGAS!$C262),FOLGAS!$C262,"")</f>
        <v/>
      </c>
      <c r="E262" s="0" t="str">
        <f aca="false">IF(ISNUMBER(FOLGAS!$C262),FOLGAS!$D262&amp;"","")</f>
        <v/>
      </c>
      <c r="F262" s="0" t="str">
        <f aca="false">IF(ISNUMBER(FOLGAS!$C262),FOLGAS!$G262&amp;"","")</f>
        <v/>
      </c>
      <c r="G262" s="0" t="str">
        <f aca="true">IF(D262="","",IF(D262=TODAY(),D262+ROW()/100000,""))</f>
        <v/>
      </c>
      <c r="H262" s="0" t="str">
        <f aca="true">IF(D262="","",IF(AND(D262&gt;TODAY(),D262&lt;=TODAY()+7),D262+ROW()/100000,""))</f>
        <v/>
      </c>
      <c r="I262" s="0" t="str">
        <f aca="false">IF(D262="","",IF(D262=CALENDÁRIO!$L$4,ROW(),""))</f>
        <v/>
      </c>
      <c r="J262" s="0" t="str">
        <f aca="false">IF(D262="","",CHOOSE(WEEKDAY(D262),"Domingo","Segunda","Terça","Quarta","Quinta","Sexta","Sábado"))</f>
        <v/>
      </c>
    </row>
    <row r="263" customFormat="false" ht="15" hidden="false" customHeight="false" outlineLevel="0" collapsed="false">
      <c r="A263" s="0" t="str">
        <f aca="false">IF(ISNUMBER(FOLGAS!$C263),"Folga","")</f>
        <v/>
      </c>
      <c r="B263" s="0" t="str">
        <f aca="false">IF(ISNUMBER(FOLGAS!$C263),FOLGAS!$A263&amp;"","")</f>
        <v/>
      </c>
      <c r="C263" s="0" t="str">
        <f aca="false">IF(ISNUMBER(FOLGAS!$C263),FOLGAS!$B263&amp;"","")</f>
        <v/>
      </c>
      <c r="D263" s="78" t="str">
        <f aca="false">IF(ISNUMBER(FOLGAS!$C263),FOLGAS!$C263,"")</f>
        <v/>
      </c>
      <c r="E263" s="0" t="str">
        <f aca="false">IF(ISNUMBER(FOLGAS!$C263),FOLGAS!$D263&amp;"","")</f>
        <v/>
      </c>
      <c r="F263" s="0" t="str">
        <f aca="false">IF(ISNUMBER(FOLGAS!$C263),FOLGAS!$G263&amp;"","")</f>
        <v/>
      </c>
      <c r="G263" s="0" t="str">
        <f aca="true">IF(D263="","",IF(D263=TODAY(),D263+ROW()/100000,""))</f>
        <v/>
      </c>
      <c r="H263" s="0" t="str">
        <f aca="true">IF(D263="","",IF(AND(D263&gt;TODAY(),D263&lt;=TODAY()+7),D263+ROW()/100000,""))</f>
        <v/>
      </c>
      <c r="I263" s="0" t="str">
        <f aca="false">IF(D263="","",IF(D263=CALENDÁRIO!$L$4,ROW(),""))</f>
        <v/>
      </c>
      <c r="J263" s="0" t="str">
        <f aca="false">IF(D263="","",CHOOSE(WEEKDAY(D263),"Domingo","Segunda","Terça","Quarta","Quinta","Sexta","Sábado"))</f>
        <v/>
      </c>
    </row>
    <row r="264" customFormat="false" ht="15" hidden="false" customHeight="false" outlineLevel="0" collapsed="false">
      <c r="A264" s="0" t="str">
        <f aca="false">IF(ISNUMBER(FOLGAS!$C264),"Folga","")</f>
        <v/>
      </c>
      <c r="B264" s="0" t="str">
        <f aca="false">IF(ISNUMBER(FOLGAS!$C264),FOLGAS!$A264&amp;"","")</f>
        <v/>
      </c>
      <c r="C264" s="0" t="str">
        <f aca="false">IF(ISNUMBER(FOLGAS!$C264),FOLGAS!$B264&amp;"","")</f>
        <v/>
      </c>
      <c r="D264" s="78" t="str">
        <f aca="false">IF(ISNUMBER(FOLGAS!$C264),FOLGAS!$C264,"")</f>
        <v/>
      </c>
      <c r="E264" s="0" t="str">
        <f aca="false">IF(ISNUMBER(FOLGAS!$C264),FOLGAS!$D264&amp;"","")</f>
        <v/>
      </c>
      <c r="F264" s="0" t="str">
        <f aca="false">IF(ISNUMBER(FOLGAS!$C264),FOLGAS!$G264&amp;"","")</f>
        <v/>
      </c>
      <c r="G264" s="0" t="str">
        <f aca="true">IF(D264="","",IF(D264=TODAY(),D264+ROW()/100000,""))</f>
        <v/>
      </c>
      <c r="H264" s="0" t="str">
        <f aca="true">IF(D264="","",IF(AND(D264&gt;TODAY(),D264&lt;=TODAY()+7),D264+ROW()/100000,""))</f>
        <v/>
      </c>
      <c r="I264" s="0" t="str">
        <f aca="false">IF(D264="","",IF(D264=CALENDÁRIO!$L$4,ROW(),""))</f>
        <v/>
      </c>
      <c r="J264" s="0" t="str">
        <f aca="false">IF(D264="","",CHOOSE(WEEKDAY(D264),"Domingo","Segunda","Terça","Quarta","Quinta","Sexta","Sábado"))</f>
        <v/>
      </c>
    </row>
    <row r="265" customFormat="false" ht="15" hidden="false" customHeight="false" outlineLevel="0" collapsed="false">
      <c r="A265" s="0" t="str">
        <f aca="false">IF(ISNUMBER(FOLGAS!$C265),"Folga","")</f>
        <v/>
      </c>
      <c r="B265" s="0" t="str">
        <f aca="false">IF(ISNUMBER(FOLGAS!$C265),FOLGAS!$A265&amp;"","")</f>
        <v/>
      </c>
      <c r="C265" s="0" t="str">
        <f aca="false">IF(ISNUMBER(FOLGAS!$C265),FOLGAS!$B265&amp;"","")</f>
        <v/>
      </c>
      <c r="D265" s="78" t="str">
        <f aca="false">IF(ISNUMBER(FOLGAS!$C265),FOLGAS!$C265,"")</f>
        <v/>
      </c>
      <c r="E265" s="0" t="str">
        <f aca="false">IF(ISNUMBER(FOLGAS!$C265),FOLGAS!$D265&amp;"","")</f>
        <v/>
      </c>
      <c r="F265" s="0" t="str">
        <f aca="false">IF(ISNUMBER(FOLGAS!$C265),FOLGAS!$G265&amp;"","")</f>
        <v/>
      </c>
      <c r="G265" s="0" t="str">
        <f aca="true">IF(D265="","",IF(D265=TODAY(),D265+ROW()/100000,""))</f>
        <v/>
      </c>
      <c r="H265" s="0" t="str">
        <f aca="true">IF(D265="","",IF(AND(D265&gt;TODAY(),D265&lt;=TODAY()+7),D265+ROW()/100000,""))</f>
        <v/>
      </c>
      <c r="I265" s="0" t="str">
        <f aca="false">IF(D265="","",IF(D265=CALENDÁRIO!$L$4,ROW(),""))</f>
        <v/>
      </c>
      <c r="J265" s="0" t="str">
        <f aca="false">IF(D265="","",CHOOSE(WEEKDAY(D265),"Domingo","Segunda","Terça","Quarta","Quinta","Sexta","Sábado"))</f>
        <v/>
      </c>
    </row>
    <row r="266" customFormat="false" ht="15" hidden="false" customHeight="false" outlineLevel="0" collapsed="false">
      <c r="A266" s="0" t="str">
        <f aca="false">IF(ISNUMBER(FOLGAS!$C266),"Folga","")</f>
        <v/>
      </c>
      <c r="B266" s="0" t="str">
        <f aca="false">IF(ISNUMBER(FOLGAS!$C266),FOLGAS!$A266&amp;"","")</f>
        <v/>
      </c>
      <c r="C266" s="0" t="str">
        <f aca="false">IF(ISNUMBER(FOLGAS!$C266),FOLGAS!$B266&amp;"","")</f>
        <v/>
      </c>
      <c r="D266" s="78" t="str">
        <f aca="false">IF(ISNUMBER(FOLGAS!$C266),FOLGAS!$C266,"")</f>
        <v/>
      </c>
      <c r="E266" s="0" t="str">
        <f aca="false">IF(ISNUMBER(FOLGAS!$C266),FOLGAS!$D266&amp;"","")</f>
        <v/>
      </c>
      <c r="F266" s="0" t="str">
        <f aca="false">IF(ISNUMBER(FOLGAS!$C266),FOLGAS!$G266&amp;"","")</f>
        <v/>
      </c>
      <c r="G266" s="0" t="str">
        <f aca="true">IF(D266="","",IF(D266=TODAY(),D266+ROW()/100000,""))</f>
        <v/>
      </c>
      <c r="H266" s="0" t="str">
        <f aca="true">IF(D266="","",IF(AND(D266&gt;TODAY(),D266&lt;=TODAY()+7),D266+ROW()/100000,""))</f>
        <v/>
      </c>
      <c r="I266" s="0" t="str">
        <f aca="false">IF(D266="","",IF(D266=CALENDÁRIO!$L$4,ROW(),""))</f>
        <v/>
      </c>
      <c r="J266" s="0" t="str">
        <f aca="false">IF(D266="","",CHOOSE(WEEKDAY(D266),"Domingo","Segunda","Terça","Quarta","Quinta","Sexta","Sábado"))</f>
        <v/>
      </c>
    </row>
    <row r="267" customFormat="false" ht="15" hidden="false" customHeight="false" outlineLevel="0" collapsed="false">
      <c r="A267" s="0" t="str">
        <f aca="false">IF(ISNUMBER(FOLGAS!$C267),"Folga","")</f>
        <v/>
      </c>
      <c r="B267" s="0" t="str">
        <f aca="false">IF(ISNUMBER(FOLGAS!$C267),FOLGAS!$A267&amp;"","")</f>
        <v/>
      </c>
      <c r="C267" s="0" t="str">
        <f aca="false">IF(ISNUMBER(FOLGAS!$C267),FOLGAS!$B267&amp;"","")</f>
        <v/>
      </c>
      <c r="D267" s="78" t="str">
        <f aca="false">IF(ISNUMBER(FOLGAS!$C267),FOLGAS!$C267,"")</f>
        <v/>
      </c>
      <c r="E267" s="0" t="str">
        <f aca="false">IF(ISNUMBER(FOLGAS!$C267),FOLGAS!$D267&amp;"","")</f>
        <v/>
      </c>
      <c r="F267" s="0" t="str">
        <f aca="false">IF(ISNUMBER(FOLGAS!$C267),FOLGAS!$G267&amp;"","")</f>
        <v/>
      </c>
      <c r="G267" s="0" t="str">
        <f aca="true">IF(D267="","",IF(D267=TODAY(),D267+ROW()/100000,""))</f>
        <v/>
      </c>
      <c r="H267" s="0" t="str">
        <f aca="true">IF(D267="","",IF(AND(D267&gt;TODAY(),D267&lt;=TODAY()+7),D267+ROW()/100000,""))</f>
        <v/>
      </c>
      <c r="I267" s="0" t="str">
        <f aca="false">IF(D267="","",IF(D267=CALENDÁRIO!$L$4,ROW(),""))</f>
        <v/>
      </c>
      <c r="J267" s="0" t="str">
        <f aca="false">IF(D267="","",CHOOSE(WEEKDAY(D267),"Domingo","Segunda","Terça","Quarta","Quinta","Sexta","Sábado"))</f>
        <v/>
      </c>
    </row>
    <row r="268" customFormat="false" ht="15" hidden="false" customHeight="false" outlineLevel="0" collapsed="false">
      <c r="A268" s="0" t="str">
        <f aca="false">IF(ISNUMBER(FOLGAS!$C268),"Folga","")</f>
        <v/>
      </c>
      <c r="B268" s="0" t="str">
        <f aca="false">IF(ISNUMBER(FOLGAS!$C268),FOLGAS!$A268&amp;"","")</f>
        <v/>
      </c>
      <c r="C268" s="0" t="str">
        <f aca="false">IF(ISNUMBER(FOLGAS!$C268),FOLGAS!$B268&amp;"","")</f>
        <v/>
      </c>
      <c r="D268" s="78" t="str">
        <f aca="false">IF(ISNUMBER(FOLGAS!$C268),FOLGAS!$C268,"")</f>
        <v/>
      </c>
      <c r="E268" s="0" t="str">
        <f aca="false">IF(ISNUMBER(FOLGAS!$C268),FOLGAS!$D268&amp;"","")</f>
        <v/>
      </c>
      <c r="F268" s="0" t="str">
        <f aca="false">IF(ISNUMBER(FOLGAS!$C268),FOLGAS!$G268&amp;"","")</f>
        <v/>
      </c>
      <c r="G268" s="0" t="str">
        <f aca="true">IF(D268="","",IF(D268=TODAY(),D268+ROW()/100000,""))</f>
        <v/>
      </c>
      <c r="H268" s="0" t="str">
        <f aca="true">IF(D268="","",IF(AND(D268&gt;TODAY(),D268&lt;=TODAY()+7),D268+ROW()/100000,""))</f>
        <v/>
      </c>
      <c r="I268" s="0" t="str">
        <f aca="false">IF(D268="","",IF(D268=CALENDÁRIO!$L$4,ROW(),""))</f>
        <v/>
      </c>
      <c r="J268" s="0" t="str">
        <f aca="false">IF(D268="","",CHOOSE(WEEKDAY(D268),"Domingo","Segunda","Terça","Quarta","Quinta","Sexta","Sábado"))</f>
        <v/>
      </c>
    </row>
    <row r="269" customFormat="false" ht="15" hidden="false" customHeight="false" outlineLevel="0" collapsed="false">
      <c r="A269" s="0" t="str">
        <f aca="false">IF(ISNUMBER(FOLGAS!$C269),"Folga","")</f>
        <v/>
      </c>
      <c r="B269" s="0" t="str">
        <f aca="false">IF(ISNUMBER(FOLGAS!$C269),FOLGAS!$A269&amp;"","")</f>
        <v/>
      </c>
      <c r="C269" s="0" t="str">
        <f aca="false">IF(ISNUMBER(FOLGAS!$C269),FOLGAS!$B269&amp;"","")</f>
        <v/>
      </c>
      <c r="D269" s="78" t="str">
        <f aca="false">IF(ISNUMBER(FOLGAS!$C269),FOLGAS!$C269,"")</f>
        <v/>
      </c>
      <c r="E269" s="0" t="str">
        <f aca="false">IF(ISNUMBER(FOLGAS!$C269),FOLGAS!$D269&amp;"","")</f>
        <v/>
      </c>
      <c r="F269" s="0" t="str">
        <f aca="false">IF(ISNUMBER(FOLGAS!$C269),FOLGAS!$G269&amp;"","")</f>
        <v/>
      </c>
      <c r="G269" s="0" t="str">
        <f aca="true">IF(D269="","",IF(D269=TODAY(),D269+ROW()/100000,""))</f>
        <v/>
      </c>
      <c r="H269" s="0" t="str">
        <f aca="true">IF(D269="","",IF(AND(D269&gt;TODAY(),D269&lt;=TODAY()+7),D269+ROW()/100000,""))</f>
        <v/>
      </c>
      <c r="I269" s="0" t="str">
        <f aca="false">IF(D269="","",IF(D269=CALENDÁRIO!$L$4,ROW(),""))</f>
        <v/>
      </c>
      <c r="J269" s="0" t="str">
        <f aca="false">IF(D269="","",CHOOSE(WEEKDAY(D269),"Domingo","Segunda","Terça","Quarta","Quinta","Sexta","Sábado"))</f>
        <v/>
      </c>
    </row>
    <row r="270" customFormat="false" ht="15" hidden="false" customHeight="false" outlineLevel="0" collapsed="false">
      <c r="A270" s="0" t="str">
        <f aca="false">IF(ISNUMBER(FOLGAS!$C270),"Folga","")</f>
        <v/>
      </c>
      <c r="B270" s="0" t="str">
        <f aca="false">IF(ISNUMBER(FOLGAS!$C270),FOLGAS!$A270&amp;"","")</f>
        <v/>
      </c>
      <c r="C270" s="0" t="str">
        <f aca="false">IF(ISNUMBER(FOLGAS!$C270),FOLGAS!$B270&amp;"","")</f>
        <v/>
      </c>
      <c r="D270" s="78" t="str">
        <f aca="false">IF(ISNUMBER(FOLGAS!$C270),FOLGAS!$C270,"")</f>
        <v/>
      </c>
      <c r="E270" s="0" t="str">
        <f aca="false">IF(ISNUMBER(FOLGAS!$C270),FOLGAS!$D270&amp;"","")</f>
        <v/>
      </c>
      <c r="F270" s="0" t="str">
        <f aca="false">IF(ISNUMBER(FOLGAS!$C270),FOLGAS!$G270&amp;"","")</f>
        <v/>
      </c>
      <c r="G270" s="0" t="str">
        <f aca="true">IF(D270="","",IF(D270=TODAY(),D270+ROW()/100000,""))</f>
        <v/>
      </c>
      <c r="H270" s="0" t="str">
        <f aca="true">IF(D270="","",IF(AND(D270&gt;TODAY(),D270&lt;=TODAY()+7),D270+ROW()/100000,""))</f>
        <v/>
      </c>
      <c r="I270" s="0" t="str">
        <f aca="false">IF(D270="","",IF(D270=CALENDÁRIO!$L$4,ROW(),""))</f>
        <v/>
      </c>
      <c r="J270" s="0" t="str">
        <f aca="false">IF(D270="","",CHOOSE(WEEKDAY(D270),"Domingo","Segunda","Terça","Quarta","Quinta","Sexta","Sábado"))</f>
        <v/>
      </c>
    </row>
    <row r="271" customFormat="false" ht="15" hidden="false" customHeight="false" outlineLevel="0" collapsed="false">
      <c r="A271" s="0" t="str">
        <f aca="false">IF(ISNUMBER(FOLGAS!$C271),"Folga","")</f>
        <v/>
      </c>
      <c r="B271" s="0" t="str">
        <f aca="false">IF(ISNUMBER(FOLGAS!$C271),FOLGAS!$A271&amp;"","")</f>
        <v/>
      </c>
      <c r="C271" s="0" t="str">
        <f aca="false">IF(ISNUMBER(FOLGAS!$C271),FOLGAS!$B271&amp;"","")</f>
        <v/>
      </c>
      <c r="D271" s="78" t="str">
        <f aca="false">IF(ISNUMBER(FOLGAS!$C271),FOLGAS!$C271,"")</f>
        <v/>
      </c>
      <c r="E271" s="0" t="str">
        <f aca="false">IF(ISNUMBER(FOLGAS!$C271),FOLGAS!$D271&amp;"","")</f>
        <v/>
      </c>
      <c r="F271" s="0" t="str">
        <f aca="false">IF(ISNUMBER(FOLGAS!$C271),FOLGAS!$G271&amp;"","")</f>
        <v/>
      </c>
      <c r="G271" s="0" t="str">
        <f aca="true">IF(D271="","",IF(D271=TODAY(),D271+ROW()/100000,""))</f>
        <v/>
      </c>
      <c r="H271" s="0" t="str">
        <f aca="true">IF(D271="","",IF(AND(D271&gt;TODAY(),D271&lt;=TODAY()+7),D271+ROW()/100000,""))</f>
        <v/>
      </c>
      <c r="I271" s="0" t="str">
        <f aca="false">IF(D271="","",IF(D271=CALENDÁRIO!$L$4,ROW(),""))</f>
        <v/>
      </c>
      <c r="J271" s="0" t="str">
        <f aca="false">IF(D271="","",CHOOSE(WEEKDAY(D271),"Domingo","Segunda","Terça","Quarta","Quinta","Sexta","Sábado"))</f>
        <v/>
      </c>
    </row>
    <row r="272" customFormat="false" ht="15" hidden="false" customHeight="false" outlineLevel="0" collapsed="false">
      <c r="A272" s="0" t="str">
        <f aca="false">IF(ISNUMBER(FOLGAS!$C272),"Folga","")</f>
        <v/>
      </c>
      <c r="B272" s="0" t="str">
        <f aca="false">IF(ISNUMBER(FOLGAS!$C272),FOLGAS!$A272&amp;"","")</f>
        <v/>
      </c>
      <c r="C272" s="0" t="str">
        <f aca="false">IF(ISNUMBER(FOLGAS!$C272),FOLGAS!$B272&amp;"","")</f>
        <v/>
      </c>
      <c r="D272" s="78" t="str">
        <f aca="false">IF(ISNUMBER(FOLGAS!$C272),FOLGAS!$C272,"")</f>
        <v/>
      </c>
      <c r="E272" s="0" t="str">
        <f aca="false">IF(ISNUMBER(FOLGAS!$C272),FOLGAS!$D272&amp;"","")</f>
        <v/>
      </c>
      <c r="F272" s="0" t="str">
        <f aca="false">IF(ISNUMBER(FOLGAS!$C272),FOLGAS!$G272&amp;"","")</f>
        <v/>
      </c>
      <c r="G272" s="0" t="str">
        <f aca="true">IF(D272="","",IF(D272=TODAY(),D272+ROW()/100000,""))</f>
        <v/>
      </c>
      <c r="H272" s="0" t="str">
        <f aca="true">IF(D272="","",IF(AND(D272&gt;TODAY(),D272&lt;=TODAY()+7),D272+ROW()/100000,""))</f>
        <v/>
      </c>
      <c r="I272" s="0" t="str">
        <f aca="false">IF(D272="","",IF(D272=CALENDÁRIO!$L$4,ROW(),""))</f>
        <v/>
      </c>
      <c r="J272" s="0" t="str">
        <f aca="false">IF(D272="","",CHOOSE(WEEKDAY(D272),"Domingo","Segunda","Terça","Quarta","Quinta","Sexta","Sábado"))</f>
        <v/>
      </c>
    </row>
    <row r="273" customFormat="false" ht="15" hidden="false" customHeight="false" outlineLevel="0" collapsed="false">
      <c r="A273" s="0" t="str">
        <f aca="false">IF(ISNUMBER(FOLGAS!$C273),"Folga","")</f>
        <v/>
      </c>
      <c r="B273" s="0" t="str">
        <f aca="false">IF(ISNUMBER(FOLGAS!$C273),FOLGAS!$A273&amp;"","")</f>
        <v/>
      </c>
      <c r="C273" s="0" t="str">
        <f aca="false">IF(ISNUMBER(FOLGAS!$C273),FOLGAS!$B273&amp;"","")</f>
        <v/>
      </c>
      <c r="D273" s="78" t="str">
        <f aca="false">IF(ISNUMBER(FOLGAS!$C273),FOLGAS!$C273,"")</f>
        <v/>
      </c>
      <c r="E273" s="0" t="str">
        <f aca="false">IF(ISNUMBER(FOLGAS!$C273),FOLGAS!$D273&amp;"","")</f>
        <v/>
      </c>
      <c r="F273" s="0" t="str">
        <f aca="false">IF(ISNUMBER(FOLGAS!$C273),FOLGAS!$G273&amp;"","")</f>
        <v/>
      </c>
      <c r="G273" s="0" t="str">
        <f aca="true">IF(D273="","",IF(D273=TODAY(),D273+ROW()/100000,""))</f>
        <v/>
      </c>
      <c r="H273" s="0" t="str">
        <f aca="true">IF(D273="","",IF(AND(D273&gt;TODAY(),D273&lt;=TODAY()+7),D273+ROW()/100000,""))</f>
        <v/>
      </c>
      <c r="I273" s="0" t="str">
        <f aca="false">IF(D273="","",IF(D273=CALENDÁRIO!$L$4,ROW(),""))</f>
        <v/>
      </c>
      <c r="J273" s="0" t="str">
        <f aca="false">IF(D273="","",CHOOSE(WEEKDAY(D273),"Domingo","Segunda","Terça","Quarta","Quinta","Sexta","Sábado"))</f>
        <v/>
      </c>
    </row>
    <row r="274" customFormat="false" ht="15" hidden="false" customHeight="false" outlineLevel="0" collapsed="false">
      <c r="A274" s="0" t="str">
        <f aca="false">IF(ISNUMBER(FOLGAS!$C274),"Folga","")</f>
        <v/>
      </c>
      <c r="B274" s="0" t="str">
        <f aca="false">IF(ISNUMBER(FOLGAS!$C274),FOLGAS!$A274&amp;"","")</f>
        <v/>
      </c>
      <c r="C274" s="0" t="str">
        <f aca="false">IF(ISNUMBER(FOLGAS!$C274),FOLGAS!$B274&amp;"","")</f>
        <v/>
      </c>
      <c r="D274" s="78" t="str">
        <f aca="false">IF(ISNUMBER(FOLGAS!$C274),FOLGAS!$C274,"")</f>
        <v/>
      </c>
      <c r="E274" s="0" t="str">
        <f aca="false">IF(ISNUMBER(FOLGAS!$C274),FOLGAS!$D274&amp;"","")</f>
        <v/>
      </c>
      <c r="F274" s="0" t="str">
        <f aca="false">IF(ISNUMBER(FOLGAS!$C274),FOLGAS!$G274&amp;"","")</f>
        <v/>
      </c>
      <c r="G274" s="0" t="str">
        <f aca="true">IF(D274="","",IF(D274=TODAY(),D274+ROW()/100000,""))</f>
        <v/>
      </c>
      <c r="H274" s="0" t="str">
        <f aca="true">IF(D274="","",IF(AND(D274&gt;TODAY(),D274&lt;=TODAY()+7),D274+ROW()/100000,""))</f>
        <v/>
      </c>
      <c r="I274" s="0" t="str">
        <f aca="false">IF(D274="","",IF(D274=CALENDÁRIO!$L$4,ROW(),""))</f>
        <v/>
      </c>
      <c r="J274" s="0" t="str">
        <f aca="false">IF(D274="","",CHOOSE(WEEKDAY(D274),"Domingo","Segunda","Terça","Quarta","Quinta","Sexta","Sábado"))</f>
        <v/>
      </c>
    </row>
    <row r="275" customFormat="false" ht="15" hidden="false" customHeight="false" outlineLevel="0" collapsed="false">
      <c r="A275" s="0" t="str">
        <f aca="false">IF(ISNUMBER(FOLGAS!$C275),"Folga","")</f>
        <v/>
      </c>
      <c r="B275" s="0" t="str">
        <f aca="false">IF(ISNUMBER(FOLGAS!$C275),FOLGAS!$A275&amp;"","")</f>
        <v/>
      </c>
      <c r="C275" s="0" t="str">
        <f aca="false">IF(ISNUMBER(FOLGAS!$C275),FOLGAS!$B275&amp;"","")</f>
        <v/>
      </c>
      <c r="D275" s="78" t="str">
        <f aca="false">IF(ISNUMBER(FOLGAS!$C275),FOLGAS!$C275,"")</f>
        <v/>
      </c>
      <c r="E275" s="0" t="str">
        <f aca="false">IF(ISNUMBER(FOLGAS!$C275),FOLGAS!$D275&amp;"","")</f>
        <v/>
      </c>
      <c r="F275" s="0" t="str">
        <f aca="false">IF(ISNUMBER(FOLGAS!$C275),FOLGAS!$G275&amp;"","")</f>
        <v/>
      </c>
      <c r="G275" s="0" t="str">
        <f aca="true">IF(D275="","",IF(D275=TODAY(),D275+ROW()/100000,""))</f>
        <v/>
      </c>
      <c r="H275" s="0" t="str">
        <f aca="true">IF(D275="","",IF(AND(D275&gt;TODAY(),D275&lt;=TODAY()+7),D275+ROW()/100000,""))</f>
        <v/>
      </c>
      <c r="I275" s="0" t="str">
        <f aca="false">IF(D275="","",IF(D275=CALENDÁRIO!$L$4,ROW(),""))</f>
        <v/>
      </c>
      <c r="J275" s="0" t="str">
        <f aca="false">IF(D275="","",CHOOSE(WEEKDAY(D275),"Domingo","Segunda","Terça","Quarta","Quinta","Sexta","Sábado"))</f>
        <v/>
      </c>
    </row>
    <row r="276" customFormat="false" ht="15" hidden="false" customHeight="false" outlineLevel="0" collapsed="false">
      <c r="A276" s="0" t="str">
        <f aca="false">IF(ISNUMBER(FOLGAS!$C276),"Folga","")</f>
        <v/>
      </c>
      <c r="B276" s="0" t="str">
        <f aca="false">IF(ISNUMBER(FOLGAS!$C276),FOLGAS!$A276&amp;"","")</f>
        <v/>
      </c>
      <c r="C276" s="0" t="str">
        <f aca="false">IF(ISNUMBER(FOLGAS!$C276),FOLGAS!$B276&amp;"","")</f>
        <v/>
      </c>
      <c r="D276" s="78" t="str">
        <f aca="false">IF(ISNUMBER(FOLGAS!$C276),FOLGAS!$C276,"")</f>
        <v/>
      </c>
      <c r="E276" s="0" t="str">
        <f aca="false">IF(ISNUMBER(FOLGAS!$C276),FOLGAS!$D276&amp;"","")</f>
        <v/>
      </c>
      <c r="F276" s="0" t="str">
        <f aca="false">IF(ISNUMBER(FOLGAS!$C276),FOLGAS!$G276&amp;"","")</f>
        <v/>
      </c>
      <c r="G276" s="0" t="str">
        <f aca="true">IF(D276="","",IF(D276=TODAY(),D276+ROW()/100000,""))</f>
        <v/>
      </c>
      <c r="H276" s="0" t="str">
        <f aca="true">IF(D276="","",IF(AND(D276&gt;TODAY(),D276&lt;=TODAY()+7),D276+ROW()/100000,""))</f>
        <v/>
      </c>
      <c r="I276" s="0" t="str">
        <f aca="false">IF(D276="","",IF(D276=CALENDÁRIO!$L$4,ROW(),""))</f>
        <v/>
      </c>
      <c r="J276" s="0" t="str">
        <f aca="false">IF(D276="","",CHOOSE(WEEKDAY(D276),"Domingo","Segunda","Terça","Quarta","Quinta","Sexta","Sábado"))</f>
        <v/>
      </c>
    </row>
    <row r="277" customFormat="false" ht="15" hidden="false" customHeight="false" outlineLevel="0" collapsed="false">
      <c r="A277" s="0" t="str">
        <f aca="false">IF(ISNUMBER(FOLGAS!$C277),"Folga","")</f>
        <v/>
      </c>
      <c r="B277" s="0" t="str">
        <f aca="false">IF(ISNUMBER(FOLGAS!$C277),FOLGAS!$A277&amp;"","")</f>
        <v/>
      </c>
      <c r="C277" s="0" t="str">
        <f aca="false">IF(ISNUMBER(FOLGAS!$C277),FOLGAS!$B277&amp;"","")</f>
        <v/>
      </c>
      <c r="D277" s="78" t="str">
        <f aca="false">IF(ISNUMBER(FOLGAS!$C277),FOLGAS!$C277,"")</f>
        <v/>
      </c>
      <c r="E277" s="0" t="str">
        <f aca="false">IF(ISNUMBER(FOLGAS!$C277),FOLGAS!$D277&amp;"","")</f>
        <v/>
      </c>
      <c r="F277" s="0" t="str">
        <f aca="false">IF(ISNUMBER(FOLGAS!$C277),FOLGAS!$G277&amp;"","")</f>
        <v/>
      </c>
      <c r="G277" s="0" t="str">
        <f aca="true">IF(D277="","",IF(D277=TODAY(),D277+ROW()/100000,""))</f>
        <v/>
      </c>
      <c r="H277" s="0" t="str">
        <f aca="true">IF(D277="","",IF(AND(D277&gt;TODAY(),D277&lt;=TODAY()+7),D277+ROW()/100000,""))</f>
        <v/>
      </c>
      <c r="I277" s="0" t="str">
        <f aca="false">IF(D277="","",IF(D277=CALENDÁRIO!$L$4,ROW(),""))</f>
        <v/>
      </c>
      <c r="J277" s="0" t="str">
        <f aca="false">IF(D277="","",CHOOSE(WEEKDAY(D277),"Domingo","Segunda","Terça","Quarta","Quinta","Sexta","Sábado"))</f>
        <v/>
      </c>
    </row>
    <row r="278" customFormat="false" ht="15" hidden="false" customHeight="false" outlineLevel="0" collapsed="false">
      <c r="A278" s="0" t="str">
        <f aca="false">IF(ISNUMBER(FOLGAS!$C278),"Folga","")</f>
        <v/>
      </c>
      <c r="B278" s="0" t="str">
        <f aca="false">IF(ISNUMBER(FOLGAS!$C278),FOLGAS!$A278&amp;"","")</f>
        <v/>
      </c>
      <c r="C278" s="0" t="str">
        <f aca="false">IF(ISNUMBER(FOLGAS!$C278),FOLGAS!$B278&amp;"","")</f>
        <v/>
      </c>
      <c r="D278" s="78" t="str">
        <f aca="false">IF(ISNUMBER(FOLGAS!$C278),FOLGAS!$C278,"")</f>
        <v/>
      </c>
      <c r="E278" s="0" t="str">
        <f aca="false">IF(ISNUMBER(FOLGAS!$C278),FOLGAS!$D278&amp;"","")</f>
        <v/>
      </c>
      <c r="F278" s="0" t="str">
        <f aca="false">IF(ISNUMBER(FOLGAS!$C278),FOLGAS!$G278&amp;"","")</f>
        <v/>
      </c>
      <c r="G278" s="0" t="str">
        <f aca="true">IF(D278="","",IF(D278=TODAY(),D278+ROW()/100000,""))</f>
        <v/>
      </c>
      <c r="H278" s="0" t="str">
        <f aca="true">IF(D278="","",IF(AND(D278&gt;TODAY(),D278&lt;=TODAY()+7),D278+ROW()/100000,""))</f>
        <v/>
      </c>
      <c r="I278" s="0" t="str">
        <f aca="false">IF(D278="","",IF(D278=CALENDÁRIO!$L$4,ROW(),""))</f>
        <v/>
      </c>
      <c r="J278" s="0" t="str">
        <f aca="false">IF(D278="","",CHOOSE(WEEKDAY(D278),"Domingo","Segunda","Terça","Quarta","Quinta","Sexta","Sábado"))</f>
        <v/>
      </c>
    </row>
    <row r="279" customFormat="false" ht="15" hidden="false" customHeight="false" outlineLevel="0" collapsed="false">
      <c r="A279" s="0" t="str">
        <f aca="false">IF(ISNUMBER(FOLGAS!$C279),"Folga","")</f>
        <v/>
      </c>
      <c r="B279" s="0" t="str">
        <f aca="false">IF(ISNUMBER(FOLGAS!$C279),FOLGAS!$A279&amp;"","")</f>
        <v/>
      </c>
      <c r="C279" s="0" t="str">
        <f aca="false">IF(ISNUMBER(FOLGAS!$C279),FOLGAS!$B279&amp;"","")</f>
        <v/>
      </c>
      <c r="D279" s="78" t="str">
        <f aca="false">IF(ISNUMBER(FOLGAS!$C279),FOLGAS!$C279,"")</f>
        <v/>
      </c>
      <c r="E279" s="0" t="str">
        <f aca="false">IF(ISNUMBER(FOLGAS!$C279),FOLGAS!$D279&amp;"","")</f>
        <v/>
      </c>
      <c r="F279" s="0" t="str">
        <f aca="false">IF(ISNUMBER(FOLGAS!$C279),FOLGAS!$G279&amp;"","")</f>
        <v/>
      </c>
      <c r="G279" s="0" t="str">
        <f aca="true">IF(D279="","",IF(D279=TODAY(),D279+ROW()/100000,""))</f>
        <v/>
      </c>
      <c r="H279" s="0" t="str">
        <f aca="true">IF(D279="","",IF(AND(D279&gt;TODAY(),D279&lt;=TODAY()+7),D279+ROW()/100000,""))</f>
        <v/>
      </c>
      <c r="I279" s="0" t="str">
        <f aca="false">IF(D279="","",IF(D279=CALENDÁRIO!$L$4,ROW(),""))</f>
        <v/>
      </c>
      <c r="J279" s="0" t="str">
        <f aca="false">IF(D279="","",CHOOSE(WEEKDAY(D279),"Domingo","Segunda","Terça","Quarta","Quinta","Sexta","Sábado"))</f>
        <v/>
      </c>
    </row>
    <row r="280" customFormat="false" ht="15" hidden="false" customHeight="false" outlineLevel="0" collapsed="false">
      <c r="A280" s="0" t="str">
        <f aca="false">IF(ISNUMBER(FOLGAS!$C280),"Folga","")</f>
        <v/>
      </c>
      <c r="B280" s="0" t="str">
        <f aca="false">IF(ISNUMBER(FOLGAS!$C280),FOLGAS!$A280&amp;"","")</f>
        <v/>
      </c>
      <c r="C280" s="0" t="str">
        <f aca="false">IF(ISNUMBER(FOLGAS!$C280),FOLGAS!$B280&amp;"","")</f>
        <v/>
      </c>
      <c r="D280" s="78" t="str">
        <f aca="false">IF(ISNUMBER(FOLGAS!$C280),FOLGAS!$C280,"")</f>
        <v/>
      </c>
      <c r="E280" s="0" t="str">
        <f aca="false">IF(ISNUMBER(FOLGAS!$C280),FOLGAS!$D280&amp;"","")</f>
        <v/>
      </c>
      <c r="F280" s="0" t="str">
        <f aca="false">IF(ISNUMBER(FOLGAS!$C280),FOLGAS!$G280&amp;"","")</f>
        <v/>
      </c>
      <c r="G280" s="0" t="str">
        <f aca="true">IF(D280="","",IF(D280=TODAY(),D280+ROW()/100000,""))</f>
        <v/>
      </c>
      <c r="H280" s="0" t="str">
        <f aca="true">IF(D280="","",IF(AND(D280&gt;TODAY(),D280&lt;=TODAY()+7),D280+ROW()/100000,""))</f>
        <v/>
      </c>
      <c r="I280" s="0" t="str">
        <f aca="false">IF(D280="","",IF(D280=CALENDÁRIO!$L$4,ROW(),""))</f>
        <v/>
      </c>
      <c r="J280" s="0" t="str">
        <f aca="false">IF(D280="","",CHOOSE(WEEKDAY(D280),"Domingo","Segunda","Terça","Quarta","Quinta","Sexta","Sábado"))</f>
        <v/>
      </c>
    </row>
    <row r="281" customFormat="false" ht="15" hidden="false" customHeight="false" outlineLevel="0" collapsed="false">
      <c r="A281" s="0" t="str">
        <f aca="false">IF(ISNUMBER(FOLGAS!$C281),"Folga","")</f>
        <v/>
      </c>
      <c r="B281" s="0" t="str">
        <f aca="false">IF(ISNUMBER(FOLGAS!$C281),FOLGAS!$A281&amp;"","")</f>
        <v/>
      </c>
      <c r="C281" s="0" t="str">
        <f aca="false">IF(ISNUMBER(FOLGAS!$C281),FOLGAS!$B281&amp;"","")</f>
        <v/>
      </c>
      <c r="D281" s="78" t="str">
        <f aca="false">IF(ISNUMBER(FOLGAS!$C281),FOLGAS!$C281,"")</f>
        <v/>
      </c>
      <c r="E281" s="0" t="str">
        <f aca="false">IF(ISNUMBER(FOLGAS!$C281),FOLGAS!$D281&amp;"","")</f>
        <v/>
      </c>
      <c r="F281" s="0" t="str">
        <f aca="false">IF(ISNUMBER(FOLGAS!$C281),FOLGAS!$G281&amp;"","")</f>
        <v/>
      </c>
      <c r="G281" s="0" t="str">
        <f aca="true">IF(D281="","",IF(D281=TODAY(),D281+ROW()/100000,""))</f>
        <v/>
      </c>
      <c r="H281" s="0" t="str">
        <f aca="true">IF(D281="","",IF(AND(D281&gt;TODAY(),D281&lt;=TODAY()+7),D281+ROW()/100000,""))</f>
        <v/>
      </c>
      <c r="I281" s="0" t="str">
        <f aca="false">IF(D281="","",IF(D281=CALENDÁRIO!$L$4,ROW(),""))</f>
        <v/>
      </c>
      <c r="J281" s="0" t="str">
        <f aca="false">IF(D281="","",CHOOSE(WEEKDAY(D281),"Domingo","Segunda","Terça","Quarta","Quinta","Sexta","Sábado"))</f>
        <v/>
      </c>
    </row>
    <row r="282" customFormat="false" ht="15" hidden="false" customHeight="false" outlineLevel="0" collapsed="false">
      <c r="A282" s="0" t="str">
        <f aca="false">IF(ISNUMBER(FOLGAS!$C282),"Folga","")</f>
        <v/>
      </c>
      <c r="B282" s="0" t="str">
        <f aca="false">IF(ISNUMBER(FOLGAS!$C282),FOLGAS!$A282&amp;"","")</f>
        <v/>
      </c>
      <c r="C282" s="0" t="str">
        <f aca="false">IF(ISNUMBER(FOLGAS!$C282),FOLGAS!$B282&amp;"","")</f>
        <v/>
      </c>
      <c r="D282" s="78" t="str">
        <f aca="false">IF(ISNUMBER(FOLGAS!$C282),FOLGAS!$C282,"")</f>
        <v/>
      </c>
      <c r="E282" s="0" t="str">
        <f aca="false">IF(ISNUMBER(FOLGAS!$C282),FOLGAS!$D282&amp;"","")</f>
        <v/>
      </c>
      <c r="F282" s="0" t="str">
        <f aca="false">IF(ISNUMBER(FOLGAS!$C282),FOLGAS!$G282&amp;"","")</f>
        <v/>
      </c>
      <c r="G282" s="0" t="str">
        <f aca="true">IF(D282="","",IF(D282=TODAY(),D282+ROW()/100000,""))</f>
        <v/>
      </c>
      <c r="H282" s="0" t="str">
        <f aca="true">IF(D282="","",IF(AND(D282&gt;TODAY(),D282&lt;=TODAY()+7),D282+ROW()/100000,""))</f>
        <v/>
      </c>
      <c r="I282" s="0" t="str">
        <f aca="false">IF(D282="","",IF(D282=CALENDÁRIO!$L$4,ROW(),""))</f>
        <v/>
      </c>
      <c r="J282" s="0" t="str">
        <f aca="false">IF(D282="","",CHOOSE(WEEKDAY(D282),"Domingo","Segunda","Terça","Quarta","Quinta","Sexta","Sábado"))</f>
        <v/>
      </c>
    </row>
    <row r="283" customFormat="false" ht="15" hidden="false" customHeight="false" outlineLevel="0" collapsed="false">
      <c r="A283" s="0" t="str">
        <f aca="false">IF(ISNUMBER(FOLGAS!$C283),"Folga","")</f>
        <v/>
      </c>
      <c r="B283" s="0" t="str">
        <f aca="false">IF(ISNUMBER(FOLGAS!$C283),FOLGAS!$A283&amp;"","")</f>
        <v/>
      </c>
      <c r="C283" s="0" t="str">
        <f aca="false">IF(ISNUMBER(FOLGAS!$C283),FOLGAS!$B283&amp;"","")</f>
        <v/>
      </c>
      <c r="D283" s="78" t="str">
        <f aca="false">IF(ISNUMBER(FOLGAS!$C283),FOLGAS!$C283,"")</f>
        <v/>
      </c>
      <c r="E283" s="0" t="str">
        <f aca="false">IF(ISNUMBER(FOLGAS!$C283),FOLGAS!$D283&amp;"","")</f>
        <v/>
      </c>
      <c r="F283" s="0" t="str">
        <f aca="false">IF(ISNUMBER(FOLGAS!$C283),FOLGAS!$G283&amp;"","")</f>
        <v/>
      </c>
      <c r="G283" s="0" t="str">
        <f aca="true">IF(D283="","",IF(D283=TODAY(),D283+ROW()/100000,""))</f>
        <v/>
      </c>
      <c r="H283" s="0" t="str">
        <f aca="true">IF(D283="","",IF(AND(D283&gt;TODAY(),D283&lt;=TODAY()+7),D283+ROW()/100000,""))</f>
        <v/>
      </c>
      <c r="I283" s="0" t="str">
        <f aca="false">IF(D283="","",IF(D283=CALENDÁRIO!$L$4,ROW(),""))</f>
        <v/>
      </c>
      <c r="J283" s="0" t="str">
        <f aca="false">IF(D283="","",CHOOSE(WEEKDAY(D283),"Domingo","Segunda","Terça","Quarta","Quinta","Sexta","Sábado"))</f>
        <v/>
      </c>
    </row>
    <row r="284" customFormat="false" ht="15" hidden="false" customHeight="false" outlineLevel="0" collapsed="false">
      <c r="A284" s="0" t="str">
        <f aca="false">IF(ISNUMBER(FOLGAS!$C284),"Folga","")</f>
        <v/>
      </c>
      <c r="B284" s="0" t="str">
        <f aca="false">IF(ISNUMBER(FOLGAS!$C284),FOLGAS!$A284&amp;"","")</f>
        <v/>
      </c>
      <c r="C284" s="0" t="str">
        <f aca="false">IF(ISNUMBER(FOLGAS!$C284),FOLGAS!$B284&amp;"","")</f>
        <v/>
      </c>
      <c r="D284" s="78" t="str">
        <f aca="false">IF(ISNUMBER(FOLGAS!$C284),FOLGAS!$C284,"")</f>
        <v/>
      </c>
      <c r="E284" s="0" t="str">
        <f aca="false">IF(ISNUMBER(FOLGAS!$C284),FOLGAS!$D284&amp;"","")</f>
        <v/>
      </c>
      <c r="F284" s="0" t="str">
        <f aca="false">IF(ISNUMBER(FOLGAS!$C284),FOLGAS!$G284&amp;"","")</f>
        <v/>
      </c>
      <c r="G284" s="0" t="str">
        <f aca="true">IF(D284="","",IF(D284=TODAY(),D284+ROW()/100000,""))</f>
        <v/>
      </c>
      <c r="H284" s="0" t="str">
        <f aca="true">IF(D284="","",IF(AND(D284&gt;TODAY(),D284&lt;=TODAY()+7),D284+ROW()/100000,""))</f>
        <v/>
      </c>
      <c r="I284" s="0" t="str">
        <f aca="false">IF(D284="","",IF(D284=CALENDÁRIO!$L$4,ROW(),""))</f>
        <v/>
      </c>
      <c r="J284" s="0" t="str">
        <f aca="false">IF(D284="","",CHOOSE(WEEKDAY(D284),"Domingo","Segunda","Terça","Quarta","Quinta","Sexta","Sábado"))</f>
        <v/>
      </c>
    </row>
    <row r="285" customFormat="false" ht="15" hidden="false" customHeight="false" outlineLevel="0" collapsed="false">
      <c r="A285" s="0" t="str">
        <f aca="false">IF(ISNUMBER(FOLGAS!$C285),"Folga","")</f>
        <v/>
      </c>
      <c r="B285" s="0" t="str">
        <f aca="false">IF(ISNUMBER(FOLGAS!$C285),FOLGAS!$A285&amp;"","")</f>
        <v/>
      </c>
      <c r="C285" s="0" t="str">
        <f aca="false">IF(ISNUMBER(FOLGAS!$C285),FOLGAS!$B285&amp;"","")</f>
        <v/>
      </c>
      <c r="D285" s="78" t="str">
        <f aca="false">IF(ISNUMBER(FOLGAS!$C285),FOLGAS!$C285,"")</f>
        <v/>
      </c>
      <c r="E285" s="0" t="str">
        <f aca="false">IF(ISNUMBER(FOLGAS!$C285),FOLGAS!$D285&amp;"","")</f>
        <v/>
      </c>
      <c r="F285" s="0" t="str">
        <f aca="false">IF(ISNUMBER(FOLGAS!$C285),FOLGAS!$G285&amp;"","")</f>
        <v/>
      </c>
      <c r="G285" s="0" t="str">
        <f aca="true">IF(D285="","",IF(D285=TODAY(),D285+ROW()/100000,""))</f>
        <v/>
      </c>
      <c r="H285" s="0" t="str">
        <f aca="true">IF(D285="","",IF(AND(D285&gt;TODAY(),D285&lt;=TODAY()+7),D285+ROW()/100000,""))</f>
        <v/>
      </c>
      <c r="I285" s="0" t="str">
        <f aca="false">IF(D285="","",IF(D285=CALENDÁRIO!$L$4,ROW(),""))</f>
        <v/>
      </c>
      <c r="J285" s="0" t="str">
        <f aca="false">IF(D285="","",CHOOSE(WEEKDAY(D285),"Domingo","Segunda","Terça","Quarta","Quinta","Sexta","Sábado"))</f>
        <v/>
      </c>
    </row>
    <row r="286" customFormat="false" ht="15" hidden="false" customHeight="false" outlineLevel="0" collapsed="false">
      <c r="A286" s="0" t="str">
        <f aca="false">IF(ISNUMBER(FOLGAS!$C286),"Folga","")</f>
        <v/>
      </c>
      <c r="B286" s="0" t="str">
        <f aca="false">IF(ISNUMBER(FOLGAS!$C286),FOLGAS!$A286&amp;"","")</f>
        <v/>
      </c>
      <c r="C286" s="0" t="str">
        <f aca="false">IF(ISNUMBER(FOLGAS!$C286),FOLGAS!$B286&amp;"","")</f>
        <v/>
      </c>
      <c r="D286" s="78" t="str">
        <f aca="false">IF(ISNUMBER(FOLGAS!$C286),FOLGAS!$C286,"")</f>
        <v/>
      </c>
      <c r="E286" s="0" t="str">
        <f aca="false">IF(ISNUMBER(FOLGAS!$C286),FOLGAS!$D286&amp;"","")</f>
        <v/>
      </c>
      <c r="F286" s="0" t="str">
        <f aca="false">IF(ISNUMBER(FOLGAS!$C286),FOLGAS!$G286&amp;"","")</f>
        <v/>
      </c>
      <c r="G286" s="0" t="str">
        <f aca="true">IF(D286="","",IF(D286=TODAY(),D286+ROW()/100000,""))</f>
        <v/>
      </c>
      <c r="H286" s="0" t="str">
        <f aca="true">IF(D286="","",IF(AND(D286&gt;TODAY(),D286&lt;=TODAY()+7),D286+ROW()/100000,""))</f>
        <v/>
      </c>
      <c r="I286" s="0" t="str">
        <f aca="false">IF(D286="","",IF(D286=CALENDÁRIO!$L$4,ROW(),""))</f>
        <v/>
      </c>
      <c r="J286" s="0" t="str">
        <f aca="false">IF(D286="","",CHOOSE(WEEKDAY(D286),"Domingo","Segunda","Terça","Quarta","Quinta","Sexta","Sábado"))</f>
        <v/>
      </c>
    </row>
    <row r="287" customFormat="false" ht="15" hidden="false" customHeight="false" outlineLevel="0" collapsed="false">
      <c r="A287" s="0" t="str">
        <f aca="false">IF(ISNUMBER(FOLGAS!$C287),"Folga","")</f>
        <v/>
      </c>
      <c r="B287" s="0" t="str">
        <f aca="false">IF(ISNUMBER(FOLGAS!$C287),FOLGAS!$A287&amp;"","")</f>
        <v/>
      </c>
      <c r="C287" s="0" t="str">
        <f aca="false">IF(ISNUMBER(FOLGAS!$C287),FOLGAS!$B287&amp;"","")</f>
        <v/>
      </c>
      <c r="D287" s="78" t="str">
        <f aca="false">IF(ISNUMBER(FOLGAS!$C287),FOLGAS!$C287,"")</f>
        <v/>
      </c>
      <c r="E287" s="0" t="str">
        <f aca="false">IF(ISNUMBER(FOLGAS!$C287),FOLGAS!$D287&amp;"","")</f>
        <v/>
      </c>
      <c r="F287" s="0" t="str">
        <f aca="false">IF(ISNUMBER(FOLGAS!$C287),FOLGAS!$G287&amp;"","")</f>
        <v/>
      </c>
      <c r="G287" s="0" t="str">
        <f aca="true">IF(D287="","",IF(D287=TODAY(),D287+ROW()/100000,""))</f>
        <v/>
      </c>
      <c r="H287" s="0" t="str">
        <f aca="true">IF(D287="","",IF(AND(D287&gt;TODAY(),D287&lt;=TODAY()+7),D287+ROW()/100000,""))</f>
        <v/>
      </c>
      <c r="I287" s="0" t="str">
        <f aca="false">IF(D287="","",IF(D287=CALENDÁRIO!$L$4,ROW(),""))</f>
        <v/>
      </c>
      <c r="J287" s="0" t="str">
        <f aca="false">IF(D287="","",CHOOSE(WEEKDAY(D287),"Domingo","Segunda","Terça","Quarta","Quinta","Sexta","Sábado"))</f>
        <v/>
      </c>
    </row>
    <row r="288" customFormat="false" ht="15" hidden="false" customHeight="false" outlineLevel="0" collapsed="false">
      <c r="A288" s="0" t="str">
        <f aca="false">IF(ISNUMBER(FOLGAS!$C288),"Folga","")</f>
        <v/>
      </c>
      <c r="B288" s="0" t="str">
        <f aca="false">IF(ISNUMBER(FOLGAS!$C288),FOLGAS!$A288&amp;"","")</f>
        <v/>
      </c>
      <c r="C288" s="0" t="str">
        <f aca="false">IF(ISNUMBER(FOLGAS!$C288),FOLGAS!$B288&amp;"","")</f>
        <v/>
      </c>
      <c r="D288" s="78" t="str">
        <f aca="false">IF(ISNUMBER(FOLGAS!$C288),FOLGAS!$C288,"")</f>
        <v/>
      </c>
      <c r="E288" s="0" t="str">
        <f aca="false">IF(ISNUMBER(FOLGAS!$C288),FOLGAS!$D288&amp;"","")</f>
        <v/>
      </c>
      <c r="F288" s="0" t="str">
        <f aca="false">IF(ISNUMBER(FOLGAS!$C288),FOLGAS!$G288&amp;"","")</f>
        <v/>
      </c>
      <c r="G288" s="0" t="str">
        <f aca="true">IF(D288="","",IF(D288=TODAY(),D288+ROW()/100000,""))</f>
        <v/>
      </c>
      <c r="H288" s="0" t="str">
        <f aca="true">IF(D288="","",IF(AND(D288&gt;TODAY(),D288&lt;=TODAY()+7),D288+ROW()/100000,""))</f>
        <v/>
      </c>
      <c r="I288" s="0" t="str">
        <f aca="false">IF(D288="","",IF(D288=CALENDÁRIO!$L$4,ROW(),""))</f>
        <v/>
      </c>
      <c r="J288" s="0" t="str">
        <f aca="false">IF(D288="","",CHOOSE(WEEKDAY(D288),"Domingo","Segunda","Terça","Quarta","Quinta","Sexta","Sábado"))</f>
        <v/>
      </c>
    </row>
    <row r="289" customFormat="false" ht="15" hidden="false" customHeight="false" outlineLevel="0" collapsed="false">
      <c r="A289" s="0" t="str">
        <f aca="false">IF(ISNUMBER(FOLGAS!$C289),"Folga","")</f>
        <v/>
      </c>
      <c r="B289" s="0" t="str">
        <f aca="false">IF(ISNUMBER(FOLGAS!$C289),FOLGAS!$A289&amp;"","")</f>
        <v/>
      </c>
      <c r="C289" s="0" t="str">
        <f aca="false">IF(ISNUMBER(FOLGAS!$C289),FOLGAS!$B289&amp;"","")</f>
        <v/>
      </c>
      <c r="D289" s="78" t="str">
        <f aca="false">IF(ISNUMBER(FOLGAS!$C289),FOLGAS!$C289,"")</f>
        <v/>
      </c>
      <c r="E289" s="0" t="str">
        <f aca="false">IF(ISNUMBER(FOLGAS!$C289),FOLGAS!$D289&amp;"","")</f>
        <v/>
      </c>
      <c r="F289" s="0" t="str">
        <f aca="false">IF(ISNUMBER(FOLGAS!$C289),FOLGAS!$G289&amp;"","")</f>
        <v/>
      </c>
      <c r="G289" s="0" t="str">
        <f aca="true">IF(D289="","",IF(D289=TODAY(),D289+ROW()/100000,""))</f>
        <v/>
      </c>
      <c r="H289" s="0" t="str">
        <f aca="true">IF(D289="","",IF(AND(D289&gt;TODAY(),D289&lt;=TODAY()+7),D289+ROW()/100000,""))</f>
        <v/>
      </c>
      <c r="I289" s="0" t="str">
        <f aca="false">IF(D289="","",IF(D289=CALENDÁRIO!$L$4,ROW(),""))</f>
        <v/>
      </c>
      <c r="J289" s="0" t="str">
        <f aca="false">IF(D289="","",CHOOSE(WEEKDAY(D289),"Domingo","Segunda","Terça","Quarta","Quinta","Sexta","Sábado"))</f>
        <v/>
      </c>
    </row>
    <row r="290" customFormat="false" ht="15" hidden="false" customHeight="false" outlineLevel="0" collapsed="false">
      <c r="A290" s="0" t="str">
        <f aca="false">IF(ISNUMBER(FOLGAS!$C290),"Folga","")</f>
        <v/>
      </c>
      <c r="B290" s="0" t="str">
        <f aca="false">IF(ISNUMBER(FOLGAS!$C290),FOLGAS!$A290&amp;"","")</f>
        <v/>
      </c>
      <c r="C290" s="0" t="str">
        <f aca="false">IF(ISNUMBER(FOLGAS!$C290),FOLGAS!$B290&amp;"","")</f>
        <v/>
      </c>
      <c r="D290" s="78" t="str">
        <f aca="false">IF(ISNUMBER(FOLGAS!$C290),FOLGAS!$C290,"")</f>
        <v/>
      </c>
      <c r="E290" s="0" t="str">
        <f aca="false">IF(ISNUMBER(FOLGAS!$C290),FOLGAS!$D290&amp;"","")</f>
        <v/>
      </c>
      <c r="F290" s="0" t="str">
        <f aca="false">IF(ISNUMBER(FOLGAS!$C290),FOLGAS!$G290&amp;"","")</f>
        <v/>
      </c>
      <c r="G290" s="0" t="str">
        <f aca="true">IF(D290="","",IF(D290=TODAY(),D290+ROW()/100000,""))</f>
        <v/>
      </c>
      <c r="H290" s="0" t="str">
        <f aca="true">IF(D290="","",IF(AND(D290&gt;TODAY(),D290&lt;=TODAY()+7),D290+ROW()/100000,""))</f>
        <v/>
      </c>
      <c r="I290" s="0" t="str">
        <f aca="false">IF(D290="","",IF(D290=CALENDÁRIO!$L$4,ROW(),""))</f>
        <v/>
      </c>
      <c r="J290" s="0" t="str">
        <f aca="false">IF(D290="","",CHOOSE(WEEKDAY(D290),"Domingo","Segunda","Terça","Quarta","Quinta","Sexta","Sábado"))</f>
        <v/>
      </c>
    </row>
    <row r="291" customFormat="false" ht="15" hidden="false" customHeight="false" outlineLevel="0" collapsed="false">
      <c r="A291" s="0" t="str">
        <f aca="false">IF(ISNUMBER(FOLGAS!$C291),"Folga","")</f>
        <v/>
      </c>
      <c r="B291" s="0" t="str">
        <f aca="false">IF(ISNUMBER(FOLGAS!$C291),FOLGAS!$A291&amp;"","")</f>
        <v/>
      </c>
      <c r="C291" s="0" t="str">
        <f aca="false">IF(ISNUMBER(FOLGAS!$C291),FOLGAS!$B291&amp;"","")</f>
        <v/>
      </c>
      <c r="D291" s="78" t="str">
        <f aca="false">IF(ISNUMBER(FOLGAS!$C291),FOLGAS!$C291,"")</f>
        <v/>
      </c>
      <c r="E291" s="0" t="str">
        <f aca="false">IF(ISNUMBER(FOLGAS!$C291),FOLGAS!$D291&amp;"","")</f>
        <v/>
      </c>
      <c r="F291" s="0" t="str">
        <f aca="false">IF(ISNUMBER(FOLGAS!$C291),FOLGAS!$G291&amp;"","")</f>
        <v/>
      </c>
      <c r="G291" s="0" t="str">
        <f aca="true">IF(D291="","",IF(D291=TODAY(),D291+ROW()/100000,""))</f>
        <v/>
      </c>
      <c r="H291" s="0" t="str">
        <f aca="true">IF(D291="","",IF(AND(D291&gt;TODAY(),D291&lt;=TODAY()+7),D291+ROW()/100000,""))</f>
        <v/>
      </c>
      <c r="I291" s="0" t="str">
        <f aca="false">IF(D291="","",IF(D291=CALENDÁRIO!$L$4,ROW(),""))</f>
        <v/>
      </c>
      <c r="J291" s="0" t="str">
        <f aca="false">IF(D291="","",CHOOSE(WEEKDAY(D291),"Domingo","Segunda","Terça","Quarta","Quinta","Sexta","Sábado"))</f>
        <v/>
      </c>
    </row>
    <row r="292" customFormat="false" ht="15" hidden="false" customHeight="false" outlineLevel="0" collapsed="false">
      <c r="A292" s="0" t="str">
        <f aca="false">IF(ISNUMBER(FOLGAS!$C292),"Folga","")</f>
        <v/>
      </c>
      <c r="B292" s="0" t="str">
        <f aca="false">IF(ISNUMBER(FOLGAS!$C292),FOLGAS!$A292&amp;"","")</f>
        <v/>
      </c>
      <c r="C292" s="0" t="str">
        <f aca="false">IF(ISNUMBER(FOLGAS!$C292),FOLGAS!$B292&amp;"","")</f>
        <v/>
      </c>
      <c r="D292" s="78" t="str">
        <f aca="false">IF(ISNUMBER(FOLGAS!$C292),FOLGAS!$C292,"")</f>
        <v/>
      </c>
      <c r="E292" s="0" t="str">
        <f aca="false">IF(ISNUMBER(FOLGAS!$C292),FOLGAS!$D292&amp;"","")</f>
        <v/>
      </c>
      <c r="F292" s="0" t="str">
        <f aca="false">IF(ISNUMBER(FOLGAS!$C292),FOLGAS!$G292&amp;"","")</f>
        <v/>
      </c>
      <c r="G292" s="0" t="str">
        <f aca="true">IF(D292="","",IF(D292=TODAY(),D292+ROW()/100000,""))</f>
        <v/>
      </c>
      <c r="H292" s="0" t="str">
        <f aca="true">IF(D292="","",IF(AND(D292&gt;TODAY(),D292&lt;=TODAY()+7),D292+ROW()/100000,""))</f>
        <v/>
      </c>
      <c r="I292" s="0" t="str">
        <f aca="false">IF(D292="","",IF(D292=CALENDÁRIO!$L$4,ROW(),""))</f>
        <v/>
      </c>
      <c r="J292" s="0" t="str">
        <f aca="false">IF(D292="","",CHOOSE(WEEKDAY(D292),"Domingo","Segunda","Terça","Quarta","Quinta","Sexta","Sábado"))</f>
        <v/>
      </c>
    </row>
    <row r="293" customFormat="false" ht="15" hidden="false" customHeight="false" outlineLevel="0" collapsed="false">
      <c r="A293" s="0" t="str">
        <f aca="false">IF(ISNUMBER(FOLGAS!$C293),"Folga","")</f>
        <v/>
      </c>
      <c r="B293" s="0" t="str">
        <f aca="false">IF(ISNUMBER(FOLGAS!$C293),FOLGAS!$A293&amp;"","")</f>
        <v/>
      </c>
      <c r="C293" s="0" t="str">
        <f aca="false">IF(ISNUMBER(FOLGAS!$C293),FOLGAS!$B293&amp;"","")</f>
        <v/>
      </c>
      <c r="D293" s="78" t="str">
        <f aca="false">IF(ISNUMBER(FOLGAS!$C293),FOLGAS!$C293,"")</f>
        <v/>
      </c>
      <c r="E293" s="0" t="str">
        <f aca="false">IF(ISNUMBER(FOLGAS!$C293),FOLGAS!$D293&amp;"","")</f>
        <v/>
      </c>
      <c r="F293" s="0" t="str">
        <f aca="false">IF(ISNUMBER(FOLGAS!$C293),FOLGAS!$G293&amp;"","")</f>
        <v/>
      </c>
      <c r="G293" s="0" t="str">
        <f aca="true">IF(D293="","",IF(D293=TODAY(),D293+ROW()/100000,""))</f>
        <v/>
      </c>
      <c r="H293" s="0" t="str">
        <f aca="true">IF(D293="","",IF(AND(D293&gt;TODAY(),D293&lt;=TODAY()+7),D293+ROW()/100000,""))</f>
        <v/>
      </c>
      <c r="I293" s="0" t="str">
        <f aca="false">IF(D293="","",IF(D293=CALENDÁRIO!$L$4,ROW(),""))</f>
        <v/>
      </c>
      <c r="J293" s="0" t="str">
        <f aca="false">IF(D293="","",CHOOSE(WEEKDAY(D293),"Domingo","Segunda","Terça","Quarta","Quinta","Sexta","Sábado"))</f>
        <v/>
      </c>
    </row>
    <row r="294" customFormat="false" ht="15" hidden="false" customHeight="false" outlineLevel="0" collapsed="false">
      <c r="A294" s="0" t="str">
        <f aca="false">IF(ISNUMBER(FOLGAS!$C294),"Folga","")</f>
        <v/>
      </c>
      <c r="B294" s="0" t="str">
        <f aca="false">IF(ISNUMBER(FOLGAS!$C294),FOLGAS!$A294&amp;"","")</f>
        <v/>
      </c>
      <c r="C294" s="0" t="str">
        <f aca="false">IF(ISNUMBER(FOLGAS!$C294),FOLGAS!$B294&amp;"","")</f>
        <v/>
      </c>
      <c r="D294" s="78" t="str">
        <f aca="false">IF(ISNUMBER(FOLGAS!$C294),FOLGAS!$C294,"")</f>
        <v/>
      </c>
      <c r="E294" s="0" t="str">
        <f aca="false">IF(ISNUMBER(FOLGAS!$C294),FOLGAS!$D294&amp;"","")</f>
        <v/>
      </c>
      <c r="F294" s="0" t="str">
        <f aca="false">IF(ISNUMBER(FOLGAS!$C294),FOLGAS!$G294&amp;"","")</f>
        <v/>
      </c>
      <c r="G294" s="0" t="str">
        <f aca="true">IF(D294="","",IF(D294=TODAY(),D294+ROW()/100000,""))</f>
        <v/>
      </c>
      <c r="H294" s="0" t="str">
        <f aca="true">IF(D294="","",IF(AND(D294&gt;TODAY(),D294&lt;=TODAY()+7),D294+ROW()/100000,""))</f>
        <v/>
      </c>
      <c r="I294" s="0" t="str">
        <f aca="false">IF(D294="","",IF(D294=CALENDÁRIO!$L$4,ROW(),""))</f>
        <v/>
      </c>
      <c r="J294" s="0" t="str">
        <f aca="false">IF(D294="","",CHOOSE(WEEKDAY(D294),"Domingo","Segunda","Terça","Quarta","Quinta","Sexta","Sábado"))</f>
        <v/>
      </c>
    </row>
    <row r="295" customFormat="false" ht="15" hidden="false" customHeight="false" outlineLevel="0" collapsed="false">
      <c r="A295" s="0" t="str">
        <f aca="false">IF(ISNUMBER(FOLGAS!$C295),"Folga","")</f>
        <v/>
      </c>
      <c r="B295" s="0" t="str">
        <f aca="false">IF(ISNUMBER(FOLGAS!$C295),FOLGAS!$A295&amp;"","")</f>
        <v/>
      </c>
      <c r="C295" s="0" t="str">
        <f aca="false">IF(ISNUMBER(FOLGAS!$C295),FOLGAS!$B295&amp;"","")</f>
        <v/>
      </c>
      <c r="D295" s="78" t="str">
        <f aca="false">IF(ISNUMBER(FOLGAS!$C295),FOLGAS!$C295,"")</f>
        <v/>
      </c>
      <c r="E295" s="0" t="str">
        <f aca="false">IF(ISNUMBER(FOLGAS!$C295),FOLGAS!$D295&amp;"","")</f>
        <v/>
      </c>
      <c r="F295" s="0" t="str">
        <f aca="false">IF(ISNUMBER(FOLGAS!$C295),FOLGAS!$G295&amp;"","")</f>
        <v/>
      </c>
      <c r="G295" s="0" t="str">
        <f aca="true">IF(D295="","",IF(D295=TODAY(),D295+ROW()/100000,""))</f>
        <v/>
      </c>
      <c r="H295" s="0" t="str">
        <f aca="true">IF(D295="","",IF(AND(D295&gt;TODAY(),D295&lt;=TODAY()+7),D295+ROW()/100000,""))</f>
        <v/>
      </c>
      <c r="I295" s="0" t="str">
        <f aca="false">IF(D295="","",IF(D295=CALENDÁRIO!$L$4,ROW(),""))</f>
        <v/>
      </c>
      <c r="J295" s="0" t="str">
        <f aca="false">IF(D295="","",CHOOSE(WEEKDAY(D295),"Domingo","Segunda","Terça","Quarta","Quinta","Sexta","Sábado"))</f>
        <v/>
      </c>
    </row>
    <row r="296" customFormat="false" ht="15" hidden="false" customHeight="false" outlineLevel="0" collapsed="false">
      <c r="A296" s="0" t="str">
        <f aca="false">IF(ISNUMBER(FOLGAS!$C296),"Folga","")</f>
        <v/>
      </c>
      <c r="B296" s="0" t="str">
        <f aca="false">IF(ISNUMBER(FOLGAS!$C296),FOLGAS!$A296&amp;"","")</f>
        <v/>
      </c>
      <c r="C296" s="0" t="str">
        <f aca="false">IF(ISNUMBER(FOLGAS!$C296),FOLGAS!$B296&amp;"","")</f>
        <v/>
      </c>
      <c r="D296" s="78" t="str">
        <f aca="false">IF(ISNUMBER(FOLGAS!$C296),FOLGAS!$C296,"")</f>
        <v/>
      </c>
      <c r="E296" s="0" t="str">
        <f aca="false">IF(ISNUMBER(FOLGAS!$C296),FOLGAS!$D296&amp;"","")</f>
        <v/>
      </c>
      <c r="F296" s="0" t="str">
        <f aca="false">IF(ISNUMBER(FOLGAS!$C296),FOLGAS!$G296&amp;"","")</f>
        <v/>
      </c>
      <c r="G296" s="0" t="str">
        <f aca="true">IF(D296="","",IF(D296=TODAY(),D296+ROW()/100000,""))</f>
        <v/>
      </c>
      <c r="H296" s="0" t="str">
        <f aca="true">IF(D296="","",IF(AND(D296&gt;TODAY(),D296&lt;=TODAY()+7),D296+ROW()/100000,""))</f>
        <v/>
      </c>
      <c r="I296" s="0" t="str">
        <f aca="false">IF(D296="","",IF(D296=CALENDÁRIO!$L$4,ROW(),""))</f>
        <v/>
      </c>
      <c r="J296" s="0" t="str">
        <f aca="false">IF(D296="","",CHOOSE(WEEKDAY(D296),"Domingo","Segunda","Terça","Quarta","Quinta","Sexta","Sábado"))</f>
        <v/>
      </c>
    </row>
    <row r="297" customFormat="false" ht="15" hidden="false" customHeight="false" outlineLevel="0" collapsed="false">
      <c r="A297" s="0" t="str">
        <f aca="false">IF(ISNUMBER(FOLGAS!$C297),"Folga","")</f>
        <v/>
      </c>
      <c r="B297" s="0" t="str">
        <f aca="false">IF(ISNUMBER(FOLGAS!$C297),FOLGAS!$A297&amp;"","")</f>
        <v/>
      </c>
      <c r="C297" s="0" t="str">
        <f aca="false">IF(ISNUMBER(FOLGAS!$C297),FOLGAS!$B297&amp;"","")</f>
        <v/>
      </c>
      <c r="D297" s="78" t="str">
        <f aca="false">IF(ISNUMBER(FOLGAS!$C297),FOLGAS!$C297,"")</f>
        <v/>
      </c>
      <c r="E297" s="0" t="str">
        <f aca="false">IF(ISNUMBER(FOLGAS!$C297),FOLGAS!$D297&amp;"","")</f>
        <v/>
      </c>
      <c r="F297" s="0" t="str">
        <f aca="false">IF(ISNUMBER(FOLGAS!$C297),FOLGAS!$G297&amp;"","")</f>
        <v/>
      </c>
      <c r="G297" s="0" t="str">
        <f aca="true">IF(D297="","",IF(D297=TODAY(),D297+ROW()/100000,""))</f>
        <v/>
      </c>
      <c r="H297" s="0" t="str">
        <f aca="true">IF(D297="","",IF(AND(D297&gt;TODAY(),D297&lt;=TODAY()+7),D297+ROW()/100000,""))</f>
        <v/>
      </c>
      <c r="I297" s="0" t="str">
        <f aca="false">IF(D297="","",IF(D297=CALENDÁRIO!$L$4,ROW(),""))</f>
        <v/>
      </c>
      <c r="J297" s="0" t="str">
        <f aca="false">IF(D297="","",CHOOSE(WEEKDAY(D297),"Domingo","Segunda","Terça","Quarta","Quinta","Sexta","Sábado"))</f>
        <v/>
      </c>
    </row>
    <row r="298" customFormat="false" ht="15" hidden="false" customHeight="false" outlineLevel="0" collapsed="false">
      <c r="A298" s="0" t="str">
        <f aca="false">IF(ISNUMBER(FOLGAS!$C298),"Folga","")</f>
        <v/>
      </c>
      <c r="B298" s="0" t="str">
        <f aca="false">IF(ISNUMBER(FOLGAS!$C298),FOLGAS!$A298&amp;"","")</f>
        <v/>
      </c>
      <c r="C298" s="0" t="str">
        <f aca="false">IF(ISNUMBER(FOLGAS!$C298),FOLGAS!$B298&amp;"","")</f>
        <v/>
      </c>
      <c r="D298" s="78" t="str">
        <f aca="false">IF(ISNUMBER(FOLGAS!$C298),FOLGAS!$C298,"")</f>
        <v/>
      </c>
      <c r="E298" s="0" t="str">
        <f aca="false">IF(ISNUMBER(FOLGAS!$C298),FOLGAS!$D298&amp;"","")</f>
        <v/>
      </c>
      <c r="F298" s="0" t="str">
        <f aca="false">IF(ISNUMBER(FOLGAS!$C298),FOLGAS!$G298&amp;"","")</f>
        <v/>
      </c>
      <c r="G298" s="0" t="str">
        <f aca="true">IF(D298="","",IF(D298=TODAY(),D298+ROW()/100000,""))</f>
        <v/>
      </c>
      <c r="H298" s="0" t="str">
        <f aca="true">IF(D298="","",IF(AND(D298&gt;TODAY(),D298&lt;=TODAY()+7),D298+ROW()/100000,""))</f>
        <v/>
      </c>
      <c r="I298" s="0" t="str">
        <f aca="false">IF(D298="","",IF(D298=CALENDÁRIO!$L$4,ROW(),""))</f>
        <v/>
      </c>
      <c r="J298" s="0" t="str">
        <f aca="false">IF(D298="","",CHOOSE(WEEKDAY(D298),"Domingo","Segunda","Terça","Quarta","Quinta","Sexta","Sábado"))</f>
        <v/>
      </c>
    </row>
    <row r="299" customFormat="false" ht="15" hidden="false" customHeight="false" outlineLevel="0" collapsed="false">
      <c r="A299" s="0" t="str">
        <f aca="false">IF(ISNUMBER(FOLGAS!$C299),"Folga","")</f>
        <v/>
      </c>
      <c r="B299" s="0" t="str">
        <f aca="false">IF(ISNUMBER(FOLGAS!$C299),FOLGAS!$A299&amp;"","")</f>
        <v/>
      </c>
      <c r="C299" s="0" t="str">
        <f aca="false">IF(ISNUMBER(FOLGAS!$C299),FOLGAS!$B299&amp;"","")</f>
        <v/>
      </c>
      <c r="D299" s="78" t="str">
        <f aca="false">IF(ISNUMBER(FOLGAS!$C299),FOLGAS!$C299,"")</f>
        <v/>
      </c>
      <c r="E299" s="0" t="str">
        <f aca="false">IF(ISNUMBER(FOLGAS!$C299),FOLGAS!$D299&amp;"","")</f>
        <v/>
      </c>
      <c r="F299" s="0" t="str">
        <f aca="false">IF(ISNUMBER(FOLGAS!$C299),FOLGAS!$G299&amp;"","")</f>
        <v/>
      </c>
      <c r="G299" s="0" t="str">
        <f aca="true">IF(D299="","",IF(D299=TODAY(),D299+ROW()/100000,""))</f>
        <v/>
      </c>
      <c r="H299" s="0" t="str">
        <f aca="true">IF(D299="","",IF(AND(D299&gt;TODAY(),D299&lt;=TODAY()+7),D299+ROW()/100000,""))</f>
        <v/>
      </c>
      <c r="I299" s="0" t="str">
        <f aca="false">IF(D299="","",IF(D299=CALENDÁRIO!$L$4,ROW(),""))</f>
        <v/>
      </c>
      <c r="J299" s="0" t="str">
        <f aca="false">IF(D299="","",CHOOSE(WEEKDAY(D299),"Domingo","Segunda","Terça","Quarta","Quinta","Sexta","Sábado"))</f>
        <v/>
      </c>
    </row>
    <row r="300" customFormat="false" ht="15" hidden="false" customHeight="false" outlineLevel="0" collapsed="false">
      <c r="A300" s="0" t="str">
        <f aca="false">IF(ISNUMBER(FOLGAS!$C300),"Folga","")</f>
        <v/>
      </c>
      <c r="B300" s="0" t="str">
        <f aca="false">IF(ISNUMBER(FOLGAS!$C300),FOLGAS!$A300&amp;"","")</f>
        <v/>
      </c>
      <c r="C300" s="0" t="str">
        <f aca="false">IF(ISNUMBER(FOLGAS!$C300),FOLGAS!$B300&amp;"","")</f>
        <v/>
      </c>
      <c r="D300" s="78" t="str">
        <f aca="false">IF(ISNUMBER(FOLGAS!$C300),FOLGAS!$C300,"")</f>
        <v/>
      </c>
      <c r="E300" s="0" t="str">
        <f aca="false">IF(ISNUMBER(FOLGAS!$C300),FOLGAS!$D300&amp;"","")</f>
        <v/>
      </c>
      <c r="F300" s="0" t="str">
        <f aca="false">IF(ISNUMBER(FOLGAS!$C300),FOLGAS!$G300&amp;"","")</f>
        <v/>
      </c>
      <c r="G300" s="0" t="str">
        <f aca="true">IF(D300="","",IF(D300=TODAY(),D300+ROW()/100000,""))</f>
        <v/>
      </c>
      <c r="H300" s="0" t="str">
        <f aca="true">IF(D300="","",IF(AND(D300&gt;TODAY(),D300&lt;=TODAY()+7),D300+ROW()/100000,""))</f>
        <v/>
      </c>
      <c r="I300" s="0" t="str">
        <f aca="false">IF(D300="","",IF(D300=CALENDÁRIO!$L$4,ROW(),""))</f>
        <v/>
      </c>
      <c r="J300" s="0" t="str">
        <f aca="false">IF(D300="","",CHOOSE(WEEKDAY(D300),"Domingo","Segunda","Terça","Quarta","Quinta","Sexta","Sábado"))</f>
        <v/>
      </c>
    </row>
    <row r="301" customFormat="false" ht="15" hidden="false" customHeight="false" outlineLevel="0" collapsed="false">
      <c r="A301" s="0" t="str">
        <f aca="false">IF(ISNUMBER(FOLGAS!$C301),"Folga","")</f>
        <v/>
      </c>
      <c r="B301" s="0" t="str">
        <f aca="false">IF(ISNUMBER(FOLGAS!$C301),FOLGAS!$A301&amp;"","")</f>
        <v/>
      </c>
      <c r="C301" s="0" t="str">
        <f aca="false">IF(ISNUMBER(FOLGAS!$C301),FOLGAS!$B301&amp;"","")</f>
        <v/>
      </c>
      <c r="D301" s="78" t="str">
        <f aca="false">IF(ISNUMBER(FOLGAS!$C301),FOLGAS!$C301,"")</f>
        <v/>
      </c>
      <c r="E301" s="0" t="str">
        <f aca="false">IF(ISNUMBER(FOLGAS!$C301),FOLGAS!$D301&amp;"","")</f>
        <v/>
      </c>
      <c r="F301" s="0" t="str">
        <f aca="false">IF(ISNUMBER(FOLGAS!$C301),FOLGAS!$G301&amp;"","")</f>
        <v/>
      </c>
      <c r="G301" s="0" t="str">
        <f aca="true">IF(D301="","",IF(D301=TODAY(),D301+ROW()/100000,""))</f>
        <v/>
      </c>
      <c r="H301" s="0" t="str">
        <f aca="true">IF(D301="","",IF(AND(D301&gt;TODAY(),D301&lt;=TODAY()+7),D301+ROW()/100000,""))</f>
        <v/>
      </c>
      <c r="I301" s="0" t="str">
        <f aca="false">IF(D301="","",IF(D301=CALENDÁRIO!$L$4,ROW(),""))</f>
        <v/>
      </c>
      <c r="J301" s="0" t="str">
        <f aca="false">IF(D301="","",CHOOSE(WEEKDAY(D301),"Domingo","Segunda","Terça","Quarta","Quinta","Sexta","Sábado"))</f>
        <v/>
      </c>
    </row>
    <row r="302" customFormat="false" ht="15" hidden="false" customHeight="false" outlineLevel="0" collapsed="false">
      <c r="A302" s="0" t="str">
        <f aca="false">IF(AND(ISNUMBER(NATAL!$C2),NATAL!$D2="FOLGA"),"Folga Natal","")</f>
        <v/>
      </c>
      <c r="B302" s="0" t="str">
        <f aca="false">IF(AND(ISNUMBER(NATAL!$C2),NATAL!$D2="FOLGA"),NATAL!$A2&amp;"","")</f>
        <v/>
      </c>
      <c r="C302" s="0" t="str">
        <f aca="false">IF(AND(ISNUMBER(NATAL!$C2),NATAL!$D2="FOLGA"),NATAL!$B2&amp;"","")</f>
        <v/>
      </c>
      <c r="D302" s="78" t="str">
        <f aca="false">IF(AND(ISNUMBER(NATAL!$C2),NATAL!$D2="FOLGA"),NATAL!$C2,"")</f>
        <v/>
      </c>
      <c r="E302" s="0" t="str">
        <f aca="false">IF(AND(ISNUMBER(NATAL!$C2),NATAL!$D2="FOLGA"),NATAL!$E2&amp;"","")</f>
        <v/>
      </c>
      <c r="F302" s="0" t="str">
        <f aca="false">IF(AND(ISNUMBER(NATAL!$C2),NATAL!$D2="FOLGA"),NATAL!$F2&amp;"","")</f>
        <v/>
      </c>
      <c r="G302" s="0" t="str">
        <f aca="true">IF(D302="","",IF(D302=TODAY(),D302+ROW()/100000,""))</f>
        <v/>
      </c>
      <c r="H302" s="0" t="str">
        <f aca="true">IF(D302="","",IF(AND(D302&gt;TODAY(),D302&lt;=TODAY()+7),D302+ROW()/100000,""))</f>
        <v/>
      </c>
      <c r="I302" s="0" t="str">
        <f aca="false">IF(D302="","",IF(D302=CALENDÁRIO!$L$4,ROW(),""))</f>
        <v/>
      </c>
      <c r="J302" s="0" t="str">
        <f aca="false">IF(D302="","",CHOOSE(WEEKDAY(D302),"Domingo","Segunda","Terça","Quarta","Quinta","Sexta","Sábado"))</f>
        <v/>
      </c>
    </row>
    <row r="303" customFormat="false" ht="15" hidden="false" customHeight="false" outlineLevel="0" collapsed="false">
      <c r="A303" s="0" t="str">
        <f aca="false">IF(AND(ISNUMBER(NATAL!$C3),NATAL!$D3="FOLGA"),"Folga Natal","")</f>
        <v/>
      </c>
      <c r="B303" s="0" t="str">
        <f aca="false">IF(AND(ISNUMBER(NATAL!$C3),NATAL!$D3="FOLGA"),NATAL!$A3&amp;"","")</f>
        <v/>
      </c>
      <c r="C303" s="0" t="str">
        <f aca="false">IF(AND(ISNUMBER(NATAL!$C3),NATAL!$D3="FOLGA"),NATAL!$B3&amp;"","")</f>
        <v/>
      </c>
      <c r="D303" s="78" t="str">
        <f aca="false">IF(AND(ISNUMBER(NATAL!$C3),NATAL!$D3="FOLGA"),NATAL!$C3,"")</f>
        <v/>
      </c>
      <c r="E303" s="0" t="str">
        <f aca="false">IF(AND(ISNUMBER(NATAL!$C3),NATAL!$D3="FOLGA"),NATAL!$E3&amp;"","")</f>
        <v/>
      </c>
      <c r="F303" s="0" t="str">
        <f aca="false">IF(AND(ISNUMBER(NATAL!$C3),NATAL!$D3="FOLGA"),NATAL!$F3&amp;"","")</f>
        <v/>
      </c>
      <c r="G303" s="0" t="str">
        <f aca="true">IF(D303="","",IF(D303=TODAY(),D303+ROW()/100000,""))</f>
        <v/>
      </c>
      <c r="H303" s="0" t="str">
        <f aca="true">IF(D303="","",IF(AND(D303&gt;TODAY(),D303&lt;=TODAY()+7),D303+ROW()/100000,""))</f>
        <v/>
      </c>
      <c r="I303" s="0" t="str">
        <f aca="false">IF(D303="","",IF(D303=CALENDÁRIO!$L$4,ROW(),""))</f>
        <v/>
      </c>
      <c r="J303" s="0" t="str">
        <f aca="false">IF(D303="","",CHOOSE(WEEKDAY(D303),"Domingo","Segunda","Terça","Quarta","Quinta","Sexta","Sábado"))</f>
        <v/>
      </c>
    </row>
    <row r="304" customFormat="false" ht="15" hidden="false" customHeight="false" outlineLevel="0" collapsed="false">
      <c r="A304" s="0" t="str">
        <f aca="false">IF(AND(ISNUMBER(NATAL!$C4),NATAL!$D4="FOLGA"),"Folga Natal","")</f>
        <v/>
      </c>
      <c r="B304" s="0" t="str">
        <f aca="false">IF(AND(ISNUMBER(NATAL!$C4),NATAL!$D4="FOLGA"),NATAL!$A4&amp;"","")</f>
        <v/>
      </c>
      <c r="C304" s="0" t="str">
        <f aca="false">IF(AND(ISNUMBER(NATAL!$C4),NATAL!$D4="FOLGA"),NATAL!$B4&amp;"","")</f>
        <v/>
      </c>
      <c r="D304" s="78" t="str">
        <f aca="false">IF(AND(ISNUMBER(NATAL!$C4),NATAL!$D4="FOLGA"),NATAL!$C4,"")</f>
        <v/>
      </c>
      <c r="E304" s="0" t="str">
        <f aca="false">IF(AND(ISNUMBER(NATAL!$C4),NATAL!$D4="FOLGA"),NATAL!$E4&amp;"","")</f>
        <v/>
      </c>
      <c r="F304" s="0" t="str">
        <f aca="false">IF(AND(ISNUMBER(NATAL!$C4),NATAL!$D4="FOLGA"),NATAL!$F4&amp;"","")</f>
        <v/>
      </c>
      <c r="G304" s="0" t="str">
        <f aca="true">IF(D304="","",IF(D304=TODAY(),D304+ROW()/100000,""))</f>
        <v/>
      </c>
      <c r="H304" s="0" t="str">
        <f aca="true">IF(D304="","",IF(AND(D304&gt;TODAY(),D304&lt;=TODAY()+7),D304+ROW()/100000,""))</f>
        <v/>
      </c>
      <c r="I304" s="0" t="str">
        <f aca="false">IF(D304="","",IF(D304=CALENDÁRIO!$L$4,ROW(),""))</f>
        <v/>
      </c>
      <c r="J304" s="0" t="str">
        <f aca="false">IF(D304="","",CHOOSE(WEEKDAY(D304),"Domingo","Segunda","Terça","Quarta","Quinta","Sexta","Sábado"))</f>
        <v/>
      </c>
    </row>
    <row r="305" customFormat="false" ht="15" hidden="false" customHeight="false" outlineLevel="0" collapsed="false">
      <c r="A305" s="0" t="str">
        <f aca="false">IF(AND(ISNUMBER(NATAL!$C5),NATAL!$D5="FOLGA"),"Folga Natal","")</f>
        <v/>
      </c>
      <c r="B305" s="0" t="str">
        <f aca="false">IF(AND(ISNUMBER(NATAL!$C5),NATAL!$D5="FOLGA"),NATAL!$A5&amp;"","")</f>
        <v/>
      </c>
      <c r="C305" s="0" t="str">
        <f aca="false">IF(AND(ISNUMBER(NATAL!$C5),NATAL!$D5="FOLGA"),NATAL!$B5&amp;"","")</f>
        <v/>
      </c>
      <c r="D305" s="78" t="str">
        <f aca="false">IF(AND(ISNUMBER(NATAL!$C5),NATAL!$D5="FOLGA"),NATAL!$C5,"")</f>
        <v/>
      </c>
      <c r="E305" s="0" t="str">
        <f aca="false">IF(AND(ISNUMBER(NATAL!$C5),NATAL!$D5="FOLGA"),NATAL!$E5&amp;"","")</f>
        <v/>
      </c>
      <c r="F305" s="0" t="str">
        <f aca="false">IF(AND(ISNUMBER(NATAL!$C5),NATAL!$D5="FOLGA"),NATAL!$F5&amp;"","")</f>
        <v/>
      </c>
      <c r="G305" s="0" t="str">
        <f aca="true">IF(D305="","",IF(D305=TODAY(),D305+ROW()/100000,""))</f>
        <v/>
      </c>
      <c r="H305" s="0" t="str">
        <f aca="true">IF(D305="","",IF(AND(D305&gt;TODAY(),D305&lt;=TODAY()+7),D305+ROW()/100000,""))</f>
        <v/>
      </c>
      <c r="I305" s="0" t="str">
        <f aca="false">IF(D305="","",IF(D305=CALENDÁRIO!$L$4,ROW(),""))</f>
        <v/>
      </c>
      <c r="J305" s="0" t="str">
        <f aca="false">IF(D305="","",CHOOSE(WEEKDAY(D305),"Domingo","Segunda","Terça","Quarta","Quinta","Sexta","Sábado"))</f>
        <v/>
      </c>
    </row>
    <row r="306" customFormat="false" ht="15" hidden="false" customHeight="false" outlineLevel="0" collapsed="false">
      <c r="A306" s="0" t="str">
        <f aca="false">IF(AND(ISNUMBER(NATAL!$C6),NATAL!$D6="FOLGA"),"Folga Natal","")</f>
        <v/>
      </c>
      <c r="B306" s="0" t="str">
        <f aca="false">IF(AND(ISNUMBER(NATAL!$C6),NATAL!$D6="FOLGA"),NATAL!$A6&amp;"","")</f>
        <v/>
      </c>
      <c r="C306" s="0" t="str">
        <f aca="false">IF(AND(ISNUMBER(NATAL!$C6),NATAL!$D6="FOLGA"),NATAL!$B6&amp;"","")</f>
        <v/>
      </c>
      <c r="D306" s="78" t="str">
        <f aca="false">IF(AND(ISNUMBER(NATAL!$C6),NATAL!$D6="FOLGA"),NATAL!$C6,"")</f>
        <v/>
      </c>
      <c r="E306" s="0" t="str">
        <f aca="false">IF(AND(ISNUMBER(NATAL!$C6),NATAL!$D6="FOLGA"),NATAL!$E6&amp;"","")</f>
        <v/>
      </c>
      <c r="F306" s="0" t="str">
        <f aca="false">IF(AND(ISNUMBER(NATAL!$C6),NATAL!$D6="FOLGA"),NATAL!$F6&amp;"","")</f>
        <v/>
      </c>
      <c r="G306" s="0" t="str">
        <f aca="true">IF(D306="","",IF(D306=TODAY(),D306+ROW()/100000,""))</f>
        <v/>
      </c>
      <c r="H306" s="0" t="str">
        <f aca="true">IF(D306="","",IF(AND(D306&gt;TODAY(),D306&lt;=TODAY()+7),D306+ROW()/100000,""))</f>
        <v/>
      </c>
      <c r="I306" s="0" t="str">
        <f aca="false">IF(D306="","",IF(D306=CALENDÁRIO!$L$4,ROW(),""))</f>
        <v/>
      </c>
      <c r="J306" s="0" t="str">
        <f aca="false">IF(D306="","",CHOOSE(WEEKDAY(D306),"Domingo","Segunda","Terça","Quarta","Quinta","Sexta","Sábado"))</f>
        <v/>
      </c>
    </row>
    <row r="307" customFormat="false" ht="15" hidden="false" customHeight="false" outlineLevel="0" collapsed="false">
      <c r="A307" s="0" t="str">
        <f aca="false">IF(AND(ISNUMBER(NATAL!$C7),NATAL!$D7="FOLGA"),"Folga Natal","")</f>
        <v/>
      </c>
      <c r="B307" s="0" t="str">
        <f aca="false">IF(AND(ISNUMBER(NATAL!$C7),NATAL!$D7="FOLGA"),NATAL!$A7&amp;"","")</f>
        <v/>
      </c>
      <c r="C307" s="0" t="str">
        <f aca="false">IF(AND(ISNUMBER(NATAL!$C7),NATAL!$D7="FOLGA"),NATAL!$B7&amp;"","")</f>
        <v/>
      </c>
      <c r="D307" s="78" t="str">
        <f aca="false">IF(AND(ISNUMBER(NATAL!$C7),NATAL!$D7="FOLGA"),NATAL!$C7,"")</f>
        <v/>
      </c>
      <c r="E307" s="0" t="str">
        <f aca="false">IF(AND(ISNUMBER(NATAL!$C7),NATAL!$D7="FOLGA"),NATAL!$E7&amp;"","")</f>
        <v/>
      </c>
      <c r="F307" s="0" t="str">
        <f aca="false">IF(AND(ISNUMBER(NATAL!$C7),NATAL!$D7="FOLGA"),NATAL!$F7&amp;"","")</f>
        <v/>
      </c>
      <c r="G307" s="0" t="str">
        <f aca="true">IF(D307="","",IF(D307=TODAY(),D307+ROW()/100000,""))</f>
        <v/>
      </c>
      <c r="H307" s="0" t="str">
        <f aca="true">IF(D307="","",IF(AND(D307&gt;TODAY(),D307&lt;=TODAY()+7),D307+ROW()/100000,""))</f>
        <v/>
      </c>
      <c r="I307" s="0" t="str">
        <f aca="false">IF(D307="","",IF(D307=CALENDÁRIO!$L$4,ROW(),""))</f>
        <v/>
      </c>
      <c r="J307" s="0" t="str">
        <f aca="false">IF(D307="","",CHOOSE(WEEKDAY(D307),"Domingo","Segunda","Terça","Quarta","Quinta","Sexta","Sábado"))</f>
        <v/>
      </c>
    </row>
    <row r="308" customFormat="false" ht="15" hidden="false" customHeight="false" outlineLevel="0" collapsed="false">
      <c r="A308" s="0" t="str">
        <f aca="false">IF(AND(ISNUMBER(NATAL!$C8),NATAL!$D8="FOLGA"),"Folga Natal","")</f>
        <v/>
      </c>
      <c r="B308" s="0" t="str">
        <f aca="false">IF(AND(ISNUMBER(NATAL!$C8),NATAL!$D8="FOLGA"),NATAL!$A8&amp;"","")</f>
        <v/>
      </c>
      <c r="C308" s="0" t="str">
        <f aca="false">IF(AND(ISNUMBER(NATAL!$C8),NATAL!$D8="FOLGA"),NATAL!$B8&amp;"","")</f>
        <v/>
      </c>
      <c r="D308" s="78" t="str">
        <f aca="false">IF(AND(ISNUMBER(NATAL!$C8),NATAL!$D8="FOLGA"),NATAL!$C8,"")</f>
        <v/>
      </c>
      <c r="E308" s="0" t="str">
        <f aca="false">IF(AND(ISNUMBER(NATAL!$C8),NATAL!$D8="FOLGA"),NATAL!$E8&amp;"","")</f>
        <v/>
      </c>
      <c r="F308" s="0" t="str">
        <f aca="false">IF(AND(ISNUMBER(NATAL!$C8),NATAL!$D8="FOLGA"),NATAL!$F8&amp;"","")</f>
        <v/>
      </c>
      <c r="G308" s="0" t="str">
        <f aca="true">IF(D308="","",IF(D308=TODAY(),D308+ROW()/100000,""))</f>
        <v/>
      </c>
      <c r="H308" s="0" t="str">
        <f aca="true">IF(D308="","",IF(AND(D308&gt;TODAY(),D308&lt;=TODAY()+7),D308+ROW()/100000,""))</f>
        <v/>
      </c>
      <c r="I308" s="0" t="str">
        <f aca="false">IF(D308="","",IF(D308=CALENDÁRIO!$L$4,ROW(),""))</f>
        <v/>
      </c>
      <c r="J308" s="0" t="str">
        <f aca="false">IF(D308="","",CHOOSE(WEEKDAY(D308),"Domingo","Segunda","Terça","Quarta","Quinta","Sexta","Sábado"))</f>
        <v/>
      </c>
    </row>
    <row r="309" customFormat="false" ht="15" hidden="false" customHeight="false" outlineLevel="0" collapsed="false">
      <c r="A309" s="0" t="str">
        <f aca="false">IF(AND(ISNUMBER(NATAL!$C9),NATAL!$D9="FOLGA"),"Folga Natal","")</f>
        <v/>
      </c>
      <c r="B309" s="0" t="str">
        <f aca="false">IF(AND(ISNUMBER(NATAL!$C9),NATAL!$D9="FOLGA"),NATAL!$A9&amp;"","")</f>
        <v/>
      </c>
      <c r="C309" s="0" t="str">
        <f aca="false">IF(AND(ISNUMBER(NATAL!$C9),NATAL!$D9="FOLGA"),NATAL!$B9&amp;"","")</f>
        <v/>
      </c>
      <c r="D309" s="78" t="str">
        <f aca="false">IF(AND(ISNUMBER(NATAL!$C9),NATAL!$D9="FOLGA"),NATAL!$C9,"")</f>
        <v/>
      </c>
      <c r="E309" s="0" t="str">
        <f aca="false">IF(AND(ISNUMBER(NATAL!$C9),NATAL!$D9="FOLGA"),NATAL!$E9&amp;"","")</f>
        <v/>
      </c>
      <c r="F309" s="0" t="str">
        <f aca="false">IF(AND(ISNUMBER(NATAL!$C9),NATAL!$D9="FOLGA"),NATAL!$F9&amp;"","")</f>
        <v/>
      </c>
      <c r="G309" s="0" t="str">
        <f aca="true">IF(D309="","",IF(D309=TODAY(),D309+ROW()/100000,""))</f>
        <v/>
      </c>
      <c r="H309" s="0" t="str">
        <f aca="true">IF(D309="","",IF(AND(D309&gt;TODAY(),D309&lt;=TODAY()+7),D309+ROW()/100000,""))</f>
        <v/>
      </c>
      <c r="I309" s="0" t="str">
        <f aca="false">IF(D309="","",IF(D309=CALENDÁRIO!$L$4,ROW(),""))</f>
        <v/>
      </c>
      <c r="J309" s="0" t="str">
        <f aca="false">IF(D309="","",CHOOSE(WEEKDAY(D309),"Domingo","Segunda","Terça","Quarta","Quinta","Sexta","Sábado"))</f>
        <v/>
      </c>
    </row>
    <row r="310" customFormat="false" ht="15" hidden="false" customHeight="false" outlineLevel="0" collapsed="false">
      <c r="A310" s="0" t="str">
        <f aca="false">IF(AND(ISNUMBER(NATAL!$C10),NATAL!$D10="FOLGA"),"Folga Natal","")</f>
        <v/>
      </c>
      <c r="B310" s="0" t="str">
        <f aca="false">IF(AND(ISNUMBER(NATAL!$C10),NATAL!$D10="FOLGA"),NATAL!$A10&amp;"","")</f>
        <v/>
      </c>
      <c r="C310" s="0" t="str">
        <f aca="false">IF(AND(ISNUMBER(NATAL!$C10),NATAL!$D10="FOLGA"),NATAL!$B10&amp;"","")</f>
        <v/>
      </c>
      <c r="D310" s="78" t="str">
        <f aca="false">IF(AND(ISNUMBER(NATAL!$C10),NATAL!$D10="FOLGA"),NATAL!$C10,"")</f>
        <v/>
      </c>
      <c r="E310" s="0" t="str">
        <f aca="false">IF(AND(ISNUMBER(NATAL!$C10),NATAL!$D10="FOLGA"),NATAL!$E10&amp;"","")</f>
        <v/>
      </c>
      <c r="F310" s="0" t="str">
        <f aca="false">IF(AND(ISNUMBER(NATAL!$C10),NATAL!$D10="FOLGA"),NATAL!$F10&amp;"","")</f>
        <v/>
      </c>
      <c r="G310" s="0" t="str">
        <f aca="true">IF(D310="","",IF(D310=TODAY(),D310+ROW()/100000,""))</f>
        <v/>
      </c>
      <c r="H310" s="0" t="str">
        <f aca="true">IF(D310="","",IF(AND(D310&gt;TODAY(),D310&lt;=TODAY()+7),D310+ROW()/100000,""))</f>
        <v/>
      </c>
      <c r="I310" s="0" t="str">
        <f aca="false">IF(D310="","",IF(D310=CALENDÁRIO!$L$4,ROW(),""))</f>
        <v/>
      </c>
      <c r="J310" s="0" t="str">
        <f aca="false">IF(D310="","",CHOOSE(WEEKDAY(D310),"Domingo","Segunda","Terça","Quarta","Quinta","Sexta","Sábado"))</f>
        <v/>
      </c>
    </row>
    <row r="311" customFormat="false" ht="15" hidden="false" customHeight="false" outlineLevel="0" collapsed="false">
      <c r="A311" s="0" t="str">
        <f aca="false">IF(AND(ISNUMBER(NATAL!$C11),NATAL!$D11="FOLGA"),"Folga Natal","")</f>
        <v/>
      </c>
      <c r="B311" s="0" t="str">
        <f aca="false">IF(AND(ISNUMBER(NATAL!$C11),NATAL!$D11="FOLGA"),NATAL!$A11&amp;"","")</f>
        <v/>
      </c>
      <c r="C311" s="0" t="str">
        <f aca="false">IF(AND(ISNUMBER(NATAL!$C11),NATAL!$D11="FOLGA"),NATAL!$B11&amp;"","")</f>
        <v/>
      </c>
      <c r="D311" s="78" t="str">
        <f aca="false">IF(AND(ISNUMBER(NATAL!$C11),NATAL!$D11="FOLGA"),NATAL!$C11,"")</f>
        <v/>
      </c>
      <c r="E311" s="0" t="str">
        <f aca="false">IF(AND(ISNUMBER(NATAL!$C11),NATAL!$D11="FOLGA"),NATAL!$E11&amp;"","")</f>
        <v/>
      </c>
      <c r="F311" s="0" t="str">
        <f aca="false">IF(AND(ISNUMBER(NATAL!$C11),NATAL!$D11="FOLGA"),NATAL!$F11&amp;"","")</f>
        <v/>
      </c>
      <c r="G311" s="0" t="str">
        <f aca="true">IF(D311="","",IF(D311=TODAY(),D311+ROW()/100000,""))</f>
        <v/>
      </c>
      <c r="H311" s="0" t="str">
        <f aca="true">IF(D311="","",IF(AND(D311&gt;TODAY(),D311&lt;=TODAY()+7),D311+ROW()/100000,""))</f>
        <v/>
      </c>
      <c r="I311" s="0" t="str">
        <f aca="false">IF(D311="","",IF(D311=CALENDÁRIO!$L$4,ROW(),""))</f>
        <v/>
      </c>
      <c r="J311" s="0" t="str">
        <f aca="false">IF(D311="","",CHOOSE(WEEKDAY(D311),"Domingo","Segunda","Terça","Quarta","Quinta","Sexta","Sábado"))</f>
        <v/>
      </c>
    </row>
    <row r="312" customFormat="false" ht="15" hidden="false" customHeight="false" outlineLevel="0" collapsed="false">
      <c r="A312" s="0" t="str">
        <f aca="false">IF(AND(ISNUMBER(NATAL!$C12),NATAL!$D12="FOLGA"),"Folga Natal","")</f>
        <v/>
      </c>
      <c r="B312" s="0" t="str">
        <f aca="false">IF(AND(ISNUMBER(NATAL!$C12),NATAL!$D12="FOLGA"),NATAL!$A12&amp;"","")</f>
        <v/>
      </c>
      <c r="C312" s="0" t="str">
        <f aca="false">IF(AND(ISNUMBER(NATAL!$C12),NATAL!$D12="FOLGA"),NATAL!$B12&amp;"","")</f>
        <v/>
      </c>
      <c r="D312" s="78" t="str">
        <f aca="false">IF(AND(ISNUMBER(NATAL!$C12),NATAL!$D12="FOLGA"),NATAL!$C12,"")</f>
        <v/>
      </c>
      <c r="E312" s="0" t="str">
        <f aca="false">IF(AND(ISNUMBER(NATAL!$C12),NATAL!$D12="FOLGA"),NATAL!$E12&amp;"","")</f>
        <v/>
      </c>
      <c r="F312" s="0" t="str">
        <f aca="false">IF(AND(ISNUMBER(NATAL!$C12),NATAL!$D12="FOLGA"),NATAL!$F12&amp;"","")</f>
        <v/>
      </c>
      <c r="G312" s="0" t="str">
        <f aca="true">IF(D312="","",IF(D312=TODAY(),D312+ROW()/100000,""))</f>
        <v/>
      </c>
      <c r="H312" s="0" t="str">
        <f aca="true">IF(D312="","",IF(AND(D312&gt;TODAY(),D312&lt;=TODAY()+7),D312+ROW()/100000,""))</f>
        <v/>
      </c>
      <c r="I312" s="0" t="str">
        <f aca="false">IF(D312="","",IF(D312=CALENDÁRIO!$L$4,ROW(),""))</f>
        <v/>
      </c>
      <c r="J312" s="0" t="str">
        <f aca="false">IF(D312="","",CHOOSE(WEEKDAY(D312),"Domingo","Segunda","Terça","Quarta","Quinta","Sexta","Sábado"))</f>
        <v/>
      </c>
    </row>
    <row r="313" customFormat="false" ht="15" hidden="false" customHeight="false" outlineLevel="0" collapsed="false">
      <c r="A313" s="0" t="str">
        <f aca="false">IF(AND(ISNUMBER(NATAL!$C13),NATAL!$D13="FOLGA"),"Folga Natal","")</f>
        <v/>
      </c>
      <c r="B313" s="0" t="str">
        <f aca="false">IF(AND(ISNUMBER(NATAL!$C13),NATAL!$D13="FOLGA"),NATAL!$A13&amp;"","")</f>
        <v/>
      </c>
      <c r="C313" s="0" t="str">
        <f aca="false">IF(AND(ISNUMBER(NATAL!$C13),NATAL!$D13="FOLGA"),NATAL!$B13&amp;"","")</f>
        <v/>
      </c>
      <c r="D313" s="78" t="str">
        <f aca="false">IF(AND(ISNUMBER(NATAL!$C13),NATAL!$D13="FOLGA"),NATAL!$C13,"")</f>
        <v/>
      </c>
      <c r="E313" s="0" t="str">
        <f aca="false">IF(AND(ISNUMBER(NATAL!$C13),NATAL!$D13="FOLGA"),NATAL!$E13&amp;"","")</f>
        <v/>
      </c>
      <c r="F313" s="0" t="str">
        <f aca="false">IF(AND(ISNUMBER(NATAL!$C13),NATAL!$D13="FOLGA"),NATAL!$F13&amp;"","")</f>
        <v/>
      </c>
      <c r="G313" s="0" t="str">
        <f aca="true">IF(D313="","",IF(D313=TODAY(),D313+ROW()/100000,""))</f>
        <v/>
      </c>
      <c r="H313" s="0" t="str">
        <f aca="true">IF(D313="","",IF(AND(D313&gt;TODAY(),D313&lt;=TODAY()+7),D313+ROW()/100000,""))</f>
        <v/>
      </c>
      <c r="I313" s="0" t="str">
        <f aca="false">IF(D313="","",IF(D313=CALENDÁRIO!$L$4,ROW(),""))</f>
        <v/>
      </c>
      <c r="J313" s="0" t="str">
        <f aca="false">IF(D313="","",CHOOSE(WEEKDAY(D313),"Domingo","Segunda","Terça","Quarta","Quinta","Sexta","Sábado"))</f>
        <v/>
      </c>
    </row>
    <row r="314" customFormat="false" ht="15" hidden="false" customHeight="false" outlineLevel="0" collapsed="false">
      <c r="A314" s="0" t="str">
        <f aca="false">IF(AND(ISNUMBER(NATAL!$C14),NATAL!$D14="FOLGA"),"Folga Natal","")</f>
        <v/>
      </c>
      <c r="B314" s="0" t="str">
        <f aca="false">IF(AND(ISNUMBER(NATAL!$C14),NATAL!$D14="FOLGA"),NATAL!$A14&amp;"","")</f>
        <v/>
      </c>
      <c r="C314" s="0" t="str">
        <f aca="false">IF(AND(ISNUMBER(NATAL!$C14),NATAL!$D14="FOLGA"),NATAL!$B14&amp;"","")</f>
        <v/>
      </c>
      <c r="D314" s="78" t="str">
        <f aca="false">IF(AND(ISNUMBER(NATAL!$C14),NATAL!$D14="FOLGA"),NATAL!$C14,"")</f>
        <v/>
      </c>
      <c r="E314" s="0" t="str">
        <f aca="false">IF(AND(ISNUMBER(NATAL!$C14),NATAL!$D14="FOLGA"),NATAL!$E14&amp;"","")</f>
        <v/>
      </c>
      <c r="F314" s="0" t="str">
        <f aca="false">IF(AND(ISNUMBER(NATAL!$C14),NATAL!$D14="FOLGA"),NATAL!$F14&amp;"","")</f>
        <v/>
      </c>
      <c r="G314" s="0" t="str">
        <f aca="true">IF(D314="","",IF(D314=TODAY(),D314+ROW()/100000,""))</f>
        <v/>
      </c>
      <c r="H314" s="0" t="str">
        <f aca="true">IF(D314="","",IF(AND(D314&gt;TODAY(),D314&lt;=TODAY()+7),D314+ROW()/100000,""))</f>
        <v/>
      </c>
      <c r="I314" s="0" t="str">
        <f aca="false">IF(D314="","",IF(D314=CALENDÁRIO!$L$4,ROW(),""))</f>
        <v/>
      </c>
      <c r="J314" s="0" t="str">
        <f aca="false">IF(D314="","",CHOOSE(WEEKDAY(D314),"Domingo","Segunda","Terça","Quarta","Quinta","Sexta","Sábado"))</f>
        <v/>
      </c>
    </row>
    <row r="315" customFormat="false" ht="15" hidden="false" customHeight="false" outlineLevel="0" collapsed="false">
      <c r="A315" s="0" t="str">
        <f aca="false">IF(AND(ISNUMBER(NATAL!$C15),NATAL!$D15="FOLGA"),"Folga Natal","")</f>
        <v/>
      </c>
      <c r="B315" s="0" t="str">
        <f aca="false">IF(AND(ISNUMBER(NATAL!$C15),NATAL!$D15="FOLGA"),NATAL!$A15&amp;"","")</f>
        <v/>
      </c>
      <c r="C315" s="0" t="str">
        <f aca="false">IF(AND(ISNUMBER(NATAL!$C15),NATAL!$D15="FOLGA"),NATAL!$B15&amp;"","")</f>
        <v/>
      </c>
      <c r="D315" s="78" t="str">
        <f aca="false">IF(AND(ISNUMBER(NATAL!$C15),NATAL!$D15="FOLGA"),NATAL!$C15,"")</f>
        <v/>
      </c>
      <c r="E315" s="0" t="str">
        <f aca="false">IF(AND(ISNUMBER(NATAL!$C15),NATAL!$D15="FOLGA"),NATAL!$E15&amp;"","")</f>
        <v/>
      </c>
      <c r="F315" s="0" t="str">
        <f aca="false">IF(AND(ISNUMBER(NATAL!$C15),NATAL!$D15="FOLGA"),NATAL!$F15&amp;"","")</f>
        <v/>
      </c>
      <c r="G315" s="0" t="str">
        <f aca="true">IF(D315="","",IF(D315=TODAY(),D315+ROW()/100000,""))</f>
        <v/>
      </c>
      <c r="H315" s="0" t="str">
        <f aca="true">IF(D315="","",IF(AND(D315&gt;TODAY(),D315&lt;=TODAY()+7),D315+ROW()/100000,""))</f>
        <v/>
      </c>
      <c r="I315" s="0" t="str">
        <f aca="false">IF(D315="","",IF(D315=CALENDÁRIO!$L$4,ROW(),""))</f>
        <v/>
      </c>
      <c r="J315" s="0" t="str">
        <f aca="false">IF(D315="","",CHOOSE(WEEKDAY(D315),"Domingo","Segunda","Terça","Quarta","Quinta","Sexta","Sábado"))</f>
        <v/>
      </c>
    </row>
    <row r="316" customFormat="false" ht="15" hidden="false" customHeight="false" outlineLevel="0" collapsed="false">
      <c r="A316" s="0" t="str">
        <f aca="false">IF(AND(ISNUMBER(NATAL!$C16),NATAL!$D16="FOLGA"),"Folga Natal","")</f>
        <v/>
      </c>
      <c r="B316" s="0" t="str">
        <f aca="false">IF(AND(ISNUMBER(NATAL!$C16),NATAL!$D16="FOLGA"),NATAL!$A16&amp;"","")</f>
        <v/>
      </c>
      <c r="C316" s="0" t="str">
        <f aca="false">IF(AND(ISNUMBER(NATAL!$C16),NATAL!$D16="FOLGA"),NATAL!$B16&amp;"","")</f>
        <v/>
      </c>
      <c r="D316" s="78" t="str">
        <f aca="false">IF(AND(ISNUMBER(NATAL!$C16),NATAL!$D16="FOLGA"),NATAL!$C16,"")</f>
        <v/>
      </c>
      <c r="E316" s="0" t="str">
        <f aca="false">IF(AND(ISNUMBER(NATAL!$C16),NATAL!$D16="FOLGA"),NATAL!$E16&amp;"","")</f>
        <v/>
      </c>
      <c r="F316" s="0" t="str">
        <f aca="false">IF(AND(ISNUMBER(NATAL!$C16),NATAL!$D16="FOLGA"),NATAL!$F16&amp;"","")</f>
        <v/>
      </c>
      <c r="G316" s="0" t="str">
        <f aca="true">IF(D316="","",IF(D316=TODAY(),D316+ROW()/100000,""))</f>
        <v/>
      </c>
      <c r="H316" s="0" t="str">
        <f aca="true">IF(D316="","",IF(AND(D316&gt;TODAY(),D316&lt;=TODAY()+7),D316+ROW()/100000,""))</f>
        <v/>
      </c>
      <c r="I316" s="0" t="str">
        <f aca="false">IF(D316="","",IF(D316=CALENDÁRIO!$L$4,ROW(),""))</f>
        <v/>
      </c>
      <c r="J316" s="0" t="str">
        <f aca="false">IF(D316="","",CHOOSE(WEEKDAY(D316),"Domingo","Segunda","Terça","Quarta","Quinta","Sexta","Sábado"))</f>
        <v/>
      </c>
    </row>
    <row r="317" customFormat="false" ht="15" hidden="false" customHeight="false" outlineLevel="0" collapsed="false">
      <c r="A317" s="0" t="str">
        <f aca="false">IF(AND(ISNUMBER(NATAL!$C17),NATAL!$D17="FOLGA"),"Folga Natal","")</f>
        <v/>
      </c>
      <c r="B317" s="0" t="str">
        <f aca="false">IF(AND(ISNUMBER(NATAL!$C17),NATAL!$D17="FOLGA"),NATAL!$A17&amp;"","")</f>
        <v/>
      </c>
      <c r="C317" s="0" t="str">
        <f aca="false">IF(AND(ISNUMBER(NATAL!$C17),NATAL!$D17="FOLGA"),NATAL!$B17&amp;"","")</f>
        <v/>
      </c>
      <c r="D317" s="78" t="str">
        <f aca="false">IF(AND(ISNUMBER(NATAL!$C17),NATAL!$D17="FOLGA"),NATAL!$C17,"")</f>
        <v/>
      </c>
      <c r="E317" s="0" t="str">
        <f aca="false">IF(AND(ISNUMBER(NATAL!$C17),NATAL!$D17="FOLGA"),NATAL!$E17&amp;"","")</f>
        <v/>
      </c>
      <c r="F317" s="0" t="str">
        <f aca="false">IF(AND(ISNUMBER(NATAL!$C17),NATAL!$D17="FOLGA"),NATAL!$F17&amp;"","")</f>
        <v/>
      </c>
      <c r="G317" s="0" t="str">
        <f aca="true">IF(D317="","",IF(D317=TODAY(),D317+ROW()/100000,""))</f>
        <v/>
      </c>
      <c r="H317" s="0" t="str">
        <f aca="true">IF(D317="","",IF(AND(D317&gt;TODAY(),D317&lt;=TODAY()+7),D317+ROW()/100000,""))</f>
        <v/>
      </c>
      <c r="I317" s="0" t="str">
        <f aca="false">IF(D317="","",IF(D317=CALENDÁRIO!$L$4,ROW(),""))</f>
        <v/>
      </c>
      <c r="J317" s="0" t="str">
        <f aca="false">IF(D317="","",CHOOSE(WEEKDAY(D317),"Domingo","Segunda","Terça","Quarta","Quinta","Sexta","Sábado"))</f>
        <v/>
      </c>
    </row>
    <row r="318" customFormat="false" ht="15" hidden="false" customHeight="false" outlineLevel="0" collapsed="false">
      <c r="A318" s="0" t="str">
        <f aca="false">IF(AND(ISNUMBER(NATAL!$C18),NATAL!$D18="FOLGA"),"Folga Natal","")</f>
        <v/>
      </c>
      <c r="B318" s="0" t="str">
        <f aca="false">IF(AND(ISNUMBER(NATAL!$C18),NATAL!$D18="FOLGA"),NATAL!$A18&amp;"","")</f>
        <v/>
      </c>
      <c r="C318" s="0" t="str">
        <f aca="false">IF(AND(ISNUMBER(NATAL!$C18),NATAL!$D18="FOLGA"),NATAL!$B18&amp;"","")</f>
        <v/>
      </c>
      <c r="D318" s="78" t="str">
        <f aca="false">IF(AND(ISNUMBER(NATAL!$C18),NATAL!$D18="FOLGA"),NATAL!$C18,"")</f>
        <v/>
      </c>
      <c r="E318" s="0" t="str">
        <f aca="false">IF(AND(ISNUMBER(NATAL!$C18),NATAL!$D18="FOLGA"),NATAL!$E18&amp;"","")</f>
        <v/>
      </c>
      <c r="F318" s="0" t="str">
        <f aca="false">IF(AND(ISNUMBER(NATAL!$C18),NATAL!$D18="FOLGA"),NATAL!$F18&amp;"","")</f>
        <v/>
      </c>
      <c r="G318" s="0" t="str">
        <f aca="true">IF(D318="","",IF(D318=TODAY(),D318+ROW()/100000,""))</f>
        <v/>
      </c>
      <c r="H318" s="0" t="str">
        <f aca="true">IF(D318="","",IF(AND(D318&gt;TODAY(),D318&lt;=TODAY()+7),D318+ROW()/100000,""))</f>
        <v/>
      </c>
      <c r="I318" s="0" t="str">
        <f aca="false">IF(D318="","",IF(D318=CALENDÁRIO!$L$4,ROW(),""))</f>
        <v/>
      </c>
      <c r="J318" s="0" t="str">
        <f aca="false">IF(D318="","",CHOOSE(WEEKDAY(D318),"Domingo","Segunda","Terça","Quarta","Quinta","Sexta","Sábado"))</f>
        <v/>
      </c>
    </row>
    <row r="319" customFormat="false" ht="15" hidden="false" customHeight="false" outlineLevel="0" collapsed="false">
      <c r="A319" s="0" t="str">
        <f aca="false">IF(AND(ISNUMBER(NATAL!$C19),NATAL!$D19="FOLGA"),"Folga Natal","")</f>
        <v/>
      </c>
      <c r="B319" s="0" t="str">
        <f aca="false">IF(AND(ISNUMBER(NATAL!$C19),NATAL!$D19="FOLGA"),NATAL!$A19&amp;"","")</f>
        <v/>
      </c>
      <c r="C319" s="0" t="str">
        <f aca="false">IF(AND(ISNUMBER(NATAL!$C19),NATAL!$D19="FOLGA"),NATAL!$B19&amp;"","")</f>
        <v/>
      </c>
      <c r="D319" s="78" t="str">
        <f aca="false">IF(AND(ISNUMBER(NATAL!$C19),NATAL!$D19="FOLGA"),NATAL!$C19,"")</f>
        <v/>
      </c>
      <c r="E319" s="0" t="str">
        <f aca="false">IF(AND(ISNUMBER(NATAL!$C19),NATAL!$D19="FOLGA"),NATAL!$E19&amp;"","")</f>
        <v/>
      </c>
      <c r="F319" s="0" t="str">
        <f aca="false">IF(AND(ISNUMBER(NATAL!$C19),NATAL!$D19="FOLGA"),NATAL!$F19&amp;"","")</f>
        <v/>
      </c>
      <c r="G319" s="0" t="str">
        <f aca="true">IF(D319="","",IF(D319=TODAY(),D319+ROW()/100000,""))</f>
        <v/>
      </c>
      <c r="H319" s="0" t="str">
        <f aca="true">IF(D319="","",IF(AND(D319&gt;TODAY(),D319&lt;=TODAY()+7),D319+ROW()/100000,""))</f>
        <v/>
      </c>
      <c r="I319" s="0" t="str">
        <f aca="false">IF(D319="","",IF(D319=CALENDÁRIO!$L$4,ROW(),""))</f>
        <v/>
      </c>
      <c r="J319" s="0" t="str">
        <f aca="false">IF(D319="","",CHOOSE(WEEKDAY(D319),"Domingo","Segunda","Terça","Quarta","Quinta","Sexta","Sábado"))</f>
        <v/>
      </c>
    </row>
    <row r="320" customFormat="false" ht="15" hidden="false" customHeight="false" outlineLevel="0" collapsed="false">
      <c r="A320" s="0" t="str">
        <f aca="false">IF(AND(ISNUMBER(NATAL!$C20),NATAL!$D20="FOLGA"),"Folga Natal","")</f>
        <v/>
      </c>
      <c r="B320" s="0" t="str">
        <f aca="false">IF(AND(ISNUMBER(NATAL!$C20),NATAL!$D20="FOLGA"),NATAL!$A20&amp;"","")</f>
        <v/>
      </c>
      <c r="C320" s="0" t="str">
        <f aca="false">IF(AND(ISNUMBER(NATAL!$C20),NATAL!$D20="FOLGA"),NATAL!$B20&amp;"","")</f>
        <v/>
      </c>
      <c r="D320" s="78" t="str">
        <f aca="false">IF(AND(ISNUMBER(NATAL!$C20),NATAL!$D20="FOLGA"),NATAL!$C20,"")</f>
        <v/>
      </c>
      <c r="E320" s="0" t="str">
        <f aca="false">IF(AND(ISNUMBER(NATAL!$C20),NATAL!$D20="FOLGA"),NATAL!$E20&amp;"","")</f>
        <v/>
      </c>
      <c r="F320" s="0" t="str">
        <f aca="false">IF(AND(ISNUMBER(NATAL!$C20),NATAL!$D20="FOLGA"),NATAL!$F20&amp;"","")</f>
        <v/>
      </c>
      <c r="G320" s="0" t="str">
        <f aca="true">IF(D320="","",IF(D320=TODAY(),D320+ROW()/100000,""))</f>
        <v/>
      </c>
      <c r="H320" s="0" t="str">
        <f aca="true">IF(D320="","",IF(AND(D320&gt;TODAY(),D320&lt;=TODAY()+7),D320+ROW()/100000,""))</f>
        <v/>
      </c>
      <c r="I320" s="0" t="str">
        <f aca="false">IF(D320="","",IF(D320=CALENDÁRIO!$L$4,ROW(),""))</f>
        <v/>
      </c>
      <c r="J320" s="0" t="str">
        <f aca="false">IF(D320="","",CHOOSE(WEEKDAY(D320),"Domingo","Segunda","Terça","Quarta","Quinta","Sexta","Sábado"))</f>
        <v/>
      </c>
    </row>
    <row r="321" customFormat="false" ht="15" hidden="false" customHeight="false" outlineLevel="0" collapsed="false">
      <c r="A321" s="0" t="str">
        <f aca="false">IF(AND(ISNUMBER(NATAL!$C21),NATAL!$D21="FOLGA"),"Folga Natal","")</f>
        <v/>
      </c>
      <c r="B321" s="0" t="str">
        <f aca="false">IF(AND(ISNUMBER(NATAL!$C21),NATAL!$D21="FOLGA"),NATAL!$A21&amp;"","")</f>
        <v/>
      </c>
      <c r="C321" s="0" t="str">
        <f aca="false">IF(AND(ISNUMBER(NATAL!$C21),NATAL!$D21="FOLGA"),NATAL!$B21&amp;"","")</f>
        <v/>
      </c>
      <c r="D321" s="78" t="str">
        <f aca="false">IF(AND(ISNUMBER(NATAL!$C21),NATAL!$D21="FOLGA"),NATAL!$C21,"")</f>
        <v/>
      </c>
      <c r="E321" s="0" t="str">
        <f aca="false">IF(AND(ISNUMBER(NATAL!$C21),NATAL!$D21="FOLGA"),NATAL!$E21&amp;"","")</f>
        <v/>
      </c>
      <c r="F321" s="0" t="str">
        <f aca="false">IF(AND(ISNUMBER(NATAL!$C21),NATAL!$D21="FOLGA"),NATAL!$F21&amp;"","")</f>
        <v/>
      </c>
      <c r="G321" s="0" t="str">
        <f aca="true">IF(D321="","",IF(D321=TODAY(),D321+ROW()/100000,""))</f>
        <v/>
      </c>
      <c r="H321" s="0" t="str">
        <f aca="true">IF(D321="","",IF(AND(D321&gt;TODAY(),D321&lt;=TODAY()+7),D321+ROW()/100000,""))</f>
        <v/>
      </c>
      <c r="I321" s="0" t="str">
        <f aca="false">IF(D321="","",IF(D321=CALENDÁRIO!$L$4,ROW(),""))</f>
        <v/>
      </c>
      <c r="J321" s="0" t="str">
        <f aca="false">IF(D321="","",CHOOSE(WEEKDAY(D321),"Domingo","Segunda","Terça","Quarta","Quinta","Sexta","Sábado"))</f>
        <v/>
      </c>
    </row>
    <row r="322" customFormat="false" ht="15" hidden="false" customHeight="false" outlineLevel="0" collapsed="false">
      <c r="A322" s="0" t="str">
        <f aca="false">IF(AND(ISNUMBER(NATAL!$C22),NATAL!$D22="FOLGA"),"Folga Natal","")</f>
        <v/>
      </c>
      <c r="B322" s="0" t="str">
        <f aca="false">IF(AND(ISNUMBER(NATAL!$C22),NATAL!$D22="FOLGA"),NATAL!$A22&amp;"","")</f>
        <v/>
      </c>
      <c r="C322" s="0" t="str">
        <f aca="false">IF(AND(ISNUMBER(NATAL!$C22),NATAL!$D22="FOLGA"),NATAL!$B22&amp;"","")</f>
        <v/>
      </c>
      <c r="D322" s="78" t="str">
        <f aca="false">IF(AND(ISNUMBER(NATAL!$C22),NATAL!$D22="FOLGA"),NATAL!$C22,"")</f>
        <v/>
      </c>
      <c r="E322" s="0" t="str">
        <f aca="false">IF(AND(ISNUMBER(NATAL!$C22),NATAL!$D22="FOLGA"),NATAL!$E22&amp;"","")</f>
        <v/>
      </c>
      <c r="F322" s="0" t="str">
        <f aca="false">IF(AND(ISNUMBER(NATAL!$C22),NATAL!$D22="FOLGA"),NATAL!$F22&amp;"","")</f>
        <v/>
      </c>
      <c r="G322" s="0" t="str">
        <f aca="true">IF(D322="","",IF(D322=TODAY(),D322+ROW()/100000,""))</f>
        <v/>
      </c>
      <c r="H322" s="0" t="str">
        <f aca="true">IF(D322="","",IF(AND(D322&gt;TODAY(),D322&lt;=TODAY()+7),D322+ROW()/100000,""))</f>
        <v/>
      </c>
      <c r="I322" s="0" t="str">
        <f aca="false">IF(D322="","",IF(D322=CALENDÁRIO!$L$4,ROW(),""))</f>
        <v/>
      </c>
      <c r="J322" s="0" t="str">
        <f aca="false">IF(D322="","",CHOOSE(WEEKDAY(D322),"Domingo","Segunda","Terça","Quarta","Quinta","Sexta","Sábado"))</f>
        <v/>
      </c>
    </row>
    <row r="323" customFormat="false" ht="15" hidden="false" customHeight="false" outlineLevel="0" collapsed="false">
      <c r="A323" s="0" t="str">
        <f aca="false">IF(AND(ISNUMBER(NATAL!$C23),NATAL!$D23="FOLGA"),"Folga Natal","")</f>
        <v/>
      </c>
      <c r="B323" s="0" t="str">
        <f aca="false">IF(AND(ISNUMBER(NATAL!$C23),NATAL!$D23="FOLGA"),NATAL!$A23&amp;"","")</f>
        <v/>
      </c>
      <c r="C323" s="0" t="str">
        <f aca="false">IF(AND(ISNUMBER(NATAL!$C23),NATAL!$D23="FOLGA"),NATAL!$B23&amp;"","")</f>
        <v/>
      </c>
      <c r="D323" s="78" t="str">
        <f aca="false">IF(AND(ISNUMBER(NATAL!$C23),NATAL!$D23="FOLGA"),NATAL!$C23,"")</f>
        <v/>
      </c>
      <c r="E323" s="0" t="str">
        <f aca="false">IF(AND(ISNUMBER(NATAL!$C23),NATAL!$D23="FOLGA"),NATAL!$E23&amp;"","")</f>
        <v/>
      </c>
      <c r="F323" s="0" t="str">
        <f aca="false">IF(AND(ISNUMBER(NATAL!$C23),NATAL!$D23="FOLGA"),NATAL!$F23&amp;"","")</f>
        <v/>
      </c>
      <c r="G323" s="0" t="str">
        <f aca="true">IF(D323="","",IF(D323=TODAY(),D323+ROW()/100000,""))</f>
        <v/>
      </c>
      <c r="H323" s="0" t="str">
        <f aca="true">IF(D323="","",IF(AND(D323&gt;TODAY(),D323&lt;=TODAY()+7),D323+ROW()/100000,""))</f>
        <v/>
      </c>
      <c r="I323" s="0" t="str">
        <f aca="false">IF(D323="","",IF(D323=CALENDÁRIO!$L$4,ROW(),""))</f>
        <v/>
      </c>
      <c r="J323" s="0" t="str">
        <f aca="false">IF(D323="","",CHOOSE(WEEKDAY(D323),"Domingo","Segunda","Terça","Quarta","Quinta","Sexta","Sábado"))</f>
        <v/>
      </c>
    </row>
    <row r="324" customFormat="false" ht="15" hidden="false" customHeight="false" outlineLevel="0" collapsed="false">
      <c r="A324" s="0" t="str">
        <f aca="false">IF(AND(ISNUMBER(NATAL!$C24),NATAL!$D24="FOLGA"),"Folga Natal","")</f>
        <v/>
      </c>
      <c r="B324" s="0" t="str">
        <f aca="false">IF(AND(ISNUMBER(NATAL!$C24),NATAL!$D24="FOLGA"),NATAL!$A24&amp;"","")</f>
        <v/>
      </c>
      <c r="C324" s="0" t="str">
        <f aca="false">IF(AND(ISNUMBER(NATAL!$C24),NATAL!$D24="FOLGA"),NATAL!$B24&amp;"","")</f>
        <v/>
      </c>
      <c r="D324" s="78" t="str">
        <f aca="false">IF(AND(ISNUMBER(NATAL!$C24),NATAL!$D24="FOLGA"),NATAL!$C24,"")</f>
        <v/>
      </c>
      <c r="E324" s="0" t="str">
        <f aca="false">IF(AND(ISNUMBER(NATAL!$C24),NATAL!$D24="FOLGA"),NATAL!$E24&amp;"","")</f>
        <v/>
      </c>
      <c r="F324" s="0" t="str">
        <f aca="false">IF(AND(ISNUMBER(NATAL!$C24),NATAL!$D24="FOLGA"),NATAL!$F24&amp;"","")</f>
        <v/>
      </c>
      <c r="G324" s="0" t="str">
        <f aca="true">IF(D324="","",IF(D324=TODAY(),D324+ROW()/100000,""))</f>
        <v/>
      </c>
      <c r="H324" s="0" t="str">
        <f aca="true">IF(D324="","",IF(AND(D324&gt;TODAY(),D324&lt;=TODAY()+7),D324+ROW()/100000,""))</f>
        <v/>
      </c>
      <c r="I324" s="0" t="str">
        <f aca="false">IF(D324="","",IF(D324=CALENDÁRIO!$L$4,ROW(),""))</f>
        <v/>
      </c>
      <c r="J324" s="0" t="str">
        <f aca="false">IF(D324="","",CHOOSE(WEEKDAY(D324),"Domingo","Segunda","Terça","Quarta","Quinta","Sexta","Sábado"))</f>
        <v/>
      </c>
    </row>
    <row r="325" customFormat="false" ht="15" hidden="false" customHeight="false" outlineLevel="0" collapsed="false">
      <c r="A325" s="0" t="str">
        <f aca="false">IF(AND(ISNUMBER(NATAL!$C25),NATAL!$D25="FOLGA"),"Folga Natal","")</f>
        <v/>
      </c>
      <c r="B325" s="0" t="str">
        <f aca="false">IF(AND(ISNUMBER(NATAL!$C25),NATAL!$D25="FOLGA"),NATAL!$A25&amp;"","")</f>
        <v/>
      </c>
      <c r="C325" s="0" t="str">
        <f aca="false">IF(AND(ISNUMBER(NATAL!$C25),NATAL!$D25="FOLGA"),NATAL!$B25&amp;"","")</f>
        <v/>
      </c>
      <c r="D325" s="78" t="str">
        <f aca="false">IF(AND(ISNUMBER(NATAL!$C25),NATAL!$D25="FOLGA"),NATAL!$C25,"")</f>
        <v/>
      </c>
      <c r="E325" s="0" t="str">
        <f aca="false">IF(AND(ISNUMBER(NATAL!$C25),NATAL!$D25="FOLGA"),NATAL!$E25&amp;"","")</f>
        <v/>
      </c>
      <c r="F325" s="0" t="str">
        <f aca="false">IF(AND(ISNUMBER(NATAL!$C25),NATAL!$D25="FOLGA"),NATAL!$F25&amp;"","")</f>
        <v/>
      </c>
      <c r="G325" s="0" t="str">
        <f aca="true">IF(D325="","",IF(D325=TODAY(),D325+ROW()/100000,""))</f>
        <v/>
      </c>
      <c r="H325" s="0" t="str">
        <f aca="true">IF(D325="","",IF(AND(D325&gt;TODAY(),D325&lt;=TODAY()+7),D325+ROW()/100000,""))</f>
        <v/>
      </c>
      <c r="I325" s="0" t="str">
        <f aca="false">IF(D325="","",IF(D325=CALENDÁRIO!$L$4,ROW(),""))</f>
        <v/>
      </c>
      <c r="J325" s="0" t="str">
        <f aca="false">IF(D325="","",CHOOSE(WEEKDAY(D325),"Domingo","Segunda","Terça","Quarta","Quinta","Sexta","Sábado"))</f>
        <v/>
      </c>
    </row>
    <row r="326" customFormat="false" ht="15" hidden="false" customHeight="false" outlineLevel="0" collapsed="false">
      <c r="A326" s="0" t="str">
        <f aca="false">IF(AND(ISNUMBER(NATAL!$C26),NATAL!$D26="FOLGA"),"Folga Natal","")</f>
        <v/>
      </c>
      <c r="B326" s="0" t="str">
        <f aca="false">IF(AND(ISNUMBER(NATAL!$C26),NATAL!$D26="FOLGA"),NATAL!$A26&amp;"","")</f>
        <v/>
      </c>
      <c r="C326" s="0" t="str">
        <f aca="false">IF(AND(ISNUMBER(NATAL!$C26),NATAL!$D26="FOLGA"),NATAL!$B26&amp;"","")</f>
        <v/>
      </c>
      <c r="D326" s="78" t="str">
        <f aca="false">IF(AND(ISNUMBER(NATAL!$C26),NATAL!$D26="FOLGA"),NATAL!$C26,"")</f>
        <v/>
      </c>
      <c r="E326" s="0" t="str">
        <f aca="false">IF(AND(ISNUMBER(NATAL!$C26),NATAL!$D26="FOLGA"),NATAL!$E26&amp;"","")</f>
        <v/>
      </c>
      <c r="F326" s="0" t="str">
        <f aca="false">IF(AND(ISNUMBER(NATAL!$C26),NATAL!$D26="FOLGA"),NATAL!$F26&amp;"","")</f>
        <v/>
      </c>
      <c r="G326" s="0" t="str">
        <f aca="true">IF(D326="","",IF(D326=TODAY(),D326+ROW()/100000,""))</f>
        <v/>
      </c>
      <c r="H326" s="0" t="str">
        <f aca="true">IF(D326="","",IF(AND(D326&gt;TODAY(),D326&lt;=TODAY()+7),D326+ROW()/100000,""))</f>
        <v/>
      </c>
      <c r="I326" s="0" t="str">
        <f aca="false">IF(D326="","",IF(D326=CALENDÁRIO!$L$4,ROW(),""))</f>
        <v/>
      </c>
      <c r="J326" s="0" t="str">
        <f aca="false">IF(D326="","",CHOOSE(WEEKDAY(D326),"Domingo","Segunda","Terça","Quarta","Quinta","Sexta","Sábado"))</f>
        <v/>
      </c>
    </row>
    <row r="327" customFormat="false" ht="15" hidden="false" customHeight="false" outlineLevel="0" collapsed="false">
      <c r="A327" s="0" t="str">
        <f aca="false">IF(AND(ISNUMBER(NATAL!$C27),NATAL!$D27="FOLGA"),"Folga Natal","")</f>
        <v/>
      </c>
      <c r="B327" s="0" t="str">
        <f aca="false">IF(AND(ISNUMBER(NATAL!$C27),NATAL!$D27="FOLGA"),NATAL!$A27&amp;"","")</f>
        <v/>
      </c>
      <c r="C327" s="0" t="str">
        <f aca="false">IF(AND(ISNUMBER(NATAL!$C27),NATAL!$D27="FOLGA"),NATAL!$B27&amp;"","")</f>
        <v/>
      </c>
      <c r="D327" s="78" t="str">
        <f aca="false">IF(AND(ISNUMBER(NATAL!$C27),NATAL!$D27="FOLGA"),NATAL!$C27,"")</f>
        <v/>
      </c>
      <c r="E327" s="0" t="str">
        <f aca="false">IF(AND(ISNUMBER(NATAL!$C27),NATAL!$D27="FOLGA"),NATAL!$E27&amp;"","")</f>
        <v/>
      </c>
      <c r="F327" s="0" t="str">
        <f aca="false">IF(AND(ISNUMBER(NATAL!$C27),NATAL!$D27="FOLGA"),NATAL!$F27&amp;"","")</f>
        <v/>
      </c>
      <c r="G327" s="0" t="str">
        <f aca="true">IF(D327="","",IF(D327=TODAY(),D327+ROW()/100000,""))</f>
        <v/>
      </c>
      <c r="H327" s="0" t="str">
        <f aca="true">IF(D327="","",IF(AND(D327&gt;TODAY(),D327&lt;=TODAY()+7),D327+ROW()/100000,""))</f>
        <v/>
      </c>
      <c r="I327" s="0" t="str">
        <f aca="false">IF(D327="","",IF(D327=CALENDÁRIO!$L$4,ROW(),""))</f>
        <v/>
      </c>
      <c r="J327" s="0" t="str">
        <f aca="false">IF(D327="","",CHOOSE(WEEKDAY(D327),"Domingo","Segunda","Terça","Quarta","Quinta","Sexta","Sábado"))</f>
        <v/>
      </c>
    </row>
    <row r="328" customFormat="false" ht="15" hidden="false" customHeight="false" outlineLevel="0" collapsed="false">
      <c r="A328" s="0" t="str">
        <f aca="false">IF(AND(ISNUMBER(NATAL!$C28),NATAL!$D28="FOLGA"),"Folga Natal","")</f>
        <v/>
      </c>
      <c r="B328" s="0" t="str">
        <f aca="false">IF(AND(ISNUMBER(NATAL!$C28),NATAL!$D28="FOLGA"),NATAL!$A28&amp;"","")</f>
        <v/>
      </c>
      <c r="C328" s="0" t="str">
        <f aca="false">IF(AND(ISNUMBER(NATAL!$C28),NATAL!$D28="FOLGA"),NATAL!$B28&amp;"","")</f>
        <v/>
      </c>
      <c r="D328" s="78" t="str">
        <f aca="false">IF(AND(ISNUMBER(NATAL!$C28),NATAL!$D28="FOLGA"),NATAL!$C28,"")</f>
        <v/>
      </c>
      <c r="E328" s="0" t="str">
        <f aca="false">IF(AND(ISNUMBER(NATAL!$C28),NATAL!$D28="FOLGA"),NATAL!$E28&amp;"","")</f>
        <v/>
      </c>
      <c r="F328" s="0" t="str">
        <f aca="false">IF(AND(ISNUMBER(NATAL!$C28),NATAL!$D28="FOLGA"),NATAL!$F28&amp;"","")</f>
        <v/>
      </c>
      <c r="G328" s="0" t="str">
        <f aca="true">IF(D328="","",IF(D328=TODAY(),D328+ROW()/100000,""))</f>
        <v/>
      </c>
      <c r="H328" s="0" t="str">
        <f aca="true">IF(D328="","",IF(AND(D328&gt;TODAY(),D328&lt;=TODAY()+7),D328+ROW()/100000,""))</f>
        <v/>
      </c>
      <c r="I328" s="0" t="str">
        <f aca="false">IF(D328="","",IF(D328=CALENDÁRIO!$L$4,ROW(),""))</f>
        <v/>
      </c>
      <c r="J328" s="0" t="str">
        <f aca="false">IF(D328="","",CHOOSE(WEEKDAY(D328),"Domingo","Segunda","Terça","Quarta","Quinta","Sexta","Sábado"))</f>
        <v/>
      </c>
    </row>
    <row r="329" customFormat="false" ht="15" hidden="false" customHeight="false" outlineLevel="0" collapsed="false">
      <c r="A329" s="0" t="str">
        <f aca="false">IF(AND(ISNUMBER(NATAL!$C29),NATAL!$D29="FOLGA"),"Folga Natal","")</f>
        <v/>
      </c>
      <c r="B329" s="0" t="str">
        <f aca="false">IF(AND(ISNUMBER(NATAL!$C29),NATAL!$D29="FOLGA"),NATAL!$A29&amp;"","")</f>
        <v/>
      </c>
      <c r="C329" s="0" t="str">
        <f aca="false">IF(AND(ISNUMBER(NATAL!$C29),NATAL!$D29="FOLGA"),NATAL!$B29&amp;"","")</f>
        <v/>
      </c>
      <c r="D329" s="78" t="str">
        <f aca="false">IF(AND(ISNUMBER(NATAL!$C29),NATAL!$D29="FOLGA"),NATAL!$C29,"")</f>
        <v/>
      </c>
      <c r="E329" s="0" t="str">
        <f aca="false">IF(AND(ISNUMBER(NATAL!$C29),NATAL!$D29="FOLGA"),NATAL!$E29&amp;"","")</f>
        <v/>
      </c>
      <c r="F329" s="0" t="str">
        <f aca="false">IF(AND(ISNUMBER(NATAL!$C29),NATAL!$D29="FOLGA"),NATAL!$F29&amp;"","")</f>
        <v/>
      </c>
      <c r="G329" s="0" t="str">
        <f aca="true">IF(D329="","",IF(D329=TODAY(),D329+ROW()/100000,""))</f>
        <v/>
      </c>
      <c r="H329" s="0" t="str">
        <f aca="true">IF(D329="","",IF(AND(D329&gt;TODAY(),D329&lt;=TODAY()+7),D329+ROW()/100000,""))</f>
        <v/>
      </c>
      <c r="I329" s="0" t="str">
        <f aca="false">IF(D329="","",IF(D329=CALENDÁRIO!$L$4,ROW(),""))</f>
        <v/>
      </c>
      <c r="J329" s="0" t="str">
        <f aca="false">IF(D329="","",CHOOSE(WEEKDAY(D329),"Domingo","Segunda","Terça","Quarta","Quinta","Sexta","Sábado"))</f>
        <v/>
      </c>
    </row>
    <row r="330" customFormat="false" ht="15" hidden="false" customHeight="false" outlineLevel="0" collapsed="false">
      <c r="A330" s="0" t="str">
        <f aca="false">IF(AND(ISNUMBER(NATAL!$C30),NATAL!$D30="FOLGA"),"Folga Natal","")</f>
        <v/>
      </c>
      <c r="B330" s="0" t="str">
        <f aca="false">IF(AND(ISNUMBER(NATAL!$C30),NATAL!$D30="FOLGA"),NATAL!$A30&amp;"","")</f>
        <v/>
      </c>
      <c r="C330" s="0" t="str">
        <f aca="false">IF(AND(ISNUMBER(NATAL!$C30),NATAL!$D30="FOLGA"),NATAL!$B30&amp;"","")</f>
        <v/>
      </c>
      <c r="D330" s="78" t="str">
        <f aca="false">IF(AND(ISNUMBER(NATAL!$C30),NATAL!$D30="FOLGA"),NATAL!$C30,"")</f>
        <v/>
      </c>
      <c r="E330" s="0" t="str">
        <f aca="false">IF(AND(ISNUMBER(NATAL!$C30),NATAL!$D30="FOLGA"),NATAL!$E30&amp;"","")</f>
        <v/>
      </c>
      <c r="F330" s="0" t="str">
        <f aca="false">IF(AND(ISNUMBER(NATAL!$C30),NATAL!$D30="FOLGA"),NATAL!$F30&amp;"","")</f>
        <v/>
      </c>
      <c r="G330" s="0" t="str">
        <f aca="true">IF(D330="","",IF(D330=TODAY(),D330+ROW()/100000,""))</f>
        <v/>
      </c>
      <c r="H330" s="0" t="str">
        <f aca="true">IF(D330="","",IF(AND(D330&gt;TODAY(),D330&lt;=TODAY()+7),D330+ROW()/100000,""))</f>
        <v/>
      </c>
      <c r="I330" s="0" t="str">
        <f aca="false">IF(D330="","",IF(D330=CALENDÁRIO!$L$4,ROW(),""))</f>
        <v/>
      </c>
      <c r="J330" s="0" t="str">
        <f aca="false">IF(D330="","",CHOOSE(WEEKDAY(D330),"Domingo","Segunda","Terça","Quarta","Quinta","Sexta","Sábado"))</f>
        <v/>
      </c>
    </row>
    <row r="331" customFormat="false" ht="15" hidden="false" customHeight="false" outlineLevel="0" collapsed="false">
      <c r="A331" s="0" t="str">
        <f aca="false">IF(AND(ISNUMBER(NATAL!$C31),NATAL!$D31="FOLGA"),"Folga Natal","")</f>
        <v/>
      </c>
      <c r="B331" s="0" t="str">
        <f aca="false">IF(AND(ISNUMBER(NATAL!$C31),NATAL!$D31="FOLGA"),NATAL!$A31&amp;"","")</f>
        <v/>
      </c>
      <c r="C331" s="0" t="str">
        <f aca="false">IF(AND(ISNUMBER(NATAL!$C31),NATAL!$D31="FOLGA"),NATAL!$B31&amp;"","")</f>
        <v/>
      </c>
      <c r="D331" s="78" t="str">
        <f aca="false">IF(AND(ISNUMBER(NATAL!$C31),NATAL!$D31="FOLGA"),NATAL!$C31,"")</f>
        <v/>
      </c>
      <c r="E331" s="0" t="str">
        <f aca="false">IF(AND(ISNUMBER(NATAL!$C31),NATAL!$D31="FOLGA"),NATAL!$E31&amp;"","")</f>
        <v/>
      </c>
      <c r="F331" s="0" t="str">
        <f aca="false">IF(AND(ISNUMBER(NATAL!$C31),NATAL!$D31="FOLGA"),NATAL!$F31&amp;"","")</f>
        <v/>
      </c>
      <c r="G331" s="0" t="str">
        <f aca="true">IF(D331="","",IF(D331=TODAY(),D331+ROW()/100000,""))</f>
        <v/>
      </c>
      <c r="H331" s="0" t="str">
        <f aca="true">IF(D331="","",IF(AND(D331&gt;TODAY(),D331&lt;=TODAY()+7),D331+ROW()/100000,""))</f>
        <v/>
      </c>
      <c r="I331" s="0" t="str">
        <f aca="false">IF(D331="","",IF(D331=CALENDÁRIO!$L$4,ROW(),""))</f>
        <v/>
      </c>
      <c r="J331" s="0" t="str">
        <f aca="false">IF(D331="","",CHOOSE(WEEKDAY(D331),"Domingo","Segunda","Terça","Quarta","Quinta","Sexta","Sábado"))</f>
        <v/>
      </c>
    </row>
    <row r="332" customFormat="false" ht="15" hidden="false" customHeight="false" outlineLevel="0" collapsed="false">
      <c r="A332" s="0" t="str">
        <f aca="false">IF(AND(ISNUMBER(NATAL!$C32),NATAL!$D32="FOLGA"),"Folga Natal","")</f>
        <v/>
      </c>
      <c r="B332" s="0" t="str">
        <f aca="false">IF(AND(ISNUMBER(NATAL!$C32),NATAL!$D32="FOLGA"),NATAL!$A32&amp;"","")</f>
        <v/>
      </c>
      <c r="C332" s="0" t="str">
        <f aca="false">IF(AND(ISNUMBER(NATAL!$C32),NATAL!$D32="FOLGA"),NATAL!$B32&amp;"","")</f>
        <v/>
      </c>
      <c r="D332" s="78" t="str">
        <f aca="false">IF(AND(ISNUMBER(NATAL!$C32),NATAL!$D32="FOLGA"),NATAL!$C32,"")</f>
        <v/>
      </c>
      <c r="E332" s="0" t="str">
        <f aca="false">IF(AND(ISNUMBER(NATAL!$C32),NATAL!$D32="FOLGA"),NATAL!$E32&amp;"","")</f>
        <v/>
      </c>
      <c r="F332" s="0" t="str">
        <f aca="false">IF(AND(ISNUMBER(NATAL!$C32),NATAL!$D32="FOLGA"),NATAL!$F32&amp;"","")</f>
        <v/>
      </c>
      <c r="G332" s="0" t="str">
        <f aca="true">IF(D332="","",IF(D332=TODAY(),D332+ROW()/100000,""))</f>
        <v/>
      </c>
      <c r="H332" s="0" t="str">
        <f aca="true">IF(D332="","",IF(AND(D332&gt;TODAY(),D332&lt;=TODAY()+7),D332+ROW()/100000,""))</f>
        <v/>
      </c>
      <c r="I332" s="0" t="str">
        <f aca="false">IF(D332="","",IF(D332=CALENDÁRIO!$L$4,ROW(),""))</f>
        <v/>
      </c>
      <c r="J332" s="0" t="str">
        <f aca="false">IF(D332="","",CHOOSE(WEEKDAY(D332),"Domingo","Segunda","Terça","Quarta","Quinta","Sexta","Sábado"))</f>
        <v/>
      </c>
    </row>
    <row r="333" customFormat="false" ht="15" hidden="false" customHeight="false" outlineLevel="0" collapsed="false">
      <c r="A333" s="0" t="str">
        <f aca="false">IF(AND(ISNUMBER(NATAL!$C33),NATAL!$D33="FOLGA"),"Folga Natal","")</f>
        <v/>
      </c>
      <c r="B333" s="0" t="str">
        <f aca="false">IF(AND(ISNUMBER(NATAL!$C33),NATAL!$D33="FOLGA"),NATAL!$A33&amp;"","")</f>
        <v/>
      </c>
      <c r="C333" s="0" t="str">
        <f aca="false">IF(AND(ISNUMBER(NATAL!$C33),NATAL!$D33="FOLGA"),NATAL!$B33&amp;"","")</f>
        <v/>
      </c>
      <c r="D333" s="78" t="str">
        <f aca="false">IF(AND(ISNUMBER(NATAL!$C33),NATAL!$D33="FOLGA"),NATAL!$C33,"")</f>
        <v/>
      </c>
      <c r="E333" s="0" t="str">
        <f aca="false">IF(AND(ISNUMBER(NATAL!$C33),NATAL!$D33="FOLGA"),NATAL!$E33&amp;"","")</f>
        <v/>
      </c>
      <c r="F333" s="0" t="str">
        <f aca="false">IF(AND(ISNUMBER(NATAL!$C33),NATAL!$D33="FOLGA"),NATAL!$F33&amp;"","")</f>
        <v/>
      </c>
      <c r="G333" s="0" t="str">
        <f aca="true">IF(D333="","",IF(D333=TODAY(),D333+ROW()/100000,""))</f>
        <v/>
      </c>
      <c r="H333" s="0" t="str">
        <f aca="true">IF(D333="","",IF(AND(D333&gt;TODAY(),D333&lt;=TODAY()+7),D333+ROW()/100000,""))</f>
        <v/>
      </c>
      <c r="I333" s="0" t="str">
        <f aca="false">IF(D333="","",IF(D333=CALENDÁRIO!$L$4,ROW(),""))</f>
        <v/>
      </c>
      <c r="J333" s="0" t="str">
        <f aca="false">IF(D333="","",CHOOSE(WEEKDAY(D333),"Domingo","Segunda","Terça","Quarta","Quinta","Sexta","Sábado"))</f>
        <v/>
      </c>
    </row>
    <row r="334" customFormat="false" ht="15" hidden="false" customHeight="false" outlineLevel="0" collapsed="false">
      <c r="A334" s="0" t="str">
        <f aca="false">IF(AND(ISNUMBER(NATAL!$C34),NATAL!$D34="FOLGA"),"Folga Natal","")</f>
        <v/>
      </c>
      <c r="B334" s="0" t="str">
        <f aca="false">IF(AND(ISNUMBER(NATAL!$C34),NATAL!$D34="FOLGA"),NATAL!$A34&amp;"","")</f>
        <v/>
      </c>
      <c r="C334" s="0" t="str">
        <f aca="false">IF(AND(ISNUMBER(NATAL!$C34),NATAL!$D34="FOLGA"),NATAL!$B34&amp;"","")</f>
        <v/>
      </c>
      <c r="D334" s="78" t="str">
        <f aca="false">IF(AND(ISNUMBER(NATAL!$C34),NATAL!$D34="FOLGA"),NATAL!$C34,"")</f>
        <v/>
      </c>
      <c r="E334" s="0" t="str">
        <f aca="false">IF(AND(ISNUMBER(NATAL!$C34),NATAL!$D34="FOLGA"),NATAL!$E34&amp;"","")</f>
        <v/>
      </c>
      <c r="F334" s="0" t="str">
        <f aca="false">IF(AND(ISNUMBER(NATAL!$C34),NATAL!$D34="FOLGA"),NATAL!$F34&amp;"","")</f>
        <v/>
      </c>
      <c r="G334" s="0" t="str">
        <f aca="true">IF(D334="","",IF(D334=TODAY(),D334+ROW()/100000,""))</f>
        <v/>
      </c>
      <c r="H334" s="0" t="str">
        <f aca="true">IF(D334="","",IF(AND(D334&gt;TODAY(),D334&lt;=TODAY()+7),D334+ROW()/100000,""))</f>
        <v/>
      </c>
      <c r="I334" s="0" t="str">
        <f aca="false">IF(D334="","",IF(D334=CALENDÁRIO!$L$4,ROW(),""))</f>
        <v/>
      </c>
      <c r="J334" s="0" t="str">
        <f aca="false">IF(D334="","",CHOOSE(WEEKDAY(D334),"Domingo","Segunda","Terça","Quarta","Quinta","Sexta","Sábado"))</f>
        <v/>
      </c>
    </row>
    <row r="335" customFormat="false" ht="15" hidden="false" customHeight="false" outlineLevel="0" collapsed="false">
      <c r="A335" s="0" t="str">
        <f aca="false">IF(AND(ISNUMBER(NATAL!$C35),NATAL!$D35="FOLGA"),"Folga Natal","")</f>
        <v/>
      </c>
      <c r="B335" s="0" t="str">
        <f aca="false">IF(AND(ISNUMBER(NATAL!$C35),NATAL!$D35="FOLGA"),NATAL!$A35&amp;"","")</f>
        <v/>
      </c>
      <c r="C335" s="0" t="str">
        <f aca="false">IF(AND(ISNUMBER(NATAL!$C35),NATAL!$D35="FOLGA"),NATAL!$B35&amp;"","")</f>
        <v/>
      </c>
      <c r="D335" s="78" t="str">
        <f aca="false">IF(AND(ISNUMBER(NATAL!$C35),NATAL!$D35="FOLGA"),NATAL!$C35,"")</f>
        <v/>
      </c>
      <c r="E335" s="0" t="str">
        <f aca="false">IF(AND(ISNUMBER(NATAL!$C35),NATAL!$D35="FOLGA"),NATAL!$E35&amp;"","")</f>
        <v/>
      </c>
      <c r="F335" s="0" t="str">
        <f aca="false">IF(AND(ISNUMBER(NATAL!$C35),NATAL!$D35="FOLGA"),NATAL!$F35&amp;"","")</f>
        <v/>
      </c>
      <c r="G335" s="0" t="str">
        <f aca="true">IF(D335="","",IF(D335=TODAY(),D335+ROW()/100000,""))</f>
        <v/>
      </c>
      <c r="H335" s="0" t="str">
        <f aca="true">IF(D335="","",IF(AND(D335&gt;TODAY(),D335&lt;=TODAY()+7),D335+ROW()/100000,""))</f>
        <v/>
      </c>
      <c r="I335" s="0" t="str">
        <f aca="false">IF(D335="","",IF(D335=CALENDÁRIO!$L$4,ROW(),""))</f>
        <v/>
      </c>
      <c r="J335" s="0" t="str">
        <f aca="false">IF(D335="","",CHOOSE(WEEKDAY(D335),"Domingo","Segunda","Terça","Quarta","Quinta","Sexta","Sábado"))</f>
        <v/>
      </c>
    </row>
    <row r="336" customFormat="false" ht="15" hidden="false" customHeight="false" outlineLevel="0" collapsed="false">
      <c r="A336" s="0" t="str">
        <f aca="false">IF(AND(ISNUMBER(NATAL!$C36),NATAL!$D36="FOLGA"),"Folga Natal","")</f>
        <v/>
      </c>
      <c r="B336" s="0" t="str">
        <f aca="false">IF(AND(ISNUMBER(NATAL!$C36),NATAL!$D36="FOLGA"),NATAL!$A36&amp;"","")</f>
        <v/>
      </c>
      <c r="C336" s="0" t="str">
        <f aca="false">IF(AND(ISNUMBER(NATAL!$C36),NATAL!$D36="FOLGA"),NATAL!$B36&amp;"","")</f>
        <v/>
      </c>
      <c r="D336" s="78" t="str">
        <f aca="false">IF(AND(ISNUMBER(NATAL!$C36),NATAL!$D36="FOLGA"),NATAL!$C36,"")</f>
        <v/>
      </c>
      <c r="E336" s="0" t="str">
        <f aca="false">IF(AND(ISNUMBER(NATAL!$C36),NATAL!$D36="FOLGA"),NATAL!$E36&amp;"","")</f>
        <v/>
      </c>
      <c r="F336" s="0" t="str">
        <f aca="false">IF(AND(ISNUMBER(NATAL!$C36),NATAL!$D36="FOLGA"),NATAL!$F36&amp;"","")</f>
        <v/>
      </c>
      <c r="G336" s="0" t="str">
        <f aca="true">IF(D336="","",IF(D336=TODAY(),D336+ROW()/100000,""))</f>
        <v/>
      </c>
      <c r="H336" s="0" t="str">
        <f aca="true">IF(D336="","",IF(AND(D336&gt;TODAY(),D336&lt;=TODAY()+7),D336+ROW()/100000,""))</f>
        <v/>
      </c>
      <c r="I336" s="0" t="str">
        <f aca="false">IF(D336="","",IF(D336=CALENDÁRIO!$L$4,ROW(),""))</f>
        <v/>
      </c>
      <c r="J336" s="0" t="str">
        <f aca="false">IF(D336="","",CHOOSE(WEEKDAY(D336),"Domingo","Segunda","Terça","Quarta","Quinta","Sexta","Sábado"))</f>
        <v/>
      </c>
    </row>
    <row r="337" customFormat="false" ht="15" hidden="false" customHeight="false" outlineLevel="0" collapsed="false">
      <c r="A337" s="0" t="str">
        <f aca="false">IF(AND(ISNUMBER(NATAL!$C37),NATAL!$D37="FOLGA"),"Folga Natal","")</f>
        <v/>
      </c>
      <c r="B337" s="0" t="str">
        <f aca="false">IF(AND(ISNUMBER(NATAL!$C37),NATAL!$D37="FOLGA"),NATAL!$A37&amp;"","")</f>
        <v/>
      </c>
      <c r="C337" s="0" t="str">
        <f aca="false">IF(AND(ISNUMBER(NATAL!$C37),NATAL!$D37="FOLGA"),NATAL!$B37&amp;"","")</f>
        <v/>
      </c>
      <c r="D337" s="78" t="str">
        <f aca="false">IF(AND(ISNUMBER(NATAL!$C37),NATAL!$D37="FOLGA"),NATAL!$C37,"")</f>
        <v/>
      </c>
      <c r="E337" s="0" t="str">
        <f aca="false">IF(AND(ISNUMBER(NATAL!$C37),NATAL!$D37="FOLGA"),NATAL!$E37&amp;"","")</f>
        <v/>
      </c>
      <c r="F337" s="0" t="str">
        <f aca="false">IF(AND(ISNUMBER(NATAL!$C37),NATAL!$D37="FOLGA"),NATAL!$F37&amp;"","")</f>
        <v/>
      </c>
      <c r="G337" s="0" t="str">
        <f aca="true">IF(D337="","",IF(D337=TODAY(),D337+ROW()/100000,""))</f>
        <v/>
      </c>
      <c r="H337" s="0" t="str">
        <f aca="true">IF(D337="","",IF(AND(D337&gt;TODAY(),D337&lt;=TODAY()+7),D337+ROW()/100000,""))</f>
        <v/>
      </c>
      <c r="I337" s="0" t="str">
        <f aca="false">IF(D337="","",IF(D337=CALENDÁRIO!$L$4,ROW(),""))</f>
        <v/>
      </c>
      <c r="J337" s="0" t="str">
        <f aca="false">IF(D337="","",CHOOSE(WEEKDAY(D337),"Domingo","Segunda","Terça","Quarta","Quinta","Sexta","Sábado"))</f>
        <v/>
      </c>
    </row>
    <row r="338" customFormat="false" ht="15" hidden="false" customHeight="false" outlineLevel="0" collapsed="false">
      <c r="A338" s="0" t="str">
        <f aca="false">IF(AND(ISNUMBER(NATAL!$C38),NATAL!$D38="FOLGA"),"Folga Natal","")</f>
        <v/>
      </c>
      <c r="B338" s="0" t="str">
        <f aca="false">IF(AND(ISNUMBER(NATAL!$C38),NATAL!$D38="FOLGA"),NATAL!$A38&amp;"","")</f>
        <v/>
      </c>
      <c r="C338" s="0" t="str">
        <f aca="false">IF(AND(ISNUMBER(NATAL!$C38),NATAL!$D38="FOLGA"),NATAL!$B38&amp;"","")</f>
        <v/>
      </c>
      <c r="D338" s="78" t="str">
        <f aca="false">IF(AND(ISNUMBER(NATAL!$C38),NATAL!$D38="FOLGA"),NATAL!$C38,"")</f>
        <v/>
      </c>
      <c r="E338" s="0" t="str">
        <f aca="false">IF(AND(ISNUMBER(NATAL!$C38),NATAL!$D38="FOLGA"),NATAL!$E38&amp;"","")</f>
        <v/>
      </c>
      <c r="F338" s="0" t="str">
        <f aca="false">IF(AND(ISNUMBER(NATAL!$C38),NATAL!$D38="FOLGA"),NATAL!$F38&amp;"","")</f>
        <v/>
      </c>
      <c r="G338" s="0" t="str">
        <f aca="true">IF(D338="","",IF(D338=TODAY(),D338+ROW()/100000,""))</f>
        <v/>
      </c>
      <c r="H338" s="0" t="str">
        <f aca="true">IF(D338="","",IF(AND(D338&gt;TODAY(),D338&lt;=TODAY()+7),D338+ROW()/100000,""))</f>
        <v/>
      </c>
      <c r="I338" s="0" t="str">
        <f aca="false">IF(D338="","",IF(D338=CALENDÁRIO!$L$4,ROW(),""))</f>
        <v/>
      </c>
      <c r="J338" s="0" t="str">
        <f aca="false">IF(D338="","",CHOOSE(WEEKDAY(D338),"Domingo","Segunda","Terça","Quarta","Quinta","Sexta","Sábado"))</f>
        <v/>
      </c>
    </row>
    <row r="339" customFormat="false" ht="15" hidden="false" customHeight="false" outlineLevel="0" collapsed="false">
      <c r="A339" s="0" t="str">
        <f aca="false">IF(AND(ISNUMBER(NATAL!$C39),NATAL!$D39="FOLGA"),"Folga Natal","")</f>
        <v/>
      </c>
      <c r="B339" s="0" t="str">
        <f aca="false">IF(AND(ISNUMBER(NATAL!$C39),NATAL!$D39="FOLGA"),NATAL!$A39&amp;"","")</f>
        <v/>
      </c>
      <c r="C339" s="0" t="str">
        <f aca="false">IF(AND(ISNUMBER(NATAL!$C39),NATAL!$D39="FOLGA"),NATAL!$B39&amp;"","")</f>
        <v/>
      </c>
      <c r="D339" s="78" t="str">
        <f aca="false">IF(AND(ISNUMBER(NATAL!$C39),NATAL!$D39="FOLGA"),NATAL!$C39,"")</f>
        <v/>
      </c>
      <c r="E339" s="0" t="str">
        <f aca="false">IF(AND(ISNUMBER(NATAL!$C39),NATAL!$D39="FOLGA"),NATAL!$E39&amp;"","")</f>
        <v/>
      </c>
      <c r="F339" s="0" t="str">
        <f aca="false">IF(AND(ISNUMBER(NATAL!$C39),NATAL!$D39="FOLGA"),NATAL!$F39&amp;"","")</f>
        <v/>
      </c>
      <c r="G339" s="0" t="str">
        <f aca="true">IF(D339="","",IF(D339=TODAY(),D339+ROW()/100000,""))</f>
        <v/>
      </c>
      <c r="H339" s="0" t="str">
        <f aca="true">IF(D339="","",IF(AND(D339&gt;TODAY(),D339&lt;=TODAY()+7),D339+ROW()/100000,""))</f>
        <v/>
      </c>
      <c r="I339" s="0" t="str">
        <f aca="false">IF(D339="","",IF(D339=CALENDÁRIO!$L$4,ROW(),""))</f>
        <v/>
      </c>
      <c r="J339" s="0" t="str">
        <f aca="false">IF(D339="","",CHOOSE(WEEKDAY(D339),"Domingo","Segunda","Terça","Quarta","Quinta","Sexta","Sábado"))</f>
        <v/>
      </c>
    </row>
    <row r="340" customFormat="false" ht="15" hidden="false" customHeight="false" outlineLevel="0" collapsed="false">
      <c r="A340" s="0" t="str">
        <f aca="false">IF(AND(ISNUMBER(NATAL!$C40),NATAL!$D40="FOLGA"),"Folga Natal","")</f>
        <v/>
      </c>
      <c r="B340" s="0" t="str">
        <f aca="false">IF(AND(ISNUMBER(NATAL!$C40),NATAL!$D40="FOLGA"),NATAL!$A40&amp;"","")</f>
        <v/>
      </c>
      <c r="C340" s="0" t="str">
        <f aca="false">IF(AND(ISNUMBER(NATAL!$C40),NATAL!$D40="FOLGA"),NATAL!$B40&amp;"","")</f>
        <v/>
      </c>
      <c r="D340" s="78" t="str">
        <f aca="false">IF(AND(ISNUMBER(NATAL!$C40),NATAL!$D40="FOLGA"),NATAL!$C40,"")</f>
        <v/>
      </c>
      <c r="E340" s="0" t="str">
        <f aca="false">IF(AND(ISNUMBER(NATAL!$C40),NATAL!$D40="FOLGA"),NATAL!$E40&amp;"","")</f>
        <v/>
      </c>
      <c r="F340" s="0" t="str">
        <f aca="false">IF(AND(ISNUMBER(NATAL!$C40),NATAL!$D40="FOLGA"),NATAL!$F40&amp;"","")</f>
        <v/>
      </c>
      <c r="G340" s="0" t="str">
        <f aca="true">IF(D340="","",IF(D340=TODAY(),D340+ROW()/100000,""))</f>
        <v/>
      </c>
      <c r="H340" s="0" t="str">
        <f aca="true">IF(D340="","",IF(AND(D340&gt;TODAY(),D340&lt;=TODAY()+7),D340+ROW()/100000,""))</f>
        <v/>
      </c>
      <c r="I340" s="0" t="str">
        <f aca="false">IF(D340="","",IF(D340=CALENDÁRIO!$L$4,ROW(),""))</f>
        <v/>
      </c>
      <c r="J340" s="0" t="str">
        <f aca="false">IF(D340="","",CHOOSE(WEEKDAY(D340),"Domingo","Segunda","Terça","Quarta","Quinta","Sexta","Sábado"))</f>
        <v/>
      </c>
    </row>
    <row r="341" customFormat="false" ht="15" hidden="false" customHeight="false" outlineLevel="0" collapsed="false">
      <c r="A341" s="0" t="str">
        <f aca="false">IF(AND(ISNUMBER(NATAL!$C41),NATAL!$D41="FOLGA"),"Folga Natal","")</f>
        <v/>
      </c>
      <c r="B341" s="0" t="str">
        <f aca="false">IF(AND(ISNUMBER(NATAL!$C41),NATAL!$D41="FOLGA"),NATAL!$A41&amp;"","")</f>
        <v/>
      </c>
      <c r="C341" s="0" t="str">
        <f aca="false">IF(AND(ISNUMBER(NATAL!$C41),NATAL!$D41="FOLGA"),NATAL!$B41&amp;"","")</f>
        <v/>
      </c>
      <c r="D341" s="78" t="str">
        <f aca="false">IF(AND(ISNUMBER(NATAL!$C41),NATAL!$D41="FOLGA"),NATAL!$C41,"")</f>
        <v/>
      </c>
      <c r="E341" s="0" t="str">
        <f aca="false">IF(AND(ISNUMBER(NATAL!$C41),NATAL!$D41="FOLGA"),NATAL!$E41&amp;"","")</f>
        <v/>
      </c>
      <c r="F341" s="0" t="str">
        <f aca="false">IF(AND(ISNUMBER(NATAL!$C41),NATAL!$D41="FOLGA"),NATAL!$F41&amp;"","")</f>
        <v/>
      </c>
      <c r="G341" s="0" t="str">
        <f aca="true">IF(D341="","",IF(D341=TODAY(),D341+ROW()/100000,""))</f>
        <v/>
      </c>
      <c r="H341" s="0" t="str">
        <f aca="true">IF(D341="","",IF(AND(D341&gt;TODAY(),D341&lt;=TODAY()+7),D341+ROW()/100000,""))</f>
        <v/>
      </c>
      <c r="I341" s="0" t="str">
        <f aca="false">IF(D341="","",IF(D341=CALENDÁRIO!$L$4,ROW(),""))</f>
        <v/>
      </c>
      <c r="J341" s="0" t="str">
        <f aca="false">IF(D341="","",CHOOSE(WEEKDAY(D341),"Domingo","Segunda","Terça","Quarta","Quinta","Sexta","Sábado"))</f>
        <v/>
      </c>
    </row>
    <row r="342" customFormat="false" ht="15" hidden="false" customHeight="false" outlineLevel="0" collapsed="false">
      <c r="A342" s="0" t="str">
        <f aca="false">IF(AND(ISNUMBER(NATAL!$C42),NATAL!$D42="FOLGA"),"Folga Natal","")</f>
        <v/>
      </c>
      <c r="B342" s="0" t="str">
        <f aca="false">IF(AND(ISNUMBER(NATAL!$C42),NATAL!$D42="FOLGA"),NATAL!$A42&amp;"","")</f>
        <v/>
      </c>
      <c r="C342" s="0" t="str">
        <f aca="false">IF(AND(ISNUMBER(NATAL!$C42),NATAL!$D42="FOLGA"),NATAL!$B42&amp;"","")</f>
        <v/>
      </c>
      <c r="D342" s="78" t="str">
        <f aca="false">IF(AND(ISNUMBER(NATAL!$C42),NATAL!$D42="FOLGA"),NATAL!$C42,"")</f>
        <v/>
      </c>
      <c r="E342" s="0" t="str">
        <f aca="false">IF(AND(ISNUMBER(NATAL!$C42),NATAL!$D42="FOLGA"),NATAL!$E42&amp;"","")</f>
        <v/>
      </c>
      <c r="F342" s="0" t="str">
        <f aca="false">IF(AND(ISNUMBER(NATAL!$C42),NATAL!$D42="FOLGA"),NATAL!$F42&amp;"","")</f>
        <v/>
      </c>
      <c r="G342" s="0" t="str">
        <f aca="true">IF(D342="","",IF(D342=TODAY(),D342+ROW()/100000,""))</f>
        <v/>
      </c>
      <c r="H342" s="0" t="str">
        <f aca="true">IF(D342="","",IF(AND(D342&gt;TODAY(),D342&lt;=TODAY()+7),D342+ROW()/100000,""))</f>
        <v/>
      </c>
      <c r="I342" s="0" t="str">
        <f aca="false">IF(D342="","",IF(D342=CALENDÁRIO!$L$4,ROW(),""))</f>
        <v/>
      </c>
      <c r="J342" s="0" t="str">
        <f aca="false">IF(D342="","",CHOOSE(WEEKDAY(D342),"Domingo","Segunda","Terça","Quarta","Quinta","Sexta","Sábado"))</f>
        <v/>
      </c>
    </row>
    <row r="343" customFormat="false" ht="15" hidden="false" customHeight="false" outlineLevel="0" collapsed="false">
      <c r="A343" s="0" t="str">
        <f aca="false">IF(AND(ISNUMBER(NATAL!$C43),NATAL!$D43="FOLGA"),"Folga Natal","")</f>
        <v/>
      </c>
      <c r="B343" s="0" t="str">
        <f aca="false">IF(AND(ISNUMBER(NATAL!$C43),NATAL!$D43="FOLGA"),NATAL!$A43&amp;"","")</f>
        <v/>
      </c>
      <c r="C343" s="0" t="str">
        <f aca="false">IF(AND(ISNUMBER(NATAL!$C43),NATAL!$D43="FOLGA"),NATAL!$B43&amp;"","")</f>
        <v/>
      </c>
      <c r="D343" s="78" t="str">
        <f aca="false">IF(AND(ISNUMBER(NATAL!$C43),NATAL!$D43="FOLGA"),NATAL!$C43,"")</f>
        <v/>
      </c>
      <c r="E343" s="0" t="str">
        <f aca="false">IF(AND(ISNUMBER(NATAL!$C43),NATAL!$D43="FOLGA"),NATAL!$E43&amp;"","")</f>
        <v/>
      </c>
      <c r="F343" s="0" t="str">
        <f aca="false">IF(AND(ISNUMBER(NATAL!$C43),NATAL!$D43="FOLGA"),NATAL!$F43&amp;"","")</f>
        <v/>
      </c>
      <c r="G343" s="0" t="str">
        <f aca="true">IF(D343="","",IF(D343=TODAY(),D343+ROW()/100000,""))</f>
        <v/>
      </c>
      <c r="H343" s="0" t="str">
        <f aca="true">IF(D343="","",IF(AND(D343&gt;TODAY(),D343&lt;=TODAY()+7),D343+ROW()/100000,""))</f>
        <v/>
      </c>
      <c r="I343" s="0" t="str">
        <f aca="false">IF(D343="","",IF(D343=CALENDÁRIO!$L$4,ROW(),""))</f>
        <v/>
      </c>
      <c r="J343" s="0" t="str">
        <f aca="false">IF(D343="","",CHOOSE(WEEKDAY(D343),"Domingo","Segunda","Terça","Quarta","Quinta","Sexta","Sábado"))</f>
        <v/>
      </c>
    </row>
    <row r="344" customFormat="false" ht="15" hidden="false" customHeight="false" outlineLevel="0" collapsed="false">
      <c r="A344" s="0" t="str">
        <f aca="false">IF(AND(ISNUMBER(NATAL!$C44),NATAL!$D44="FOLGA"),"Folga Natal","")</f>
        <v/>
      </c>
      <c r="B344" s="0" t="str">
        <f aca="false">IF(AND(ISNUMBER(NATAL!$C44),NATAL!$D44="FOLGA"),NATAL!$A44&amp;"","")</f>
        <v/>
      </c>
      <c r="C344" s="0" t="str">
        <f aca="false">IF(AND(ISNUMBER(NATAL!$C44),NATAL!$D44="FOLGA"),NATAL!$B44&amp;"","")</f>
        <v/>
      </c>
      <c r="D344" s="78" t="str">
        <f aca="false">IF(AND(ISNUMBER(NATAL!$C44),NATAL!$D44="FOLGA"),NATAL!$C44,"")</f>
        <v/>
      </c>
      <c r="E344" s="0" t="str">
        <f aca="false">IF(AND(ISNUMBER(NATAL!$C44),NATAL!$D44="FOLGA"),NATAL!$E44&amp;"","")</f>
        <v/>
      </c>
      <c r="F344" s="0" t="str">
        <f aca="false">IF(AND(ISNUMBER(NATAL!$C44),NATAL!$D44="FOLGA"),NATAL!$F44&amp;"","")</f>
        <v/>
      </c>
      <c r="G344" s="0" t="str">
        <f aca="true">IF(D344="","",IF(D344=TODAY(),D344+ROW()/100000,""))</f>
        <v/>
      </c>
      <c r="H344" s="0" t="str">
        <f aca="true">IF(D344="","",IF(AND(D344&gt;TODAY(),D344&lt;=TODAY()+7),D344+ROW()/100000,""))</f>
        <v/>
      </c>
      <c r="I344" s="0" t="str">
        <f aca="false">IF(D344="","",IF(D344=CALENDÁRIO!$L$4,ROW(),""))</f>
        <v/>
      </c>
      <c r="J344" s="0" t="str">
        <f aca="false">IF(D344="","",CHOOSE(WEEKDAY(D344),"Domingo","Segunda","Terça","Quarta","Quinta","Sexta","Sábado"))</f>
        <v/>
      </c>
    </row>
    <row r="345" customFormat="false" ht="15" hidden="false" customHeight="false" outlineLevel="0" collapsed="false">
      <c r="A345" s="0" t="str">
        <f aca="false">IF(AND(ISNUMBER(NATAL!$C45),NATAL!$D45="FOLGA"),"Folga Natal","")</f>
        <v/>
      </c>
      <c r="B345" s="0" t="str">
        <f aca="false">IF(AND(ISNUMBER(NATAL!$C45),NATAL!$D45="FOLGA"),NATAL!$A45&amp;"","")</f>
        <v/>
      </c>
      <c r="C345" s="0" t="str">
        <f aca="false">IF(AND(ISNUMBER(NATAL!$C45),NATAL!$D45="FOLGA"),NATAL!$B45&amp;"","")</f>
        <v/>
      </c>
      <c r="D345" s="78" t="str">
        <f aca="false">IF(AND(ISNUMBER(NATAL!$C45),NATAL!$D45="FOLGA"),NATAL!$C45,"")</f>
        <v/>
      </c>
      <c r="E345" s="0" t="str">
        <f aca="false">IF(AND(ISNUMBER(NATAL!$C45),NATAL!$D45="FOLGA"),NATAL!$E45&amp;"","")</f>
        <v/>
      </c>
      <c r="F345" s="0" t="str">
        <f aca="false">IF(AND(ISNUMBER(NATAL!$C45),NATAL!$D45="FOLGA"),NATAL!$F45&amp;"","")</f>
        <v/>
      </c>
      <c r="G345" s="0" t="str">
        <f aca="true">IF(D345="","",IF(D345=TODAY(),D345+ROW()/100000,""))</f>
        <v/>
      </c>
      <c r="H345" s="0" t="str">
        <f aca="true">IF(D345="","",IF(AND(D345&gt;TODAY(),D345&lt;=TODAY()+7),D345+ROW()/100000,""))</f>
        <v/>
      </c>
      <c r="I345" s="0" t="str">
        <f aca="false">IF(D345="","",IF(D345=CALENDÁRIO!$L$4,ROW(),""))</f>
        <v/>
      </c>
      <c r="J345" s="0" t="str">
        <f aca="false">IF(D345="","",CHOOSE(WEEKDAY(D345),"Domingo","Segunda","Terça","Quarta","Quinta","Sexta","Sábado"))</f>
        <v/>
      </c>
    </row>
    <row r="346" customFormat="false" ht="15" hidden="false" customHeight="false" outlineLevel="0" collapsed="false">
      <c r="A346" s="0" t="str">
        <f aca="false">IF(AND(ISNUMBER(NATAL!$C46),NATAL!$D46="FOLGA"),"Folga Natal","")</f>
        <v/>
      </c>
      <c r="B346" s="0" t="str">
        <f aca="false">IF(AND(ISNUMBER(NATAL!$C46),NATAL!$D46="FOLGA"),NATAL!$A46&amp;"","")</f>
        <v/>
      </c>
      <c r="C346" s="0" t="str">
        <f aca="false">IF(AND(ISNUMBER(NATAL!$C46),NATAL!$D46="FOLGA"),NATAL!$B46&amp;"","")</f>
        <v/>
      </c>
      <c r="D346" s="78" t="str">
        <f aca="false">IF(AND(ISNUMBER(NATAL!$C46),NATAL!$D46="FOLGA"),NATAL!$C46,"")</f>
        <v/>
      </c>
      <c r="E346" s="0" t="str">
        <f aca="false">IF(AND(ISNUMBER(NATAL!$C46),NATAL!$D46="FOLGA"),NATAL!$E46&amp;"","")</f>
        <v/>
      </c>
      <c r="F346" s="0" t="str">
        <f aca="false">IF(AND(ISNUMBER(NATAL!$C46),NATAL!$D46="FOLGA"),NATAL!$F46&amp;"","")</f>
        <v/>
      </c>
      <c r="G346" s="0" t="str">
        <f aca="true">IF(D346="","",IF(D346=TODAY(),D346+ROW()/100000,""))</f>
        <v/>
      </c>
      <c r="H346" s="0" t="str">
        <f aca="true">IF(D346="","",IF(AND(D346&gt;TODAY(),D346&lt;=TODAY()+7),D346+ROW()/100000,""))</f>
        <v/>
      </c>
      <c r="I346" s="0" t="str">
        <f aca="false">IF(D346="","",IF(D346=CALENDÁRIO!$L$4,ROW(),""))</f>
        <v/>
      </c>
      <c r="J346" s="0" t="str">
        <f aca="false">IF(D346="","",CHOOSE(WEEKDAY(D346),"Domingo","Segunda","Terça","Quarta","Quinta","Sexta","Sábado"))</f>
        <v/>
      </c>
    </row>
    <row r="347" customFormat="false" ht="15" hidden="false" customHeight="false" outlineLevel="0" collapsed="false">
      <c r="A347" s="0" t="str">
        <f aca="false">IF(AND(ISNUMBER(NATAL!$C47),NATAL!$D47="FOLGA"),"Folga Natal","")</f>
        <v/>
      </c>
      <c r="B347" s="0" t="str">
        <f aca="false">IF(AND(ISNUMBER(NATAL!$C47),NATAL!$D47="FOLGA"),NATAL!$A47&amp;"","")</f>
        <v/>
      </c>
      <c r="C347" s="0" t="str">
        <f aca="false">IF(AND(ISNUMBER(NATAL!$C47),NATAL!$D47="FOLGA"),NATAL!$B47&amp;"","")</f>
        <v/>
      </c>
      <c r="D347" s="78" t="str">
        <f aca="false">IF(AND(ISNUMBER(NATAL!$C47),NATAL!$D47="FOLGA"),NATAL!$C47,"")</f>
        <v/>
      </c>
      <c r="E347" s="0" t="str">
        <f aca="false">IF(AND(ISNUMBER(NATAL!$C47),NATAL!$D47="FOLGA"),NATAL!$E47&amp;"","")</f>
        <v/>
      </c>
      <c r="F347" s="0" t="str">
        <f aca="false">IF(AND(ISNUMBER(NATAL!$C47),NATAL!$D47="FOLGA"),NATAL!$F47&amp;"","")</f>
        <v/>
      </c>
      <c r="G347" s="0" t="str">
        <f aca="true">IF(D347="","",IF(D347=TODAY(),D347+ROW()/100000,""))</f>
        <v/>
      </c>
      <c r="H347" s="0" t="str">
        <f aca="true">IF(D347="","",IF(AND(D347&gt;TODAY(),D347&lt;=TODAY()+7),D347+ROW()/100000,""))</f>
        <v/>
      </c>
      <c r="I347" s="0" t="str">
        <f aca="false">IF(D347="","",IF(D347=CALENDÁRIO!$L$4,ROW(),""))</f>
        <v/>
      </c>
      <c r="J347" s="0" t="str">
        <f aca="false">IF(D347="","",CHOOSE(WEEKDAY(D347),"Domingo","Segunda","Terça","Quarta","Quinta","Sexta","Sábado"))</f>
        <v/>
      </c>
    </row>
    <row r="348" customFormat="false" ht="15" hidden="false" customHeight="false" outlineLevel="0" collapsed="false">
      <c r="A348" s="0" t="str">
        <f aca="false">IF(AND(ISNUMBER(NATAL!$C48),NATAL!$D48="FOLGA"),"Folga Natal","")</f>
        <v/>
      </c>
      <c r="B348" s="0" t="str">
        <f aca="false">IF(AND(ISNUMBER(NATAL!$C48),NATAL!$D48="FOLGA"),NATAL!$A48&amp;"","")</f>
        <v/>
      </c>
      <c r="C348" s="0" t="str">
        <f aca="false">IF(AND(ISNUMBER(NATAL!$C48),NATAL!$D48="FOLGA"),NATAL!$B48&amp;"","")</f>
        <v/>
      </c>
      <c r="D348" s="78" t="str">
        <f aca="false">IF(AND(ISNUMBER(NATAL!$C48),NATAL!$D48="FOLGA"),NATAL!$C48,"")</f>
        <v/>
      </c>
      <c r="E348" s="0" t="str">
        <f aca="false">IF(AND(ISNUMBER(NATAL!$C48),NATAL!$D48="FOLGA"),NATAL!$E48&amp;"","")</f>
        <v/>
      </c>
      <c r="F348" s="0" t="str">
        <f aca="false">IF(AND(ISNUMBER(NATAL!$C48),NATAL!$D48="FOLGA"),NATAL!$F48&amp;"","")</f>
        <v/>
      </c>
      <c r="G348" s="0" t="str">
        <f aca="true">IF(D348="","",IF(D348=TODAY(),D348+ROW()/100000,""))</f>
        <v/>
      </c>
      <c r="H348" s="0" t="str">
        <f aca="true">IF(D348="","",IF(AND(D348&gt;TODAY(),D348&lt;=TODAY()+7),D348+ROW()/100000,""))</f>
        <v/>
      </c>
      <c r="I348" s="0" t="str">
        <f aca="false">IF(D348="","",IF(D348=CALENDÁRIO!$L$4,ROW(),""))</f>
        <v/>
      </c>
      <c r="J348" s="0" t="str">
        <f aca="false">IF(D348="","",CHOOSE(WEEKDAY(D348),"Domingo","Segunda","Terça","Quarta","Quinta","Sexta","Sábado"))</f>
        <v/>
      </c>
    </row>
    <row r="349" customFormat="false" ht="15" hidden="false" customHeight="false" outlineLevel="0" collapsed="false">
      <c r="A349" s="0" t="str">
        <f aca="false">IF(AND(ISNUMBER(NATAL!$C49),NATAL!$D49="FOLGA"),"Folga Natal","")</f>
        <v/>
      </c>
      <c r="B349" s="0" t="str">
        <f aca="false">IF(AND(ISNUMBER(NATAL!$C49),NATAL!$D49="FOLGA"),NATAL!$A49&amp;"","")</f>
        <v/>
      </c>
      <c r="C349" s="0" t="str">
        <f aca="false">IF(AND(ISNUMBER(NATAL!$C49),NATAL!$D49="FOLGA"),NATAL!$B49&amp;"","")</f>
        <v/>
      </c>
      <c r="D349" s="78" t="str">
        <f aca="false">IF(AND(ISNUMBER(NATAL!$C49),NATAL!$D49="FOLGA"),NATAL!$C49,"")</f>
        <v/>
      </c>
      <c r="E349" s="0" t="str">
        <f aca="false">IF(AND(ISNUMBER(NATAL!$C49),NATAL!$D49="FOLGA"),NATAL!$E49&amp;"","")</f>
        <v/>
      </c>
      <c r="F349" s="0" t="str">
        <f aca="false">IF(AND(ISNUMBER(NATAL!$C49),NATAL!$D49="FOLGA"),NATAL!$F49&amp;"","")</f>
        <v/>
      </c>
      <c r="G349" s="0" t="str">
        <f aca="true">IF(D349="","",IF(D349=TODAY(),D349+ROW()/100000,""))</f>
        <v/>
      </c>
      <c r="H349" s="0" t="str">
        <f aca="true">IF(D349="","",IF(AND(D349&gt;TODAY(),D349&lt;=TODAY()+7),D349+ROW()/100000,""))</f>
        <v/>
      </c>
      <c r="I349" s="0" t="str">
        <f aca="false">IF(D349="","",IF(D349=CALENDÁRIO!$L$4,ROW(),""))</f>
        <v/>
      </c>
      <c r="J349" s="0" t="str">
        <f aca="false">IF(D349="","",CHOOSE(WEEKDAY(D349),"Domingo","Segunda","Terça","Quarta","Quinta","Sexta","Sábado"))</f>
        <v/>
      </c>
    </row>
    <row r="350" customFormat="false" ht="15" hidden="false" customHeight="false" outlineLevel="0" collapsed="false">
      <c r="A350" s="0" t="str">
        <f aca="false">IF(AND(ISNUMBER(NATAL!$C50),NATAL!$D50="FOLGA"),"Folga Natal","")</f>
        <v/>
      </c>
      <c r="B350" s="0" t="str">
        <f aca="false">IF(AND(ISNUMBER(NATAL!$C50),NATAL!$D50="FOLGA"),NATAL!$A50&amp;"","")</f>
        <v/>
      </c>
      <c r="C350" s="0" t="str">
        <f aca="false">IF(AND(ISNUMBER(NATAL!$C50),NATAL!$D50="FOLGA"),NATAL!$B50&amp;"","")</f>
        <v/>
      </c>
      <c r="D350" s="78" t="str">
        <f aca="false">IF(AND(ISNUMBER(NATAL!$C50),NATAL!$D50="FOLGA"),NATAL!$C50,"")</f>
        <v/>
      </c>
      <c r="E350" s="0" t="str">
        <f aca="false">IF(AND(ISNUMBER(NATAL!$C50),NATAL!$D50="FOLGA"),NATAL!$E50&amp;"","")</f>
        <v/>
      </c>
      <c r="F350" s="0" t="str">
        <f aca="false">IF(AND(ISNUMBER(NATAL!$C50),NATAL!$D50="FOLGA"),NATAL!$F50&amp;"","")</f>
        <v/>
      </c>
      <c r="G350" s="0" t="str">
        <f aca="true">IF(D350="","",IF(D350=TODAY(),D350+ROW()/100000,""))</f>
        <v/>
      </c>
      <c r="H350" s="0" t="str">
        <f aca="true">IF(D350="","",IF(AND(D350&gt;TODAY(),D350&lt;=TODAY()+7),D350+ROW()/100000,""))</f>
        <v/>
      </c>
      <c r="I350" s="0" t="str">
        <f aca="false">IF(D350="","",IF(D350=CALENDÁRIO!$L$4,ROW(),""))</f>
        <v/>
      </c>
      <c r="J350" s="0" t="str">
        <f aca="false">IF(D350="","",CHOOSE(WEEKDAY(D350),"Domingo","Segunda","Terça","Quarta","Quinta","Sexta","Sábado"))</f>
        <v/>
      </c>
    </row>
    <row r="351" customFormat="false" ht="15" hidden="false" customHeight="false" outlineLevel="0" collapsed="false">
      <c r="A351" s="0" t="str">
        <f aca="false">IF(AND(ISNUMBER(NATAL!$C51),NATAL!$D51="FOLGA"),"Folga Natal","")</f>
        <v/>
      </c>
      <c r="B351" s="0" t="str">
        <f aca="false">IF(AND(ISNUMBER(NATAL!$C51),NATAL!$D51="FOLGA"),NATAL!$A51&amp;"","")</f>
        <v/>
      </c>
      <c r="C351" s="0" t="str">
        <f aca="false">IF(AND(ISNUMBER(NATAL!$C51),NATAL!$D51="FOLGA"),NATAL!$B51&amp;"","")</f>
        <v/>
      </c>
      <c r="D351" s="78" t="str">
        <f aca="false">IF(AND(ISNUMBER(NATAL!$C51),NATAL!$D51="FOLGA"),NATAL!$C51,"")</f>
        <v/>
      </c>
      <c r="E351" s="0" t="str">
        <f aca="false">IF(AND(ISNUMBER(NATAL!$C51),NATAL!$D51="FOLGA"),NATAL!$E51&amp;"","")</f>
        <v/>
      </c>
      <c r="F351" s="0" t="str">
        <f aca="false">IF(AND(ISNUMBER(NATAL!$C51),NATAL!$D51="FOLGA"),NATAL!$F51&amp;"","")</f>
        <v/>
      </c>
      <c r="G351" s="0" t="str">
        <f aca="true">IF(D351="","",IF(D351=TODAY(),D351+ROW()/100000,""))</f>
        <v/>
      </c>
      <c r="H351" s="0" t="str">
        <f aca="true">IF(D351="","",IF(AND(D351&gt;TODAY(),D351&lt;=TODAY()+7),D351+ROW()/100000,""))</f>
        <v/>
      </c>
      <c r="I351" s="0" t="str">
        <f aca="false">IF(D351="","",IF(D351=CALENDÁRIO!$L$4,ROW(),""))</f>
        <v/>
      </c>
      <c r="J351" s="0" t="str">
        <f aca="false">IF(D351="","",CHOOSE(WEEKDAY(D351),"Domingo","Segunda","Terça","Quarta","Quinta","Sexta","Sábado"))</f>
        <v/>
      </c>
    </row>
    <row r="352" customFormat="false" ht="15" hidden="false" customHeight="false" outlineLevel="0" collapsed="false">
      <c r="A352" s="0" t="str">
        <f aca="false">IF(AND(ISNUMBER(NATAL!$C52),NATAL!$D52="FOLGA"),"Folga Natal","")</f>
        <v/>
      </c>
      <c r="B352" s="0" t="str">
        <f aca="false">IF(AND(ISNUMBER(NATAL!$C52),NATAL!$D52="FOLGA"),NATAL!$A52&amp;"","")</f>
        <v/>
      </c>
      <c r="C352" s="0" t="str">
        <f aca="false">IF(AND(ISNUMBER(NATAL!$C52),NATAL!$D52="FOLGA"),NATAL!$B52&amp;"","")</f>
        <v/>
      </c>
      <c r="D352" s="78" t="str">
        <f aca="false">IF(AND(ISNUMBER(NATAL!$C52),NATAL!$D52="FOLGA"),NATAL!$C52,"")</f>
        <v/>
      </c>
      <c r="E352" s="0" t="str">
        <f aca="false">IF(AND(ISNUMBER(NATAL!$C52),NATAL!$D52="FOLGA"),NATAL!$E52&amp;"","")</f>
        <v/>
      </c>
      <c r="F352" s="0" t="str">
        <f aca="false">IF(AND(ISNUMBER(NATAL!$C52),NATAL!$D52="FOLGA"),NATAL!$F52&amp;"","")</f>
        <v/>
      </c>
      <c r="G352" s="0" t="str">
        <f aca="true">IF(D352="","",IF(D352=TODAY(),D352+ROW()/100000,""))</f>
        <v/>
      </c>
      <c r="H352" s="0" t="str">
        <f aca="true">IF(D352="","",IF(AND(D352&gt;TODAY(),D352&lt;=TODAY()+7),D352+ROW()/100000,""))</f>
        <v/>
      </c>
      <c r="I352" s="0" t="str">
        <f aca="false">IF(D352="","",IF(D352=CALENDÁRIO!$L$4,ROW(),""))</f>
        <v/>
      </c>
      <c r="J352" s="0" t="str">
        <f aca="false">IF(D352="","",CHOOSE(WEEKDAY(D352),"Domingo","Segunda","Terça","Quarta","Quinta","Sexta","Sábado"))</f>
        <v/>
      </c>
    </row>
    <row r="353" customFormat="false" ht="15" hidden="false" customHeight="false" outlineLevel="0" collapsed="false">
      <c r="A353" s="0" t="str">
        <f aca="false">IF(AND(ISNUMBER(NATAL!$C53),NATAL!$D53="FOLGA"),"Folga Natal","")</f>
        <v/>
      </c>
      <c r="B353" s="0" t="str">
        <f aca="false">IF(AND(ISNUMBER(NATAL!$C53),NATAL!$D53="FOLGA"),NATAL!$A53&amp;"","")</f>
        <v/>
      </c>
      <c r="C353" s="0" t="str">
        <f aca="false">IF(AND(ISNUMBER(NATAL!$C53),NATAL!$D53="FOLGA"),NATAL!$B53&amp;"","")</f>
        <v/>
      </c>
      <c r="D353" s="78" t="str">
        <f aca="false">IF(AND(ISNUMBER(NATAL!$C53),NATAL!$D53="FOLGA"),NATAL!$C53,"")</f>
        <v/>
      </c>
      <c r="E353" s="0" t="str">
        <f aca="false">IF(AND(ISNUMBER(NATAL!$C53),NATAL!$D53="FOLGA"),NATAL!$E53&amp;"","")</f>
        <v/>
      </c>
      <c r="F353" s="0" t="str">
        <f aca="false">IF(AND(ISNUMBER(NATAL!$C53),NATAL!$D53="FOLGA"),NATAL!$F53&amp;"","")</f>
        <v/>
      </c>
      <c r="G353" s="0" t="str">
        <f aca="true">IF(D353="","",IF(D353=TODAY(),D353+ROW()/100000,""))</f>
        <v/>
      </c>
      <c r="H353" s="0" t="str">
        <f aca="true">IF(D353="","",IF(AND(D353&gt;TODAY(),D353&lt;=TODAY()+7),D353+ROW()/100000,""))</f>
        <v/>
      </c>
      <c r="I353" s="0" t="str">
        <f aca="false">IF(D353="","",IF(D353=CALENDÁRIO!$L$4,ROW(),""))</f>
        <v/>
      </c>
      <c r="J353" s="0" t="str">
        <f aca="false">IF(D353="","",CHOOSE(WEEKDAY(D353),"Domingo","Segunda","Terça","Quarta","Quinta","Sexta","Sábado"))</f>
        <v/>
      </c>
    </row>
    <row r="354" customFormat="false" ht="15" hidden="false" customHeight="false" outlineLevel="0" collapsed="false">
      <c r="A354" s="0" t="str">
        <f aca="false">IF(AND(ISNUMBER(NATAL!$C54),NATAL!$D54="FOLGA"),"Folga Natal","")</f>
        <v/>
      </c>
      <c r="B354" s="0" t="str">
        <f aca="false">IF(AND(ISNUMBER(NATAL!$C54),NATAL!$D54="FOLGA"),NATAL!$A54&amp;"","")</f>
        <v/>
      </c>
      <c r="C354" s="0" t="str">
        <f aca="false">IF(AND(ISNUMBER(NATAL!$C54),NATAL!$D54="FOLGA"),NATAL!$B54&amp;"","")</f>
        <v/>
      </c>
      <c r="D354" s="78" t="str">
        <f aca="false">IF(AND(ISNUMBER(NATAL!$C54),NATAL!$D54="FOLGA"),NATAL!$C54,"")</f>
        <v/>
      </c>
      <c r="E354" s="0" t="str">
        <f aca="false">IF(AND(ISNUMBER(NATAL!$C54),NATAL!$D54="FOLGA"),NATAL!$E54&amp;"","")</f>
        <v/>
      </c>
      <c r="F354" s="0" t="str">
        <f aca="false">IF(AND(ISNUMBER(NATAL!$C54),NATAL!$D54="FOLGA"),NATAL!$F54&amp;"","")</f>
        <v/>
      </c>
      <c r="G354" s="0" t="str">
        <f aca="true">IF(D354="","",IF(D354=TODAY(),D354+ROW()/100000,""))</f>
        <v/>
      </c>
      <c r="H354" s="0" t="str">
        <f aca="true">IF(D354="","",IF(AND(D354&gt;TODAY(),D354&lt;=TODAY()+7),D354+ROW()/100000,""))</f>
        <v/>
      </c>
      <c r="I354" s="0" t="str">
        <f aca="false">IF(D354="","",IF(D354=CALENDÁRIO!$L$4,ROW(),""))</f>
        <v/>
      </c>
      <c r="J354" s="0" t="str">
        <f aca="false">IF(D354="","",CHOOSE(WEEKDAY(D354),"Domingo","Segunda","Terça","Quarta","Quinta","Sexta","Sábado"))</f>
        <v/>
      </c>
    </row>
    <row r="355" customFormat="false" ht="15" hidden="false" customHeight="false" outlineLevel="0" collapsed="false">
      <c r="A355" s="0" t="str">
        <f aca="false">IF(AND(ISNUMBER(NATAL!$C55),NATAL!$D55="FOLGA"),"Folga Natal","")</f>
        <v/>
      </c>
      <c r="B355" s="0" t="str">
        <f aca="false">IF(AND(ISNUMBER(NATAL!$C55),NATAL!$D55="FOLGA"),NATAL!$A55&amp;"","")</f>
        <v/>
      </c>
      <c r="C355" s="0" t="str">
        <f aca="false">IF(AND(ISNUMBER(NATAL!$C55),NATAL!$D55="FOLGA"),NATAL!$B55&amp;"","")</f>
        <v/>
      </c>
      <c r="D355" s="78" t="str">
        <f aca="false">IF(AND(ISNUMBER(NATAL!$C55),NATAL!$D55="FOLGA"),NATAL!$C55,"")</f>
        <v/>
      </c>
      <c r="E355" s="0" t="str">
        <f aca="false">IF(AND(ISNUMBER(NATAL!$C55),NATAL!$D55="FOLGA"),NATAL!$E55&amp;"","")</f>
        <v/>
      </c>
      <c r="F355" s="0" t="str">
        <f aca="false">IF(AND(ISNUMBER(NATAL!$C55),NATAL!$D55="FOLGA"),NATAL!$F55&amp;"","")</f>
        <v/>
      </c>
      <c r="G355" s="0" t="str">
        <f aca="true">IF(D355="","",IF(D355=TODAY(),D355+ROW()/100000,""))</f>
        <v/>
      </c>
      <c r="H355" s="0" t="str">
        <f aca="true">IF(D355="","",IF(AND(D355&gt;TODAY(),D355&lt;=TODAY()+7),D355+ROW()/100000,""))</f>
        <v/>
      </c>
      <c r="I355" s="0" t="str">
        <f aca="false">IF(D355="","",IF(D355=CALENDÁRIO!$L$4,ROW(),""))</f>
        <v/>
      </c>
      <c r="J355" s="0" t="str">
        <f aca="false">IF(D355="","",CHOOSE(WEEKDAY(D355),"Domingo","Segunda","Terça","Quarta","Quinta","Sexta","Sábado"))</f>
        <v/>
      </c>
    </row>
    <row r="356" customFormat="false" ht="15" hidden="false" customHeight="false" outlineLevel="0" collapsed="false">
      <c r="A356" s="0" t="str">
        <f aca="false">IF(AND(ISNUMBER(NATAL!$C56),NATAL!$D56="FOLGA"),"Folga Natal","")</f>
        <v/>
      </c>
      <c r="B356" s="0" t="str">
        <f aca="false">IF(AND(ISNUMBER(NATAL!$C56),NATAL!$D56="FOLGA"),NATAL!$A56&amp;"","")</f>
        <v/>
      </c>
      <c r="C356" s="0" t="str">
        <f aca="false">IF(AND(ISNUMBER(NATAL!$C56),NATAL!$D56="FOLGA"),NATAL!$B56&amp;"","")</f>
        <v/>
      </c>
      <c r="D356" s="78" t="str">
        <f aca="false">IF(AND(ISNUMBER(NATAL!$C56),NATAL!$D56="FOLGA"),NATAL!$C56,"")</f>
        <v/>
      </c>
      <c r="E356" s="0" t="str">
        <f aca="false">IF(AND(ISNUMBER(NATAL!$C56),NATAL!$D56="FOLGA"),NATAL!$E56&amp;"","")</f>
        <v/>
      </c>
      <c r="F356" s="0" t="str">
        <f aca="false">IF(AND(ISNUMBER(NATAL!$C56),NATAL!$D56="FOLGA"),NATAL!$F56&amp;"","")</f>
        <v/>
      </c>
      <c r="G356" s="0" t="str">
        <f aca="true">IF(D356="","",IF(D356=TODAY(),D356+ROW()/100000,""))</f>
        <v/>
      </c>
      <c r="H356" s="0" t="str">
        <f aca="true">IF(D356="","",IF(AND(D356&gt;TODAY(),D356&lt;=TODAY()+7),D356+ROW()/100000,""))</f>
        <v/>
      </c>
      <c r="I356" s="0" t="str">
        <f aca="false">IF(D356="","",IF(D356=CALENDÁRIO!$L$4,ROW(),""))</f>
        <v/>
      </c>
      <c r="J356" s="0" t="str">
        <f aca="false">IF(D356="","",CHOOSE(WEEKDAY(D356),"Domingo","Segunda","Terça","Quarta","Quinta","Sexta","Sábado"))</f>
        <v/>
      </c>
    </row>
    <row r="357" customFormat="false" ht="15" hidden="false" customHeight="false" outlineLevel="0" collapsed="false">
      <c r="A357" s="0" t="str">
        <f aca="false">IF(AND(ISNUMBER(NATAL!$C57),NATAL!$D57="FOLGA"),"Folga Natal","")</f>
        <v/>
      </c>
      <c r="B357" s="0" t="str">
        <f aca="false">IF(AND(ISNUMBER(NATAL!$C57),NATAL!$D57="FOLGA"),NATAL!$A57&amp;"","")</f>
        <v/>
      </c>
      <c r="C357" s="0" t="str">
        <f aca="false">IF(AND(ISNUMBER(NATAL!$C57),NATAL!$D57="FOLGA"),NATAL!$B57&amp;"","")</f>
        <v/>
      </c>
      <c r="D357" s="78" t="str">
        <f aca="false">IF(AND(ISNUMBER(NATAL!$C57),NATAL!$D57="FOLGA"),NATAL!$C57,"")</f>
        <v/>
      </c>
      <c r="E357" s="0" t="str">
        <f aca="false">IF(AND(ISNUMBER(NATAL!$C57),NATAL!$D57="FOLGA"),NATAL!$E57&amp;"","")</f>
        <v/>
      </c>
      <c r="F357" s="0" t="str">
        <f aca="false">IF(AND(ISNUMBER(NATAL!$C57),NATAL!$D57="FOLGA"),NATAL!$F57&amp;"","")</f>
        <v/>
      </c>
      <c r="G357" s="0" t="str">
        <f aca="true">IF(D357="","",IF(D357=TODAY(),D357+ROW()/100000,""))</f>
        <v/>
      </c>
      <c r="H357" s="0" t="str">
        <f aca="true">IF(D357="","",IF(AND(D357&gt;TODAY(),D357&lt;=TODAY()+7),D357+ROW()/100000,""))</f>
        <v/>
      </c>
      <c r="I357" s="0" t="str">
        <f aca="false">IF(D357="","",IF(D357=CALENDÁRIO!$L$4,ROW(),""))</f>
        <v/>
      </c>
      <c r="J357" s="0" t="str">
        <f aca="false">IF(D357="","",CHOOSE(WEEKDAY(D357),"Domingo","Segunda","Terça","Quarta","Quinta","Sexta","Sábado"))</f>
        <v/>
      </c>
    </row>
    <row r="358" customFormat="false" ht="15" hidden="false" customHeight="false" outlineLevel="0" collapsed="false">
      <c r="A358" s="0" t="str">
        <f aca="false">IF(AND(ISNUMBER(NATAL!$C58),NATAL!$D58="FOLGA"),"Folga Natal","")</f>
        <v/>
      </c>
      <c r="B358" s="0" t="str">
        <f aca="false">IF(AND(ISNUMBER(NATAL!$C58),NATAL!$D58="FOLGA"),NATAL!$A58&amp;"","")</f>
        <v/>
      </c>
      <c r="C358" s="0" t="str">
        <f aca="false">IF(AND(ISNUMBER(NATAL!$C58),NATAL!$D58="FOLGA"),NATAL!$B58&amp;"","")</f>
        <v/>
      </c>
      <c r="D358" s="78" t="str">
        <f aca="false">IF(AND(ISNUMBER(NATAL!$C58),NATAL!$D58="FOLGA"),NATAL!$C58,"")</f>
        <v/>
      </c>
      <c r="E358" s="0" t="str">
        <f aca="false">IF(AND(ISNUMBER(NATAL!$C58),NATAL!$D58="FOLGA"),NATAL!$E58&amp;"","")</f>
        <v/>
      </c>
      <c r="F358" s="0" t="str">
        <f aca="false">IF(AND(ISNUMBER(NATAL!$C58),NATAL!$D58="FOLGA"),NATAL!$F58&amp;"","")</f>
        <v/>
      </c>
      <c r="G358" s="0" t="str">
        <f aca="true">IF(D358="","",IF(D358=TODAY(),D358+ROW()/100000,""))</f>
        <v/>
      </c>
      <c r="H358" s="0" t="str">
        <f aca="true">IF(D358="","",IF(AND(D358&gt;TODAY(),D358&lt;=TODAY()+7),D358+ROW()/100000,""))</f>
        <v/>
      </c>
      <c r="I358" s="0" t="str">
        <f aca="false">IF(D358="","",IF(D358=CALENDÁRIO!$L$4,ROW(),""))</f>
        <v/>
      </c>
      <c r="J358" s="0" t="str">
        <f aca="false">IF(D358="","",CHOOSE(WEEKDAY(D358),"Domingo","Segunda","Terça","Quarta","Quinta","Sexta","Sábado"))</f>
        <v/>
      </c>
    </row>
    <row r="359" customFormat="false" ht="15" hidden="false" customHeight="false" outlineLevel="0" collapsed="false">
      <c r="A359" s="0" t="str">
        <f aca="false">IF(AND(ISNUMBER(NATAL!$C59),NATAL!$D59="FOLGA"),"Folga Natal","")</f>
        <v/>
      </c>
      <c r="B359" s="0" t="str">
        <f aca="false">IF(AND(ISNUMBER(NATAL!$C59),NATAL!$D59="FOLGA"),NATAL!$A59&amp;"","")</f>
        <v/>
      </c>
      <c r="C359" s="0" t="str">
        <f aca="false">IF(AND(ISNUMBER(NATAL!$C59),NATAL!$D59="FOLGA"),NATAL!$B59&amp;"","")</f>
        <v/>
      </c>
      <c r="D359" s="78" t="str">
        <f aca="false">IF(AND(ISNUMBER(NATAL!$C59),NATAL!$D59="FOLGA"),NATAL!$C59,"")</f>
        <v/>
      </c>
      <c r="E359" s="0" t="str">
        <f aca="false">IF(AND(ISNUMBER(NATAL!$C59),NATAL!$D59="FOLGA"),NATAL!$E59&amp;"","")</f>
        <v/>
      </c>
      <c r="F359" s="0" t="str">
        <f aca="false">IF(AND(ISNUMBER(NATAL!$C59),NATAL!$D59="FOLGA"),NATAL!$F59&amp;"","")</f>
        <v/>
      </c>
      <c r="G359" s="0" t="str">
        <f aca="true">IF(D359="","",IF(D359=TODAY(),D359+ROW()/100000,""))</f>
        <v/>
      </c>
      <c r="H359" s="0" t="str">
        <f aca="true">IF(D359="","",IF(AND(D359&gt;TODAY(),D359&lt;=TODAY()+7),D359+ROW()/100000,""))</f>
        <v/>
      </c>
      <c r="I359" s="0" t="str">
        <f aca="false">IF(D359="","",IF(D359=CALENDÁRIO!$L$4,ROW(),""))</f>
        <v/>
      </c>
      <c r="J359" s="0" t="str">
        <f aca="false">IF(D359="","",CHOOSE(WEEKDAY(D359),"Domingo","Segunda","Terça","Quarta","Quinta","Sexta","Sábado"))</f>
        <v/>
      </c>
    </row>
    <row r="360" customFormat="false" ht="15" hidden="false" customHeight="false" outlineLevel="0" collapsed="false">
      <c r="A360" s="0" t="str">
        <f aca="false">IF(AND(ISNUMBER(NATAL!$C60),NATAL!$D60="FOLGA"),"Folga Natal","")</f>
        <v/>
      </c>
      <c r="B360" s="0" t="str">
        <f aca="false">IF(AND(ISNUMBER(NATAL!$C60),NATAL!$D60="FOLGA"),NATAL!$A60&amp;"","")</f>
        <v/>
      </c>
      <c r="C360" s="0" t="str">
        <f aca="false">IF(AND(ISNUMBER(NATAL!$C60),NATAL!$D60="FOLGA"),NATAL!$B60&amp;"","")</f>
        <v/>
      </c>
      <c r="D360" s="78" t="str">
        <f aca="false">IF(AND(ISNUMBER(NATAL!$C60),NATAL!$D60="FOLGA"),NATAL!$C60,"")</f>
        <v/>
      </c>
      <c r="E360" s="0" t="str">
        <f aca="false">IF(AND(ISNUMBER(NATAL!$C60),NATAL!$D60="FOLGA"),NATAL!$E60&amp;"","")</f>
        <v/>
      </c>
      <c r="F360" s="0" t="str">
        <f aca="false">IF(AND(ISNUMBER(NATAL!$C60),NATAL!$D60="FOLGA"),NATAL!$F60&amp;"","")</f>
        <v/>
      </c>
      <c r="G360" s="0" t="str">
        <f aca="true">IF(D360="","",IF(D360=TODAY(),D360+ROW()/100000,""))</f>
        <v/>
      </c>
      <c r="H360" s="0" t="str">
        <f aca="true">IF(D360="","",IF(AND(D360&gt;TODAY(),D360&lt;=TODAY()+7),D360+ROW()/100000,""))</f>
        <v/>
      </c>
      <c r="I360" s="0" t="str">
        <f aca="false">IF(D360="","",IF(D360=CALENDÁRIO!$L$4,ROW(),""))</f>
        <v/>
      </c>
      <c r="J360" s="0" t="str">
        <f aca="false">IF(D360="","",CHOOSE(WEEKDAY(D360),"Domingo","Segunda","Terça","Quarta","Quinta","Sexta","Sábado"))</f>
        <v/>
      </c>
    </row>
    <row r="361" customFormat="false" ht="15" hidden="false" customHeight="false" outlineLevel="0" collapsed="false">
      <c r="A361" s="0" t="str">
        <f aca="false">IF(AND(ISNUMBER(NATAL!$C61),NATAL!$D61="FOLGA"),"Folga Natal","")</f>
        <v/>
      </c>
      <c r="B361" s="0" t="str">
        <f aca="false">IF(AND(ISNUMBER(NATAL!$C61),NATAL!$D61="FOLGA"),NATAL!$A61&amp;"","")</f>
        <v/>
      </c>
      <c r="C361" s="0" t="str">
        <f aca="false">IF(AND(ISNUMBER(NATAL!$C61),NATAL!$D61="FOLGA"),NATAL!$B61&amp;"","")</f>
        <v/>
      </c>
      <c r="D361" s="78" t="str">
        <f aca="false">IF(AND(ISNUMBER(NATAL!$C61),NATAL!$D61="FOLGA"),NATAL!$C61,"")</f>
        <v/>
      </c>
      <c r="E361" s="0" t="str">
        <f aca="false">IF(AND(ISNUMBER(NATAL!$C61),NATAL!$D61="FOLGA"),NATAL!$E61&amp;"","")</f>
        <v/>
      </c>
      <c r="F361" s="0" t="str">
        <f aca="false">IF(AND(ISNUMBER(NATAL!$C61),NATAL!$D61="FOLGA"),NATAL!$F61&amp;"","")</f>
        <v/>
      </c>
      <c r="G361" s="0" t="str">
        <f aca="true">IF(D361="","",IF(D361=TODAY(),D361+ROW()/100000,""))</f>
        <v/>
      </c>
      <c r="H361" s="0" t="str">
        <f aca="true">IF(D361="","",IF(AND(D361&gt;TODAY(),D361&lt;=TODAY()+7),D361+ROW()/100000,""))</f>
        <v/>
      </c>
      <c r="I361" s="0" t="str">
        <f aca="false">IF(D361="","",IF(D361=CALENDÁRIO!$L$4,ROW(),""))</f>
        <v/>
      </c>
      <c r="J361" s="0" t="str">
        <f aca="false">IF(D361="","",CHOOSE(WEEKDAY(D361),"Domingo","Segunda","Terça","Quarta","Quinta","Sexta","Sábado"))</f>
        <v/>
      </c>
    </row>
    <row r="362" customFormat="false" ht="15" hidden="false" customHeight="false" outlineLevel="0" collapsed="false">
      <c r="A362" s="0" t="str">
        <f aca="false">IF(AND(ISNUMBER(NATAL!$C62),NATAL!$D62="FOLGA"),"Folga Natal","")</f>
        <v/>
      </c>
      <c r="B362" s="0" t="str">
        <f aca="false">IF(AND(ISNUMBER(NATAL!$C62),NATAL!$D62="FOLGA"),NATAL!$A62&amp;"","")</f>
        <v/>
      </c>
      <c r="C362" s="0" t="str">
        <f aca="false">IF(AND(ISNUMBER(NATAL!$C62),NATAL!$D62="FOLGA"),NATAL!$B62&amp;"","")</f>
        <v/>
      </c>
      <c r="D362" s="78" t="str">
        <f aca="false">IF(AND(ISNUMBER(NATAL!$C62),NATAL!$D62="FOLGA"),NATAL!$C62,"")</f>
        <v/>
      </c>
      <c r="E362" s="0" t="str">
        <f aca="false">IF(AND(ISNUMBER(NATAL!$C62),NATAL!$D62="FOLGA"),NATAL!$E62&amp;"","")</f>
        <v/>
      </c>
      <c r="F362" s="0" t="str">
        <f aca="false">IF(AND(ISNUMBER(NATAL!$C62),NATAL!$D62="FOLGA"),NATAL!$F62&amp;"","")</f>
        <v/>
      </c>
      <c r="G362" s="0" t="str">
        <f aca="true">IF(D362="","",IF(D362=TODAY(),D362+ROW()/100000,""))</f>
        <v/>
      </c>
      <c r="H362" s="0" t="str">
        <f aca="true">IF(D362="","",IF(AND(D362&gt;TODAY(),D362&lt;=TODAY()+7),D362+ROW()/100000,""))</f>
        <v/>
      </c>
      <c r="I362" s="0" t="str">
        <f aca="false">IF(D362="","",IF(D362=CALENDÁRIO!$L$4,ROW(),""))</f>
        <v/>
      </c>
      <c r="J362" s="0" t="str">
        <f aca="false">IF(D362="","",CHOOSE(WEEKDAY(D362),"Domingo","Segunda","Terça","Quarta","Quinta","Sexta","Sábado"))</f>
        <v/>
      </c>
    </row>
    <row r="363" customFormat="false" ht="15" hidden="false" customHeight="false" outlineLevel="0" collapsed="false">
      <c r="A363" s="0" t="str">
        <f aca="false">IF(AND(ISNUMBER(NATAL!$C63),NATAL!$D63="FOLGA"),"Folga Natal","")</f>
        <v/>
      </c>
      <c r="B363" s="0" t="str">
        <f aca="false">IF(AND(ISNUMBER(NATAL!$C63),NATAL!$D63="FOLGA"),NATAL!$A63&amp;"","")</f>
        <v/>
      </c>
      <c r="C363" s="0" t="str">
        <f aca="false">IF(AND(ISNUMBER(NATAL!$C63),NATAL!$D63="FOLGA"),NATAL!$B63&amp;"","")</f>
        <v/>
      </c>
      <c r="D363" s="78" t="str">
        <f aca="false">IF(AND(ISNUMBER(NATAL!$C63),NATAL!$D63="FOLGA"),NATAL!$C63,"")</f>
        <v/>
      </c>
      <c r="E363" s="0" t="str">
        <f aca="false">IF(AND(ISNUMBER(NATAL!$C63),NATAL!$D63="FOLGA"),NATAL!$E63&amp;"","")</f>
        <v/>
      </c>
      <c r="F363" s="0" t="str">
        <f aca="false">IF(AND(ISNUMBER(NATAL!$C63),NATAL!$D63="FOLGA"),NATAL!$F63&amp;"","")</f>
        <v/>
      </c>
      <c r="G363" s="0" t="str">
        <f aca="true">IF(D363="","",IF(D363=TODAY(),D363+ROW()/100000,""))</f>
        <v/>
      </c>
      <c r="H363" s="0" t="str">
        <f aca="true">IF(D363="","",IF(AND(D363&gt;TODAY(),D363&lt;=TODAY()+7),D363+ROW()/100000,""))</f>
        <v/>
      </c>
      <c r="I363" s="0" t="str">
        <f aca="false">IF(D363="","",IF(D363=CALENDÁRIO!$L$4,ROW(),""))</f>
        <v/>
      </c>
      <c r="J363" s="0" t="str">
        <f aca="false">IF(D363="","",CHOOSE(WEEKDAY(D363),"Domingo","Segunda","Terça","Quarta","Quinta","Sexta","Sábado"))</f>
        <v/>
      </c>
    </row>
    <row r="364" customFormat="false" ht="15" hidden="false" customHeight="false" outlineLevel="0" collapsed="false">
      <c r="A364" s="0" t="str">
        <f aca="false">IF(AND(ISNUMBER(NATAL!$C64),NATAL!$D64="FOLGA"),"Folga Natal","")</f>
        <v/>
      </c>
      <c r="B364" s="0" t="str">
        <f aca="false">IF(AND(ISNUMBER(NATAL!$C64),NATAL!$D64="FOLGA"),NATAL!$A64&amp;"","")</f>
        <v/>
      </c>
      <c r="C364" s="0" t="str">
        <f aca="false">IF(AND(ISNUMBER(NATAL!$C64),NATAL!$D64="FOLGA"),NATAL!$B64&amp;"","")</f>
        <v/>
      </c>
      <c r="D364" s="78" t="str">
        <f aca="false">IF(AND(ISNUMBER(NATAL!$C64),NATAL!$D64="FOLGA"),NATAL!$C64,"")</f>
        <v/>
      </c>
      <c r="E364" s="0" t="str">
        <f aca="false">IF(AND(ISNUMBER(NATAL!$C64),NATAL!$D64="FOLGA"),NATAL!$E64&amp;"","")</f>
        <v/>
      </c>
      <c r="F364" s="0" t="str">
        <f aca="false">IF(AND(ISNUMBER(NATAL!$C64),NATAL!$D64="FOLGA"),NATAL!$F64&amp;"","")</f>
        <v/>
      </c>
      <c r="G364" s="0" t="str">
        <f aca="true">IF(D364="","",IF(D364=TODAY(),D364+ROW()/100000,""))</f>
        <v/>
      </c>
      <c r="H364" s="0" t="str">
        <f aca="true">IF(D364="","",IF(AND(D364&gt;TODAY(),D364&lt;=TODAY()+7),D364+ROW()/100000,""))</f>
        <v/>
      </c>
      <c r="I364" s="0" t="str">
        <f aca="false">IF(D364="","",IF(D364=CALENDÁRIO!$L$4,ROW(),""))</f>
        <v/>
      </c>
      <c r="J364" s="0" t="str">
        <f aca="false">IF(D364="","",CHOOSE(WEEKDAY(D364),"Domingo","Segunda","Terça","Quarta","Quinta","Sexta","Sábado"))</f>
        <v/>
      </c>
    </row>
    <row r="365" customFormat="false" ht="15" hidden="false" customHeight="false" outlineLevel="0" collapsed="false">
      <c r="A365" s="0" t="str">
        <f aca="false">IF(AND(ISNUMBER(NATAL!$C65),NATAL!$D65="FOLGA"),"Folga Natal","")</f>
        <v/>
      </c>
      <c r="B365" s="0" t="str">
        <f aca="false">IF(AND(ISNUMBER(NATAL!$C65),NATAL!$D65="FOLGA"),NATAL!$A65&amp;"","")</f>
        <v/>
      </c>
      <c r="C365" s="0" t="str">
        <f aca="false">IF(AND(ISNUMBER(NATAL!$C65),NATAL!$D65="FOLGA"),NATAL!$B65&amp;"","")</f>
        <v/>
      </c>
      <c r="D365" s="78" t="str">
        <f aca="false">IF(AND(ISNUMBER(NATAL!$C65),NATAL!$D65="FOLGA"),NATAL!$C65,"")</f>
        <v/>
      </c>
      <c r="E365" s="0" t="str">
        <f aca="false">IF(AND(ISNUMBER(NATAL!$C65),NATAL!$D65="FOLGA"),NATAL!$E65&amp;"","")</f>
        <v/>
      </c>
      <c r="F365" s="0" t="str">
        <f aca="false">IF(AND(ISNUMBER(NATAL!$C65),NATAL!$D65="FOLGA"),NATAL!$F65&amp;"","")</f>
        <v/>
      </c>
      <c r="G365" s="0" t="str">
        <f aca="true">IF(D365="","",IF(D365=TODAY(),D365+ROW()/100000,""))</f>
        <v/>
      </c>
      <c r="H365" s="0" t="str">
        <f aca="true">IF(D365="","",IF(AND(D365&gt;TODAY(),D365&lt;=TODAY()+7),D365+ROW()/100000,""))</f>
        <v/>
      </c>
      <c r="I365" s="0" t="str">
        <f aca="false">IF(D365="","",IF(D365=CALENDÁRIO!$L$4,ROW(),""))</f>
        <v/>
      </c>
      <c r="J365" s="0" t="str">
        <f aca="false">IF(D365="","",CHOOSE(WEEKDAY(D365),"Domingo","Segunda","Terça","Quarta","Quinta","Sexta","Sábado"))</f>
        <v/>
      </c>
    </row>
    <row r="366" customFormat="false" ht="15" hidden="false" customHeight="false" outlineLevel="0" collapsed="false">
      <c r="A366" s="0" t="str">
        <f aca="false">IF(AND(ISNUMBER(NATAL!$C66),NATAL!$D66="FOLGA"),"Folga Natal","")</f>
        <v/>
      </c>
      <c r="B366" s="0" t="str">
        <f aca="false">IF(AND(ISNUMBER(NATAL!$C66),NATAL!$D66="FOLGA"),NATAL!$A66&amp;"","")</f>
        <v/>
      </c>
      <c r="C366" s="0" t="str">
        <f aca="false">IF(AND(ISNUMBER(NATAL!$C66),NATAL!$D66="FOLGA"),NATAL!$B66&amp;"","")</f>
        <v/>
      </c>
      <c r="D366" s="78" t="str">
        <f aca="false">IF(AND(ISNUMBER(NATAL!$C66),NATAL!$D66="FOLGA"),NATAL!$C66,"")</f>
        <v/>
      </c>
      <c r="E366" s="0" t="str">
        <f aca="false">IF(AND(ISNUMBER(NATAL!$C66),NATAL!$D66="FOLGA"),NATAL!$E66&amp;"","")</f>
        <v/>
      </c>
      <c r="F366" s="0" t="str">
        <f aca="false">IF(AND(ISNUMBER(NATAL!$C66),NATAL!$D66="FOLGA"),NATAL!$F66&amp;"","")</f>
        <v/>
      </c>
      <c r="G366" s="0" t="str">
        <f aca="true">IF(D366="","",IF(D366=TODAY(),D366+ROW()/100000,""))</f>
        <v/>
      </c>
      <c r="H366" s="0" t="str">
        <f aca="true">IF(D366="","",IF(AND(D366&gt;TODAY(),D366&lt;=TODAY()+7),D366+ROW()/100000,""))</f>
        <v/>
      </c>
      <c r="I366" s="0" t="str">
        <f aca="false">IF(D366="","",IF(D366=CALENDÁRIO!$L$4,ROW(),""))</f>
        <v/>
      </c>
      <c r="J366" s="0" t="str">
        <f aca="false">IF(D366="","",CHOOSE(WEEKDAY(D366),"Domingo","Segunda","Terça","Quarta","Quinta","Sexta","Sábado"))</f>
        <v/>
      </c>
    </row>
    <row r="367" customFormat="false" ht="15" hidden="false" customHeight="false" outlineLevel="0" collapsed="false">
      <c r="A367" s="0" t="str">
        <f aca="false">IF(AND(ISNUMBER(NATAL!$C67),NATAL!$D67="FOLGA"),"Folga Natal","")</f>
        <v/>
      </c>
      <c r="B367" s="0" t="str">
        <f aca="false">IF(AND(ISNUMBER(NATAL!$C67),NATAL!$D67="FOLGA"),NATAL!$A67&amp;"","")</f>
        <v/>
      </c>
      <c r="C367" s="0" t="str">
        <f aca="false">IF(AND(ISNUMBER(NATAL!$C67),NATAL!$D67="FOLGA"),NATAL!$B67&amp;"","")</f>
        <v/>
      </c>
      <c r="D367" s="78" t="str">
        <f aca="false">IF(AND(ISNUMBER(NATAL!$C67),NATAL!$D67="FOLGA"),NATAL!$C67,"")</f>
        <v/>
      </c>
      <c r="E367" s="0" t="str">
        <f aca="false">IF(AND(ISNUMBER(NATAL!$C67),NATAL!$D67="FOLGA"),NATAL!$E67&amp;"","")</f>
        <v/>
      </c>
      <c r="F367" s="0" t="str">
        <f aca="false">IF(AND(ISNUMBER(NATAL!$C67),NATAL!$D67="FOLGA"),NATAL!$F67&amp;"","")</f>
        <v/>
      </c>
      <c r="G367" s="0" t="str">
        <f aca="true">IF(D367="","",IF(D367=TODAY(),D367+ROW()/100000,""))</f>
        <v/>
      </c>
      <c r="H367" s="0" t="str">
        <f aca="true">IF(D367="","",IF(AND(D367&gt;TODAY(),D367&lt;=TODAY()+7),D367+ROW()/100000,""))</f>
        <v/>
      </c>
      <c r="I367" s="0" t="str">
        <f aca="false">IF(D367="","",IF(D367=CALENDÁRIO!$L$4,ROW(),""))</f>
        <v/>
      </c>
      <c r="J367" s="0" t="str">
        <f aca="false">IF(D367="","",CHOOSE(WEEKDAY(D367),"Domingo","Segunda","Terça","Quarta","Quinta","Sexta","Sábado"))</f>
        <v/>
      </c>
    </row>
    <row r="368" customFormat="false" ht="15" hidden="false" customHeight="false" outlineLevel="0" collapsed="false">
      <c r="A368" s="0" t="str">
        <f aca="false">IF(AND(ISNUMBER(NATAL!$C68),NATAL!$D68="FOLGA"),"Folga Natal","")</f>
        <v/>
      </c>
      <c r="B368" s="0" t="str">
        <f aca="false">IF(AND(ISNUMBER(NATAL!$C68),NATAL!$D68="FOLGA"),NATAL!$A68&amp;"","")</f>
        <v/>
      </c>
      <c r="C368" s="0" t="str">
        <f aca="false">IF(AND(ISNUMBER(NATAL!$C68),NATAL!$D68="FOLGA"),NATAL!$B68&amp;"","")</f>
        <v/>
      </c>
      <c r="D368" s="78" t="str">
        <f aca="false">IF(AND(ISNUMBER(NATAL!$C68),NATAL!$D68="FOLGA"),NATAL!$C68,"")</f>
        <v/>
      </c>
      <c r="E368" s="0" t="str">
        <f aca="false">IF(AND(ISNUMBER(NATAL!$C68),NATAL!$D68="FOLGA"),NATAL!$E68&amp;"","")</f>
        <v/>
      </c>
      <c r="F368" s="0" t="str">
        <f aca="false">IF(AND(ISNUMBER(NATAL!$C68),NATAL!$D68="FOLGA"),NATAL!$F68&amp;"","")</f>
        <v/>
      </c>
      <c r="G368" s="0" t="str">
        <f aca="true">IF(D368="","",IF(D368=TODAY(),D368+ROW()/100000,""))</f>
        <v/>
      </c>
      <c r="H368" s="0" t="str">
        <f aca="true">IF(D368="","",IF(AND(D368&gt;TODAY(),D368&lt;=TODAY()+7),D368+ROW()/100000,""))</f>
        <v/>
      </c>
      <c r="I368" s="0" t="str">
        <f aca="false">IF(D368="","",IF(D368=CALENDÁRIO!$L$4,ROW(),""))</f>
        <v/>
      </c>
      <c r="J368" s="0" t="str">
        <f aca="false">IF(D368="","",CHOOSE(WEEKDAY(D368),"Domingo","Segunda","Terça","Quarta","Quinta","Sexta","Sábado"))</f>
        <v/>
      </c>
    </row>
    <row r="369" customFormat="false" ht="15" hidden="false" customHeight="false" outlineLevel="0" collapsed="false">
      <c r="A369" s="0" t="str">
        <f aca="false">IF(AND(ISNUMBER(NATAL!$C69),NATAL!$D69="FOLGA"),"Folga Natal","")</f>
        <v/>
      </c>
      <c r="B369" s="0" t="str">
        <f aca="false">IF(AND(ISNUMBER(NATAL!$C69),NATAL!$D69="FOLGA"),NATAL!$A69&amp;"","")</f>
        <v/>
      </c>
      <c r="C369" s="0" t="str">
        <f aca="false">IF(AND(ISNUMBER(NATAL!$C69),NATAL!$D69="FOLGA"),NATAL!$B69&amp;"","")</f>
        <v/>
      </c>
      <c r="D369" s="78" t="str">
        <f aca="false">IF(AND(ISNUMBER(NATAL!$C69),NATAL!$D69="FOLGA"),NATAL!$C69,"")</f>
        <v/>
      </c>
      <c r="E369" s="0" t="str">
        <f aca="false">IF(AND(ISNUMBER(NATAL!$C69),NATAL!$D69="FOLGA"),NATAL!$E69&amp;"","")</f>
        <v/>
      </c>
      <c r="F369" s="0" t="str">
        <f aca="false">IF(AND(ISNUMBER(NATAL!$C69),NATAL!$D69="FOLGA"),NATAL!$F69&amp;"","")</f>
        <v/>
      </c>
      <c r="G369" s="0" t="str">
        <f aca="true">IF(D369="","",IF(D369=TODAY(),D369+ROW()/100000,""))</f>
        <v/>
      </c>
      <c r="H369" s="0" t="str">
        <f aca="true">IF(D369="","",IF(AND(D369&gt;TODAY(),D369&lt;=TODAY()+7),D369+ROW()/100000,""))</f>
        <v/>
      </c>
      <c r="I369" s="0" t="str">
        <f aca="false">IF(D369="","",IF(D369=CALENDÁRIO!$L$4,ROW(),""))</f>
        <v/>
      </c>
      <c r="J369" s="0" t="str">
        <f aca="false">IF(D369="","",CHOOSE(WEEKDAY(D369),"Domingo","Segunda","Terça","Quarta","Quinta","Sexta","Sábado"))</f>
        <v/>
      </c>
    </row>
    <row r="370" customFormat="false" ht="15" hidden="false" customHeight="false" outlineLevel="0" collapsed="false">
      <c r="A370" s="0" t="str">
        <f aca="false">IF(AND(ISNUMBER(NATAL!$C70),NATAL!$D70="FOLGA"),"Folga Natal","")</f>
        <v/>
      </c>
      <c r="B370" s="0" t="str">
        <f aca="false">IF(AND(ISNUMBER(NATAL!$C70),NATAL!$D70="FOLGA"),NATAL!$A70&amp;"","")</f>
        <v/>
      </c>
      <c r="C370" s="0" t="str">
        <f aca="false">IF(AND(ISNUMBER(NATAL!$C70),NATAL!$D70="FOLGA"),NATAL!$B70&amp;"","")</f>
        <v/>
      </c>
      <c r="D370" s="78" t="str">
        <f aca="false">IF(AND(ISNUMBER(NATAL!$C70),NATAL!$D70="FOLGA"),NATAL!$C70,"")</f>
        <v/>
      </c>
      <c r="E370" s="0" t="str">
        <f aca="false">IF(AND(ISNUMBER(NATAL!$C70),NATAL!$D70="FOLGA"),NATAL!$E70&amp;"","")</f>
        <v/>
      </c>
      <c r="F370" s="0" t="str">
        <f aca="false">IF(AND(ISNUMBER(NATAL!$C70),NATAL!$D70="FOLGA"),NATAL!$F70&amp;"","")</f>
        <v/>
      </c>
      <c r="G370" s="0" t="str">
        <f aca="true">IF(D370="","",IF(D370=TODAY(),D370+ROW()/100000,""))</f>
        <v/>
      </c>
      <c r="H370" s="0" t="str">
        <f aca="true">IF(D370="","",IF(AND(D370&gt;TODAY(),D370&lt;=TODAY()+7),D370+ROW()/100000,""))</f>
        <v/>
      </c>
      <c r="I370" s="0" t="str">
        <f aca="false">IF(D370="","",IF(D370=CALENDÁRIO!$L$4,ROW(),""))</f>
        <v/>
      </c>
      <c r="J370" s="0" t="str">
        <f aca="false">IF(D370="","",CHOOSE(WEEKDAY(D370),"Domingo","Segunda","Terça","Quarta","Quinta","Sexta","Sábado"))</f>
        <v/>
      </c>
    </row>
    <row r="371" customFormat="false" ht="15" hidden="false" customHeight="false" outlineLevel="0" collapsed="false">
      <c r="A371" s="0" t="str">
        <f aca="false">IF(AND(ISNUMBER(NATAL!$C71),NATAL!$D71="FOLGA"),"Folga Natal","")</f>
        <v/>
      </c>
      <c r="B371" s="0" t="str">
        <f aca="false">IF(AND(ISNUMBER(NATAL!$C71),NATAL!$D71="FOLGA"),NATAL!$A71&amp;"","")</f>
        <v/>
      </c>
      <c r="C371" s="0" t="str">
        <f aca="false">IF(AND(ISNUMBER(NATAL!$C71),NATAL!$D71="FOLGA"),NATAL!$B71&amp;"","")</f>
        <v/>
      </c>
      <c r="D371" s="78" t="str">
        <f aca="false">IF(AND(ISNUMBER(NATAL!$C71),NATAL!$D71="FOLGA"),NATAL!$C71,"")</f>
        <v/>
      </c>
      <c r="E371" s="0" t="str">
        <f aca="false">IF(AND(ISNUMBER(NATAL!$C71),NATAL!$D71="FOLGA"),NATAL!$E71&amp;"","")</f>
        <v/>
      </c>
      <c r="F371" s="0" t="str">
        <f aca="false">IF(AND(ISNUMBER(NATAL!$C71),NATAL!$D71="FOLGA"),NATAL!$F71&amp;"","")</f>
        <v/>
      </c>
      <c r="G371" s="0" t="str">
        <f aca="true">IF(D371="","",IF(D371=TODAY(),D371+ROW()/100000,""))</f>
        <v/>
      </c>
      <c r="H371" s="0" t="str">
        <f aca="true">IF(D371="","",IF(AND(D371&gt;TODAY(),D371&lt;=TODAY()+7),D371+ROW()/100000,""))</f>
        <v/>
      </c>
      <c r="I371" s="0" t="str">
        <f aca="false">IF(D371="","",IF(D371=CALENDÁRIO!$L$4,ROW(),""))</f>
        <v/>
      </c>
      <c r="J371" s="0" t="str">
        <f aca="false">IF(D371="","",CHOOSE(WEEKDAY(D371),"Domingo","Segunda","Terça","Quarta","Quinta","Sexta","Sábado"))</f>
        <v/>
      </c>
    </row>
    <row r="372" customFormat="false" ht="15" hidden="false" customHeight="false" outlineLevel="0" collapsed="false">
      <c r="A372" s="0" t="str">
        <f aca="false">IF(AND(ISNUMBER(NATAL!$C72),NATAL!$D72="FOLGA"),"Folga Natal","")</f>
        <v/>
      </c>
      <c r="B372" s="0" t="str">
        <f aca="false">IF(AND(ISNUMBER(NATAL!$C72),NATAL!$D72="FOLGA"),NATAL!$A72&amp;"","")</f>
        <v/>
      </c>
      <c r="C372" s="0" t="str">
        <f aca="false">IF(AND(ISNUMBER(NATAL!$C72),NATAL!$D72="FOLGA"),NATAL!$B72&amp;"","")</f>
        <v/>
      </c>
      <c r="D372" s="78" t="str">
        <f aca="false">IF(AND(ISNUMBER(NATAL!$C72),NATAL!$D72="FOLGA"),NATAL!$C72,"")</f>
        <v/>
      </c>
      <c r="E372" s="0" t="str">
        <f aca="false">IF(AND(ISNUMBER(NATAL!$C72),NATAL!$D72="FOLGA"),NATAL!$E72&amp;"","")</f>
        <v/>
      </c>
      <c r="F372" s="0" t="str">
        <f aca="false">IF(AND(ISNUMBER(NATAL!$C72),NATAL!$D72="FOLGA"),NATAL!$F72&amp;"","")</f>
        <v/>
      </c>
      <c r="G372" s="0" t="str">
        <f aca="true">IF(D372="","",IF(D372=TODAY(),D372+ROW()/100000,""))</f>
        <v/>
      </c>
      <c r="H372" s="0" t="str">
        <f aca="true">IF(D372="","",IF(AND(D372&gt;TODAY(),D372&lt;=TODAY()+7),D372+ROW()/100000,""))</f>
        <v/>
      </c>
      <c r="I372" s="0" t="str">
        <f aca="false">IF(D372="","",IF(D372=CALENDÁRIO!$L$4,ROW(),""))</f>
        <v/>
      </c>
      <c r="J372" s="0" t="str">
        <f aca="false">IF(D372="","",CHOOSE(WEEKDAY(D372),"Domingo","Segunda","Terça","Quarta","Quinta","Sexta","Sábado"))</f>
        <v/>
      </c>
    </row>
    <row r="373" customFormat="false" ht="15" hidden="false" customHeight="false" outlineLevel="0" collapsed="false">
      <c r="A373" s="0" t="str">
        <f aca="false">IF(AND(ISNUMBER(NATAL!$C73),NATAL!$D73="FOLGA"),"Folga Natal","")</f>
        <v/>
      </c>
      <c r="B373" s="0" t="str">
        <f aca="false">IF(AND(ISNUMBER(NATAL!$C73),NATAL!$D73="FOLGA"),NATAL!$A73&amp;"","")</f>
        <v/>
      </c>
      <c r="C373" s="0" t="str">
        <f aca="false">IF(AND(ISNUMBER(NATAL!$C73),NATAL!$D73="FOLGA"),NATAL!$B73&amp;"","")</f>
        <v/>
      </c>
      <c r="D373" s="78" t="str">
        <f aca="false">IF(AND(ISNUMBER(NATAL!$C73),NATAL!$D73="FOLGA"),NATAL!$C73,"")</f>
        <v/>
      </c>
      <c r="E373" s="0" t="str">
        <f aca="false">IF(AND(ISNUMBER(NATAL!$C73),NATAL!$D73="FOLGA"),NATAL!$E73&amp;"","")</f>
        <v/>
      </c>
      <c r="F373" s="0" t="str">
        <f aca="false">IF(AND(ISNUMBER(NATAL!$C73),NATAL!$D73="FOLGA"),NATAL!$F73&amp;"","")</f>
        <v/>
      </c>
      <c r="G373" s="0" t="str">
        <f aca="true">IF(D373="","",IF(D373=TODAY(),D373+ROW()/100000,""))</f>
        <v/>
      </c>
      <c r="H373" s="0" t="str">
        <f aca="true">IF(D373="","",IF(AND(D373&gt;TODAY(),D373&lt;=TODAY()+7),D373+ROW()/100000,""))</f>
        <v/>
      </c>
      <c r="I373" s="0" t="str">
        <f aca="false">IF(D373="","",IF(D373=CALENDÁRIO!$L$4,ROW(),""))</f>
        <v/>
      </c>
      <c r="J373" s="0" t="str">
        <f aca="false">IF(D373="","",CHOOSE(WEEKDAY(D373),"Domingo","Segunda","Terça","Quarta","Quinta","Sexta","Sábado"))</f>
        <v/>
      </c>
    </row>
    <row r="374" customFormat="false" ht="15" hidden="false" customHeight="false" outlineLevel="0" collapsed="false">
      <c r="A374" s="0" t="str">
        <f aca="false">IF(AND(ISNUMBER(NATAL!$C74),NATAL!$D74="FOLGA"),"Folga Natal","")</f>
        <v/>
      </c>
      <c r="B374" s="0" t="str">
        <f aca="false">IF(AND(ISNUMBER(NATAL!$C74),NATAL!$D74="FOLGA"),NATAL!$A74&amp;"","")</f>
        <v/>
      </c>
      <c r="C374" s="0" t="str">
        <f aca="false">IF(AND(ISNUMBER(NATAL!$C74),NATAL!$D74="FOLGA"),NATAL!$B74&amp;"","")</f>
        <v/>
      </c>
      <c r="D374" s="78" t="str">
        <f aca="false">IF(AND(ISNUMBER(NATAL!$C74),NATAL!$D74="FOLGA"),NATAL!$C74,"")</f>
        <v/>
      </c>
      <c r="E374" s="0" t="str">
        <f aca="false">IF(AND(ISNUMBER(NATAL!$C74),NATAL!$D74="FOLGA"),NATAL!$E74&amp;"","")</f>
        <v/>
      </c>
      <c r="F374" s="0" t="str">
        <f aca="false">IF(AND(ISNUMBER(NATAL!$C74),NATAL!$D74="FOLGA"),NATAL!$F74&amp;"","")</f>
        <v/>
      </c>
      <c r="G374" s="0" t="str">
        <f aca="true">IF(D374="","",IF(D374=TODAY(),D374+ROW()/100000,""))</f>
        <v/>
      </c>
      <c r="H374" s="0" t="str">
        <f aca="true">IF(D374="","",IF(AND(D374&gt;TODAY(),D374&lt;=TODAY()+7),D374+ROW()/100000,""))</f>
        <v/>
      </c>
      <c r="I374" s="0" t="str">
        <f aca="false">IF(D374="","",IF(D374=CALENDÁRIO!$L$4,ROW(),""))</f>
        <v/>
      </c>
      <c r="J374" s="0" t="str">
        <f aca="false">IF(D374="","",CHOOSE(WEEKDAY(D374),"Domingo","Segunda","Terça","Quarta","Quinta","Sexta","Sábado"))</f>
        <v/>
      </c>
    </row>
    <row r="375" customFormat="false" ht="15" hidden="false" customHeight="false" outlineLevel="0" collapsed="false">
      <c r="A375" s="0" t="str">
        <f aca="false">IF(AND(ISNUMBER(NATAL!$C75),NATAL!$D75="FOLGA"),"Folga Natal","")</f>
        <v/>
      </c>
      <c r="B375" s="0" t="str">
        <f aca="false">IF(AND(ISNUMBER(NATAL!$C75),NATAL!$D75="FOLGA"),NATAL!$A75&amp;"","")</f>
        <v/>
      </c>
      <c r="C375" s="0" t="str">
        <f aca="false">IF(AND(ISNUMBER(NATAL!$C75),NATAL!$D75="FOLGA"),NATAL!$B75&amp;"","")</f>
        <v/>
      </c>
      <c r="D375" s="78" t="str">
        <f aca="false">IF(AND(ISNUMBER(NATAL!$C75),NATAL!$D75="FOLGA"),NATAL!$C75,"")</f>
        <v/>
      </c>
      <c r="E375" s="0" t="str">
        <f aca="false">IF(AND(ISNUMBER(NATAL!$C75),NATAL!$D75="FOLGA"),NATAL!$E75&amp;"","")</f>
        <v/>
      </c>
      <c r="F375" s="0" t="str">
        <f aca="false">IF(AND(ISNUMBER(NATAL!$C75),NATAL!$D75="FOLGA"),NATAL!$F75&amp;"","")</f>
        <v/>
      </c>
      <c r="G375" s="0" t="str">
        <f aca="true">IF(D375="","",IF(D375=TODAY(),D375+ROW()/100000,""))</f>
        <v/>
      </c>
      <c r="H375" s="0" t="str">
        <f aca="true">IF(D375="","",IF(AND(D375&gt;TODAY(),D375&lt;=TODAY()+7),D375+ROW()/100000,""))</f>
        <v/>
      </c>
      <c r="I375" s="0" t="str">
        <f aca="false">IF(D375="","",IF(D375=CALENDÁRIO!$L$4,ROW(),""))</f>
        <v/>
      </c>
      <c r="J375" s="0" t="str">
        <f aca="false">IF(D375="","",CHOOSE(WEEKDAY(D375),"Domingo","Segunda","Terça","Quarta","Quinta","Sexta","Sábado"))</f>
        <v/>
      </c>
    </row>
    <row r="376" customFormat="false" ht="15" hidden="false" customHeight="false" outlineLevel="0" collapsed="false">
      <c r="A376" s="0" t="str">
        <f aca="false">IF(AND(ISNUMBER(NATAL!$C76),NATAL!$D76="FOLGA"),"Folga Natal","")</f>
        <v/>
      </c>
      <c r="B376" s="0" t="str">
        <f aca="false">IF(AND(ISNUMBER(NATAL!$C76),NATAL!$D76="FOLGA"),NATAL!$A76&amp;"","")</f>
        <v/>
      </c>
      <c r="C376" s="0" t="str">
        <f aca="false">IF(AND(ISNUMBER(NATAL!$C76),NATAL!$D76="FOLGA"),NATAL!$B76&amp;"","")</f>
        <v/>
      </c>
      <c r="D376" s="78" t="str">
        <f aca="false">IF(AND(ISNUMBER(NATAL!$C76),NATAL!$D76="FOLGA"),NATAL!$C76,"")</f>
        <v/>
      </c>
      <c r="E376" s="0" t="str">
        <f aca="false">IF(AND(ISNUMBER(NATAL!$C76),NATAL!$D76="FOLGA"),NATAL!$E76&amp;"","")</f>
        <v/>
      </c>
      <c r="F376" s="0" t="str">
        <f aca="false">IF(AND(ISNUMBER(NATAL!$C76),NATAL!$D76="FOLGA"),NATAL!$F76&amp;"","")</f>
        <v/>
      </c>
      <c r="G376" s="0" t="str">
        <f aca="true">IF(D376="","",IF(D376=TODAY(),D376+ROW()/100000,""))</f>
        <v/>
      </c>
      <c r="H376" s="0" t="str">
        <f aca="true">IF(D376="","",IF(AND(D376&gt;TODAY(),D376&lt;=TODAY()+7),D376+ROW()/100000,""))</f>
        <v/>
      </c>
      <c r="I376" s="0" t="str">
        <f aca="false">IF(D376="","",IF(D376=CALENDÁRIO!$L$4,ROW(),""))</f>
        <v/>
      </c>
      <c r="J376" s="0" t="str">
        <f aca="false">IF(D376="","",CHOOSE(WEEKDAY(D376),"Domingo","Segunda","Terça","Quarta","Quinta","Sexta","Sábado"))</f>
        <v/>
      </c>
    </row>
    <row r="377" customFormat="false" ht="15" hidden="false" customHeight="false" outlineLevel="0" collapsed="false">
      <c r="A377" s="0" t="str">
        <f aca="false">IF(AND(ISNUMBER(NATAL!$C77),NATAL!$D77="FOLGA"),"Folga Natal","")</f>
        <v/>
      </c>
      <c r="B377" s="0" t="str">
        <f aca="false">IF(AND(ISNUMBER(NATAL!$C77),NATAL!$D77="FOLGA"),NATAL!$A77&amp;"","")</f>
        <v/>
      </c>
      <c r="C377" s="0" t="str">
        <f aca="false">IF(AND(ISNUMBER(NATAL!$C77),NATAL!$D77="FOLGA"),NATAL!$B77&amp;"","")</f>
        <v/>
      </c>
      <c r="D377" s="78" t="str">
        <f aca="false">IF(AND(ISNUMBER(NATAL!$C77),NATAL!$D77="FOLGA"),NATAL!$C77,"")</f>
        <v/>
      </c>
      <c r="E377" s="0" t="str">
        <f aca="false">IF(AND(ISNUMBER(NATAL!$C77),NATAL!$D77="FOLGA"),NATAL!$E77&amp;"","")</f>
        <v/>
      </c>
      <c r="F377" s="0" t="str">
        <f aca="false">IF(AND(ISNUMBER(NATAL!$C77),NATAL!$D77="FOLGA"),NATAL!$F77&amp;"","")</f>
        <v/>
      </c>
      <c r="G377" s="0" t="str">
        <f aca="true">IF(D377="","",IF(D377=TODAY(),D377+ROW()/100000,""))</f>
        <v/>
      </c>
      <c r="H377" s="0" t="str">
        <f aca="true">IF(D377="","",IF(AND(D377&gt;TODAY(),D377&lt;=TODAY()+7),D377+ROW()/100000,""))</f>
        <v/>
      </c>
      <c r="I377" s="0" t="str">
        <f aca="false">IF(D377="","",IF(D377=CALENDÁRIO!$L$4,ROW(),""))</f>
        <v/>
      </c>
      <c r="J377" s="0" t="str">
        <f aca="false">IF(D377="","",CHOOSE(WEEKDAY(D377),"Domingo","Segunda","Terça","Quarta","Quinta","Sexta","Sábado"))</f>
        <v/>
      </c>
    </row>
    <row r="378" customFormat="false" ht="15" hidden="false" customHeight="false" outlineLevel="0" collapsed="false">
      <c r="A378" s="0" t="str">
        <f aca="false">IF(AND(ISNUMBER(NATAL!$C78),NATAL!$D78="FOLGA"),"Folga Natal","")</f>
        <v/>
      </c>
      <c r="B378" s="0" t="str">
        <f aca="false">IF(AND(ISNUMBER(NATAL!$C78),NATAL!$D78="FOLGA"),NATAL!$A78&amp;"","")</f>
        <v/>
      </c>
      <c r="C378" s="0" t="str">
        <f aca="false">IF(AND(ISNUMBER(NATAL!$C78),NATAL!$D78="FOLGA"),NATAL!$B78&amp;"","")</f>
        <v/>
      </c>
      <c r="D378" s="78" t="str">
        <f aca="false">IF(AND(ISNUMBER(NATAL!$C78),NATAL!$D78="FOLGA"),NATAL!$C78,"")</f>
        <v/>
      </c>
      <c r="E378" s="0" t="str">
        <f aca="false">IF(AND(ISNUMBER(NATAL!$C78),NATAL!$D78="FOLGA"),NATAL!$E78&amp;"","")</f>
        <v/>
      </c>
      <c r="F378" s="0" t="str">
        <f aca="false">IF(AND(ISNUMBER(NATAL!$C78),NATAL!$D78="FOLGA"),NATAL!$F78&amp;"","")</f>
        <v/>
      </c>
      <c r="G378" s="0" t="str">
        <f aca="true">IF(D378="","",IF(D378=TODAY(),D378+ROW()/100000,""))</f>
        <v/>
      </c>
      <c r="H378" s="0" t="str">
        <f aca="true">IF(D378="","",IF(AND(D378&gt;TODAY(),D378&lt;=TODAY()+7),D378+ROW()/100000,""))</f>
        <v/>
      </c>
      <c r="I378" s="0" t="str">
        <f aca="false">IF(D378="","",IF(D378=CALENDÁRIO!$L$4,ROW(),""))</f>
        <v/>
      </c>
      <c r="J378" s="0" t="str">
        <f aca="false">IF(D378="","",CHOOSE(WEEKDAY(D378),"Domingo","Segunda","Terça","Quarta","Quinta","Sexta","Sábado"))</f>
        <v/>
      </c>
    </row>
    <row r="379" customFormat="false" ht="15" hidden="false" customHeight="false" outlineLevel="0" collapsed="false">
      <c r="A379" s="0" t="str">
        <f aca="false">IF(AND(ISNUMBER(NATAL!$C79),NATAL!$D79="FOLGA"),"Folga Natal","")</f>
        <v/>
      </c>
      <c r="B379" s="0" t="str">
        <f aca="false">IF(AND(ISNUMBER(NATAL!$C79),NATAL!$D79="FOLGA"),NATAL!$A79&amp;"","")</f>
        <v/>
      </c>
      <c r="C379" s="0" t="str">
        <f aca="false">IF(AND(ISNUMBER(NATAL!$C79),NATAL!$D79="FOLGA"),NATAL!$B79&amp;"","")</f>
        <v/>
      </c>
      <c r="D379" s="78" t="str">
        <f aca="false">IF(AND(ISNUMBER(NATAL!$C79),NATAL!$D79="FOLGA"),NATAL!$C79,"")</f>
        <v/>
      </c>
      <c r="E379" s="0" t="str">
        <f aca="false">IF(AND(ISNUMBER(NATAL!$C79),NATAL!$D79="FOLGA"),NATAL!$E79&amp;"","")</f>
        <v/>
      </c>
      <c r="F379" s="0" t="str">
        <f aca="false">IF(AND(ISNUMBER(NATAL!$C79),NATAL!$D79="FOLGA"),NATAL!$F79&amp;"","")</f>
        <v/>
      </c>
      <c r="G379" s="0" t="str">
        <f aca="true">IF(D379="","",IF(D379=TODAY(),D379+ROW()/100000,""))</f>
        <v/>
      </c>
      <c r="H379" s="0" t="str">
        <f aca="true">IF(D379="","",IF(AND(D379&gt;TODAY(),D379&lt;=TODAY()+7),D379+ROW()/100000,""))</f>
        <v/>
      </c>
      <c r="I379" s="0" t="str">
        <f aca="false">IF(D379="","",IF(D379=CALENDÁRIO!$L$4,ROW(),""))</f>
        <v/>
      </c>
      <c r="J379" s="0" t="str">
        <f aca="false">IF(D379="","",CHOOSE(WEEKDAY(D379),"Domingo","Segunda","Terça","Quarta","Quinta","Sexta","Sábado"))</f>
        <v/>
      </c>
    </row>
    <row r="380" customFormat="false" ht="15" hidden="false" customHeight="false" outlineLevel="0" collapsed="false">
      <c r="A380" s="0" t="str">
        <f aca="false">IF(AND(ISNUMBER(NATAL!$C80),NATAL!$D80="FOLGA"),"Folga Natal","")</f>
        <v/>
      </c>
      <c r="B380" s="0" t="str">
        <f aca="false">IF(AND(ISNUMBER(NATAL!$C80),NATAL!$D80="FOLGA"),NATAL!$A80&amp;"","")</f>
        <v/>
      </c>
      <c r="C380" s="0" t="str">
        <f aca="false">IF(AND(ISNUMBER(NATAL!$C80),NATAL!$D80="FOLGA"),NATAL!$B80&amp;"","")</f>
        <v/>
      </c>
      <c r="D380" s="78" t="str">
        <f aca="false">IF(AND(ISNUMBER(NATAL!$C80),NATAL!$D80="FOLGA"),NATAL!$C80,"")</f>
        <v/>
      </c>
      <c r="E380" s="0" t="str">
        <f aca="false">IF(AND(ISNUMBER(NATAL!$C80),NATAL!$D80="FOLGA"),NATAL!$E80&amp;"","")</f>
        <v/>
      </c>
      <c r="F380" s="0" t="str">
        <f aca="false">IF(AND(ISNUMBER(NATAL!$C80),NATAL!$D80="FOLGA"),NATAL!$F80&amp;"","")</f>
        <v/>
      </c>
      <c r="G380" s="0" t="str">
        <f aca="true">IF(D380="","",IF(D380=TODAY(),D380+ROW()/100000,""))</f>
        <v/>
      </c>
      <c r="H380" s="0" t="str">
        <f aca="true">IF(D380="","",IF(AND(D380&gt;TODAY(),D380&lt;=TODAY()+7),D380+ROW()/100000,""))</f>
        <v/>
      </c>
      <c r="I380" s="0" t="str">
        <f aca="false">IF(D380="","",IF(D380=CALENDÁRIO!$L$4,ROW(),""))</f>
        <v/>
      </c>
      <c r="J380" s="0" t="str">
        <f aca="false">IF(D380="","",CHOOSE(WEEKDAY(D380),"Domingo","Segunda","Terça","Quarta","Quinta","Sexta","Sábado"))</f>
        <v/>
      </c>
    </row>
    <row r="381" customFormat="false" ht="15" hidden="false" customHeight="false" outlineLevel="0" collapsed="false">
      <c r="A381" s="0" t="str">
        <f aca="false">IF(AND(ISNUMBER(NATAL!$C81),NATAL!$D81="FOLGA"),"Folga Natal","")</f>
        <v/>
      </c>
      <c r="B381" s="0" t="str">
        <f aca="false">IF(AND(ISNUMBER(NATAL!$C81),NATAL!$D81="FOLGA"),NATAL!$A81&amp;"","")</f>
        <v/>
      </c>
      <c r="C381" s="0" t="str">
        <f aca="false">IF(AND(ISNUMBER(NATAL!$C81),NATAL!$D81="FOLGA"),NATAL!$B81&amp;"","")</f>
        <v/>
      </c>
      <c r="D381" s="78" t="str">
        <f aca="false">IF(AND(ISNUMBER(NATAL!$C81),NATAL!$D81="FOLGA"),NATAL!$C81,"")</f>
        <v/>
      </c>
      <c r="E381" s="0" t="str">
        <f aca="false">IF(AND(ISNUMBER(NATAL!$C81),NATAL!$D81="FOLGA"),NATAL!$E81&amp;"","")</f>
        <v/>
      </c>
      <c r="F381" s="0" t="str">
        <f aca="false">IF(AND(ISNUMBER(NATAL!$C81),NATAL!$D81="FOLGA"),NATAL!$F81&amp;"","")</f>
        <v/>
      </c>
      <c r="G381" s="0" t="str">
        <f aca="true">IF(D381="","",IF(D381=TODAY(),D381+ROW()/100000,""))</f>
        <v/>
      </c>
      <c r="H381" s="0" t="str">
        <f aca="true">IF(D381="","",IF(AND(D381&gt;TODAY(),D381&lt;=TODAY()+7),D381+ROW()/100000,""))</f>
        <v/>
      </c>
      <c r="I381" s="0" t="str">
        <f aca="false">IF(D381="","",IF(D381=CALENDÁRIO!$L$4,ROW(),""))</f>
        <v/>
      </c>
      <c r="J381" s="0" t="str">
        <f aca="false">IF(D381="","",CHOOSE(WEEKDAY(D381),"Domingo","Segunda","Terça","Quarta","Quinta","Sexta","Sábado"))</f>
        <v/>
      </c>
    </row>
    <row r="382" customFormat="false" ht="15" hidden="false" customHeight="false" outlineLevel="0" collapsed="false">
      <c r="A382" s="0" t="str">
        <f aca="false">IF(AND(ISNUMBER(NATAL!$C82),NATAL!$D82="FOLGA"),"Folga Natal","")</f>
        <v/>
      </c>
      <c r="B382" s="0" t="str">
        <f aca="false">IF(AND(ISNUMBER(NATAL!$C82),NATAL!$D82="FOLGA"),NATAL!$A82&amp;"","")</f>
        <v/>
      </c>
      <c r="C382" s="0" t="str">
        <f aca="false">IF(AND(ISNUMBER(NATAL!$C82),NATAL!$D82="FOLGA"),NATAL!$B82&amp;"","")</f>
        <v/>
      </c>
      <c r="D382" s="78" t="str">
        <f aca="false">IF(AND(ISNUMBER(NATAL!$C82),NATAL!$D82="FOLGA"),NATAL!$C82,"")</f>
        <v/>
      </c>
      <c r="E382" s="0" t="str">
        <f aca="false">IF(AND(ISNUMBER(NATAL!$C82),NATAL!$D82="FOLGA"),NATAL!$E82&amp;"","")</f>
        <v/>
      </c>
      <c r="F382" s="0" t="str">
        <f aca="false">IF(AND(ISNUMBER(NATAL!$C82),NATAL!$D82="FOLGA"),NATAL!$F82&amp;"","")</f>
        <v/>
      </c>
      <c r="G382" s="0" t="str">
        <f aca="true">IF(D382="","",IF(D382=TODAY(),D382+ROW()/100000,""))</f>
        <v/>
      </c>
      <c r="H382" s="0" t="str">
        <f aca="true">IF(D382="","",IF(AND(D382&gt;TODAY(),D382&lt;=TODAY()+7),D382+ROW()/100000,""))</f>
        <v/>
      </c>
      <c r="I382" s="0" t="str">
        <f aca="false">IF(D382="","",IF(D382=CALENDÁRIO!$L$4,ROW(),""))</f>
        <v/>
      </c>
      <c r="J382" s="0" t="str">
        <f aca="false">IF(D382="","",CHOOSE(WEEKDAY(D382),"Domingo","Segunda","Terça","Quarta","Quinta","Sexta","Sábado"))</f>
        <v/>
      </c>
    </row>
    <row r="383" customFormat="false" ht="15" hidden="false" customHeight="false" outlineLevel="0" collapsed="false">
      <c r="A383" s="0" t="str">
        <f aca="false">IF(AND(ISNUMBER(NATAL!$C83),NATAL!$D83="FOLGA"),"Folga Natal","")</f>
        <v/>
      </c>
      <c r="B383" s="0" t="str">
        <f aca="false">IF(AND(ISNUMBER(NATAL!$C83),NATAL!$D83="FOLGA"),NATAL!$A83&amp;"","")</f>
        <v/>
      </c>
      <c r="C383" s="0" t="str">
        <f aca="false">IF(AND(ISNUMBER(NATAL!$C83),NATAL!$D83="FOLGA"),NATAL!$B83&amp;"","")</f>
        <v/>
      </c>
      <c r="D383" s="78" t="str">
        <f aca="false">IF(AND(ISNUMBER(NATAL!$C83),NATAL!$D83="FOLGA"),NATAL!$C83,"")</f>
        <v/>
      </c>
      <c r="E383" s="0" t="str">
        <f aca="false">IF(AND(ISNUMBER(NATAL!$C83),NATAL!$D83="FOLGA"),NATAL!$E83&amp;"","")</f>
        <v/>
      </c>
      <c r="F383" s="0" t="str">
        <f aca="false">IF(AND(ISNUMBER(NATAL!$C83),NATAL!$D83="FOLGA"),NATAL!$F83&amp;"","")</f>
        <v/>
      </c>
      <c r="G383" s="0" t="str">
        <f aca="true">IF(D383="","",IF(D383=TODAY(),D383+ROW()/100000,""))</f>
        <v/>
      </c>
      <c r="H383" s="0" t="str">
        <f aca="true">IF(D383="","",IF(AND(D383&gt;TODAY(),D383&lt;=TODAY()+7),D383+ROW()/100000,""))</f>
        <v/>
      </c>
      <c r="I383" s="0" t="str">
        <f aca="false">IF(D383="","",IF(D383=CALENDÁRIO!$L$4,ROW(),""))</f>
        <v/>
      </c>
      <c r="J383" s="0" t="str">
        <f aca="false">IF(D383="","",CHOOSE(WEEKDAY(D383),"Domingo","Segunda","Terça","Quarta","Quinta","Sexta","Sábado"))</f>
        <v/>
      </c>
    </row>
    <row r="384" customFormat="false" ht="15" hidden="false" customHeight="false" outlineLevel="0" collapsed="false">
      <c r="A384" s="0" t="str">
        <f aca="false">IF(AND(ISNUMBER(NATAL!$C84),NATAL!$D84="FOLGA"),"Folga Natal","")</f>
        <v/>
      </c>
      <c r="B384" s="0" t="str">
        <f aca="false">IF(AND(ISNUMBER(NATAL!$C84),NATAL!$D84="FOLGA"),NATAL!$A84&amp;"","")</f>
        <v/>
      </c>
      <c r="C384" s="0" t="str">
        <f aca="false">IF(AND(ISNUMBER(NATAL!$C84),NATAL!$D84="FOLGA"),NATAL!$B84&amp;"","")</f>
        <v/>
      </c>
      <c r="D384" s="78" t="str">
        <f aca="false">IF(AND(ISNUMBER(NATAL!$C84),NATAL!$D84="FOLGA"),NATAL!$C84,"")</f>
        <v/>
      </c>
      <c r="E384" s="0" t="str">
        <f aca="false">IF(AND(ISNUMBER(NATAL!$C84),NATAL!$D84="FOLGA"),NATAL!$E84&amp;"","")</f>
        <v/>
      </c>
      <c r="F384" s="0" t="str">
        <f aca="false">IF(AND(ISNUMBER(NATAL!$C84),NATAL!$D84="FOLGA"),NATAL!$F84&amp;"","")</f>
        <v/>
      </c>
      <c r="G384" s="0" t="str">
        <f aca="true">IF(D384="","",IF(D384=TODAY(),D384+ROW()/100000,""))</f>
        <v/>
      </c>
      <c r="H384" s="0" t="str">
        <f aca="true">IF(D384="","",IF(AND(D384&gt;TODAY(),D384&lt;=TODAY()+7),D384+ROW()/100000,""))</f>
        <v/>
      </c>
      <c r="I384" s="0" t="str">
        <f aca="false">IF(D384="","",IF(D384=CALENDÁRIO!$L$4,ROW(),""))</f>
        <v/>
      </c>
      <c r="J384" s="0" t="str">
        <f aca="false">IF(D384="","",CHOOSE(WEEKDAY(D384),"Domingo","Segunda","Terça","Quarta","Quinta","Sexta","Sábado"))</f>
        <v/>
      </c>
    </row>
    <row r="385" customFormat="false" ht="15" hidden="false" customHeight="false" outlineLevel="0" collapsed="false">
      <c r="A385" s="0" t="str">
        <f aca="false">IF(AND(ISNUMBER(NATAL!$C85),NATAL!$D85="FOLGA"),"Folga Natal","")</f>
        <v/>
      </c>
      <c r="B385" s="0" t="str">
        <f aca="false">IF(AND(ISNUMBER(NATAL!$C85),NATAL!$D85="FOLGA"),NATAL!$A85&amp;"","")</f>
        <v/>
      </c>
      <c r="C385" s="0" t="str">
        <f aca="false">IF(AND(ISNUMBER(NATAL!$C85),NATAL!$D85="FOLGA"),NATAL!$B85&amp;"","")</f>
        <v/>
      </c>
      <c r="D385" s="78" t="str">
        <f aca="false">IF(AND(ISNUMBER(NATAL!$C85),NATAL!$D85="FOLGA"),NATAL!$C85,"")</f>
        <v/>
      </c>
      <c r="E385" s="0" t="str">
        <f aca="false">IF(AND(ISNUMBER(NATAL!$C85),NATAL!$D85="FOLGA"),NATAL!$E85&amp;"","")</f>
        <v/>
      </c>
      <c r="F385" s="0" t="str">
        <f aca="false">IF(AND(ISNUMBER(NATAL!$C85),NATAL!$D85="FOLGA"),NATAL!$F85&amp;"","")</f>
        <v/>
      </c>
      <c r="G385" s="0" t="str">
        <f aca="true">IF(D385="","",IF(D385=TODAY(),D385+ROW()/100000,""))</f>
        <v/>
      </c>
      <c r="H385" s="0" t="str">
        <f aca="true">IF(D385="","",IF(AND(D385&gt;TODAY(),D385&lt;=TODAY()+7),D385+ROW()/100000,""))</f>
        <v/>
      </c>
      <c r="I385" s="0" t="str">
        <f aca="false">IF(D385="","",IF(D385=CALENDÁRIO!$L$4,ROW(),""))</f>
        <v/>
      </c>
      <c r="J385" s="0" t="str">
        <f aca="false">IF(D385="","",CHOOSE(WEEKDAY(D385),"Domingo","Segunda","Terça","Quarta","Quinta","Sexta","Sábado"))</f>
        <v/>
      </c>
    </row>
    <row r="386" customFormat="false" ht="15" hidden="false" customHeight="false" outlineLevel="0" collapsed="false">
      <c r="A386" s="0" t="str">
        <f aca="false">IF(AND(ISNUMBER(NATAL!$C86),NATAL!$D86="FOLGA"),"Folga Natal","")</f>
        <v/>
      </c>
      <c r="B386" s="0" t="str">
        <f aca="false">IF(AND(ISNUMBER(NATAL!$C86),NATAL!$D86="FOLGA"),NATAL!$A86&amp;"","")</f>
        <v/>
      </c>
      <c r="C386" s="0" t="str">
        <f aca="false">IF(AND(ISNUMBER(NATAL!$C86),NATAL!$D86="FOLGA"),NATAL!$B86&amp;"","")</f>
        <v/>
      </c>
      <c r="D386" s="78" t="str">
        <f aca="false">IF(AND(ISNUMBER(NATAL!$C86),NATAL!$D86="FOLGA"),NATAL!$C86,"")</f>
        <v/>
      </c>
      <c r="E386" s="0" t="str">
        <f aca="false">IF(AND(ISNUMBER(NATAL!$C86),NATAL!$D86="FOLGA"),NATAL!$E86&amp;"","")</f>
        <v/>
      </c>
      <c r="F386" s="0" t="str">
        <f aca="false">IF(AND(ISNUMBER(NATAL!$C86),NATAL!$D86="FOLGA"),NATAL!$F86&amp;"","")</f>
        <v/>
      </c>
      <c r="G386" s="0" t="str">
        <f aca="true">IF(D386="","",IF(D386=TODAY(),D386+ROW()/100000,""))</f>
        <v/>
      </c>
      <c r="H386" s="0" t="str">
        <f aca="true">IF(D386="","",IF(AND(D386&gt;TODAY(),D386&lt;=TODAY()+7),D386+ROW()/100000,""))</f>
        <v/>
      </c>
      <c r="I386" s="0" t="str">
        <f aca="false">IF(D386="","",IF(D386=CALENDÁRIO!$L$4,ROW(),""))</f>
        <v/>
      </c>
      <c r="J386" s="0" t="str">
        <f aca="false">IF(D386="","",CHOOSE(WEEKDAY(D386),"Domingo","Segunda","Terça","Quarta","Quinta","Sexta","Sábado"))</f>
        <v/>
      </c>
    </row>
    <row r="387" customFormat="false" ht="15" hidden="false" customHeight="false" outlineLevel="0" collapsed="false">
      <c r="A387" s="0" t="str">
        <f aca="false">IF(AND(ISNUMBER(NATAL!$C87),NATAL!$D87="FOLGA"),"Folga Natal","")</f>
        <v/>
      </c>
      <c r="B387" s="0" t="str">
        <f aca="false">IF(AND(ISNUMBER(NATAL!$C87),NATAL!$D87="FOLGA"),NATAL!$A87&amp;"","")</f>
        <v/>
      </c>
      <c r="C387" s="0" t="str">
        <f aca="false">IF(AND(ISNUMBER(NATAL!$C87),NATAL!$D87="FOLGA"),NATAL!$B87&amp;"","")</f>
        <v/>
      </c>
      <c r="D387" s="78" t="str">
        <f aca="false">IF(AND(ISNUMBER(NATAL!$C87),NATAL!$D87="FOLGA"),NATAL!$C87,"")</f>
        <v/>
      </c>
      <c r="E387" s="0" t="str">
        <f aca="false">IF(AND(ISNUMBER(NATAL!$C87),NATAL!$D87="FOLGA"),NATAL!$E87&amp;"","")</f>
        <v/>
      </c>
      <c r="F387" s="0" t="str">
        <f aca="false">IF(AND(ISNUMBER(NATAL!$C87),NATAL!$D87="FOLGA"),NATAL!$F87&amp;"","")</f>
        <v/>
      </c>
      <c r="G387" s="0" t="str">
        <f aca="true">IF(D387="","",IF(D387=TODAY(),D387+ROW()/100000,""))</f>
        <v/>
      </c>
      <c r="H387" s="0" t="str">
        <f aca="true">IF(D387="","",IF(AND(D387&gt;TODAY(),D387&lt;=TODAY()+7),D387+ROW()/100000,""))</f>
        <v/>
      </c>
      <c r="I387" s="0" t="str">
        <f aca="false">IF(D387="","",IF(D387=CALENDÁRIO!$L$4,ROW(),""))</f>
        <v/>
      </c>
      <c r="J387" s="0" t="str">
        <f aca="false">IF(D387="","",CHOOSE(WEEKDAY(D387),"Domingo","Segunda","Terça","Quarta","Quinta","Sexta","Sábado"))</f>
        <v/>
      </c>
    </row>
    <row r="388" customFormat="false" ht="15" hidden="false" customHeight="false" outlineLevel="0" collapsed="false">
      <c r="A388" s="0" t="str">
        <f aca="false">IF(AND(ISNUMBER(NATAL!$C88),NATAL!$D88="FOLGA"),"Folga Natal","")</f>
        <v/>
      </c>
      <c r="B388" s="0" t="str">
        <f aca="false">IF(AND(ISNUMBER(NATAL!$C88),NATAL!$D88="FOLGA"),NATAL!$A88&amp;"","")</f>
        <v/>
      </c>
      <c r="C388" s="0" t="str">
        <f aca="false">IF(AND(ISNUMBER(NATAL!$C88),NATAL!$D88="FOLGA"),NATAL!$B88&amp;"","")</f>
        <v/>
      </c>
      <c r="D388" s="78" t="str">
        <f aca="false">IF(AND(ISNUMBER(NATAL!$C88),NATAL!$D88="FOLGA"),NATAL!$C88,"")</f>
        <v/>
      </c>
      <c r="E388" s="0" t="str">
        <f aca="false">IF(AND(ISNUMBER(NATAL!$C88),NATAL!$D88="FOLGA"),NATAL!$E88&amp;"","")</f>
        <v/>
      </c>
      <c r="F388" s="0" t="str">
        <f aca="false">IF(AND(ISNUMBER(NATAL!$C88),NATAL!$D88="FOLGA"),NATAL!$F88&amp;"","")</f>
        <v/>
      </c>
      <c r="G388" s="0" t="str">
        <f aca="true">IF(D388="","",IF(D388=TODAY(),D388+ROW()/100000,""))</f>
        <v/>
      </c>
      <c r="H388" s="0" t="str">
        <f aca="true">IF(D388="","",IF(AND(D388&gt;TODAY(),D388&lt;=TODAY()+7),D388+ROW()/100000,""))</f>
        <v/>
      </c>
      <c r="I388" s="0" t="str">
        <f aca="false">IF(D388="","",IF(D388=CALENDÁRIO!$L$4,ROW(),""))</f>
        <v/>
      </c>
      <c r="J388" s="0" t="str">
        <f aca="false">IF(D388="","",CHOOSE(WEEKDAY(D388),"Domingo","Segunda","Terça","Quarta","Quinta","Sexta","Sábado"))</f>
        <v/>
      </c>
    </row>
    <row r="389" customFormat="false" ht="15" hidden="false" customHeight="false" outlineLevel="0" collapsed="false">
      <c r="A389" s="0" t="str">
        <f aca="false">IF(AND(ISNUMBER(NATAL!$C89),NATAL!$D89="FOLGA"),"Folga Natal","")</f>
        <v/>
      </c>
      <c r="B389" s="0" t="str">
        <f aca="false">IF(AND(ISNUMBER(NATAL!$C89),NATAL!$D89="FOLGA"),NATAL!$A89&amp;"","")</f>
        <v/>
      </c>
      <c r="C389" s="0" t="str">
        <f aca="false">IF(AND(ISNUMBER(NATAL!$C89),NATAL!$D89="FOLGA"),NATAL!$B89&amp;"","")</f>
        <v/>
      </c>
      <c r="D389" s="78" t="str">
        <f aca="false">IF(AND(ISNUMBER(NATAL!$C89),NATAL!$D89="FOLGA"),NATAL!$C89,"")</f>
        <v/>
      </c>
      <c r="E389" s="0" t="str">
        <f aca="false">IF(AND(ISNUMBER(NATAL!$C89),NATAL!$D89="FOLGA"),NATAL!$E89&amp;"","")</f>
        <v/>
      </c>
      <c r="F389" s="0" t="str">
        <f aca="false">IF(AND(ISNUMBER(NATAL!$C89),NATAL!$D89="FOLGA"),NATAL!$F89&amp;"","")</f>
        <v/>
      </c>
      <c r="G389" s="0" t="str">
        <f aca="true">IF(D389="","",IF(D389=TODAY(),D389+ROW()/100000,""))</f>
        <v/>
      </c>
      <c r="H389" s="0" t="str">
        <f aca="true">IF(D389="","",IF(AND(D389&gt;TODAY(),D389&lt;=TODAY()+7),D389+ROW()/100000,""))</f>
        <v/>
      </c>
      <c r="I389" s="0" t="str">
        <f aca="false">IF(D389="","",IF(D389=CALENDÁRIO!$L$4,ROW(),""))</f>
        <v/>
      </c>
      <c r="J389" s="0" t="str">
        <f aca="false">IF(D389="","",CHOOSE(WEEKDAY(D389),"Domingo","Segunda","Terça","Quarta","Quinta","Sexta","Sábado"))</f>
        <v/>
      </c>
    </row>
    <row r="390" customFormat="false" ht="15" hidden="false" customHeight="false" outlineLevel="0" collapsed="false">
      <c r="A390" s="0" t="str">
        <f aca="false">IF(AND(ISNUMBER(NATAL!$C90),NATAL!$D90="FOLGA"),"Folga Natal","")</f>
        <v/>
      </c>
      <c r="B390" s="0" t="str">
        <f aca="false">IF(AND(ISNUMBER(NATAL!$C90),NATAL!$D90="FOLGA"),NATAL!$A90&amp;"","")</f>
        <v/>
      </c>
      <c r="C390" s="0" t="str">
        <f aca="false">IF(AND(ISNUMBER(NATAL!$C90),NATAL!$D90="FOLGA"),NATAL!$B90&amp;"","")</f>
        <v/>
      </c>
      <c r="D390" s="78" t="str">
        <f aca="false">IF(AND(ISNUMBER(NATAL!$C90),NATAL!$D90="FOLGA"),NATAL!$C90,"")</f>
        <v/>
      </c>
      <c r="E390" s="0" t="str">
        <f aca="false">IF(AND(ISNUMBER(NATAL!$C90),NATAL!$D90="FOLGA"),NATAL!$E90&amp;"","")</f>
        <v/>
      </c>
      <c r="F390" s="0" t="str">
        <f aca="false">IF(AND(ISNUMBER(NATAL!$C90),NATAL!$D90="FOLGA"),NATAL!$F90&amp;"","")</f>
        <v/>
      </c>
      <c r="G390" s="0" t="str">
        <f aca="true">IF(D390="","",IF(D390=TODAY(),D390+ROW()/100000,""))</f>
        <v/>
      </c>
      <c r="H390" s="0" t="str">
        <f aca="true">IF(D390="","",IF(AND(D390&gt;TODAY(),D390&lt;=TODAY()+7),D390+ROW()/100000,""))</f>
        <v/>
      </c>
      <c r="I390" s="0" t="str">
        <f aca="false">IF(D390="","",IF(D390=CALENDÁRIO!$L$4,ROW(),""))</f>
        <v/>
      </c>
      <c r="J390" s="0" t="str">
        <f aca="false">IF(D390="","",CHOOSE(WEEKDAY(D390),"Domingo","Segunda","Terça","Quarta","Quinta","Sexta","Sábado"))</f>
        <v/>
      </c>
    </row>
    <row r="391" customFormat="false" ht="15" hidden="false" customHeight="false" outlineLevel="0" collapsed="false">
      <c r="A391" s="0" t="str">
        <f aca="false">IF(AND(ISNUMBER(NATAL!$C91),NATAL!$D91="FOLGA"),"Folga Natal","")</f>
        <v/>
      </c>
      <c r="B391" s="0" t="str">
        <f aca="false">IF(AND(ISNUMBER(NATAL!$C91),NATAL!$D91="FOLGA"),NATAL!$A91&amp;"","")</f>
        <v/>
      </c>
      <c r="C391" s="0" t="str">
        <f aca="false">IF(AND(ISNUMBER(NATAL!$C91),NATAL!$D91="FOLGA"),NATAL!$B91&amp;"","")</f>
        <v/>
      </c>
      <c r="D391" s="78" t="str">
        <f aca="false">IF(AND(ISNUMBER(NATAL!$C91),NATAL!$D91="FOLGA"),NATAL!$C91,"")</f>
        <v/>
      </c>
      <c r="E391" s="0" t="str">
        <f aca="false">IF(AND(ISNUMBER(NATAL!$C91),NATAL!$D91="FOLGA"),NATAL!$E91&amp;"","")</f>
        <v/>
      </c>
      <c r="F391" s="0" t="str">
        <f aca="false">IF(AND(ISNUMBER(NATAL!$C91),NATAL!$D91="FOLGA"),NATAL!$F91&amp;"","")</f>
        <v/>
      </c>
      <c r="G391" s="0" t="str">
        <f aca="true">IF(D391="","",IF(D391=TODAY(),D391+ROW()/100000,""))</f>
        <v/>
      </c>
      <c r="H391" s="0" t="str">
        <f aca="true">IF(D391="","",IF(AND(D391&gt;TODAY(),D391&lt;=TODAY()+7),D391+ROW()/100000,""))</f>
        <v/>
      </c>
      <c r="I391" s="0" t="str">
        <f aca="false">IF(D391="","",IF(D391=CALENDÁRIO!$L$4,ROW(),""))</f>
        <v/>
      </c>
      <c r="J391" s="0" t="str">
        <f aca="false">IF(D391="","",CHOOSE(WEEKDAY(D391),"Domingo","Segunda","Terça","Quarta","Quinta","Sexta","Sábado"))</f>
        <v/>
      </c>
    </row>
    <row r="392" customFormat="false" ht="15" hidden="false" customHeight="false" outlineLevel="0" collapsed="false">
      <c r="A392" s="0" t="str">
        <f aca="false">IF(AND(ISNUMBER(NATAL!$C92),NATAL!$D92="FOLGA"),"Folga Natal","")</f>
        <v/>
      </c>
      <c r="B392" s="0" t="str">
        <f aca="false">IF(AND(ISNUMBER(NATAL!$C92),NATAL!$D92="FOLGA"),NATAL!$A92&amp;"","")</f>
        <v/>
      </c>
      <c r="C392" s="0" t="str">
        <f aca="false">IF(AND(ISNUMBER(NATAL!$C92),NATAL!$D92="FOLGA"),NATAL!$B92&amp;"","")</f>
        <v/>
      </c>
      <c r="D392" s="78" t="str">
        <f aca="false">IF(AND(ISNUMBER(NATAL!$C92),NATAL!$D92="FOLGA"),NATAL!$C92,"")</f>
        <v/>
      </c>
      <c r="E392" s="0" t="str">
        <f aca="false">IF(AND(ISNUMBER(NATAL!$C92),NATAL!$D92="FOLGA"),NATAL!$E92&amp;"","")</f>
        <v/>
      </c>
      <c r="F392" s="0" t="str">
        <f aca="false">IF(AND(ISNUMBER(NATAL!$C92),NATAL!$D92="FOLGA"),NATAL!$F92&amp;"","")</f>
        <v/>
      </c>
      <c r="G392" s="0" t="str">
        <f aca="true">IF(D392="","",IF(D392=TODAY(),D392+ROW()/100000,""))</f>
        <v/>
      </c>
      <c r="H392" s="0" t="str">
        <f aca="true">IF(D392="","",IF(AND(D392&gt;TODAY(),D392&lt;=TODAY()+7),D392+ROW()/100000,""))</f>
        <v/>
      </c>
      <c r="I392" s="0" t="str">
        <f aca="false">IF(D392="","",IF(D392=CALENDÁRIO!$L$4,ROW(),""))</f>
        <v/>
      </c>
      <c r="J392" s="0" t="str">
        <f aca="false">IF(D392="","",CHOOSE(WEEKDAY(D392),"Domingo","Segunda","Terça","Quarta","Quinta","Sexta","Sábado"))</f>
        <v/>
      </c>
    </row>
    <row r="393" customFormat="false" ht="15" hidden="false" customHeight="false" outlineLevel="0" collapsed="false">
      <c r="A393" s="0" t="str">
        <f aca="false">IF(AND(ISNUMBER(NATAL!$C93),NATAL!$D93="FOLGA"),"Folga Natal","")</f>
        <v/>
      </c>
      <c r="B393" s="0" t="str">
        <f aca="false">IF(AND(ISNUMBER(NATAL!$C93),NATAL!$D93="FOLGA"),NATAL!$A93&amp;"","")</f>
        <v/>
      </c>
      <c r="C393" s="0" t="str">
        <f aca="false">IF(AND(ISNUMBER(NATAL!$C93),NATAL!$D93="FOLGA"),NATAL!$B93&amp;"","")</f>
        <v/>
      </c>
      <c r="D393" s="78" t="str">
        <f aca="false">IF(AND(ISNUMBER(NATAL!$C93),NATAL!$D93="FOLGA"),NATAL!$C93,"")</f>
        <v/>
      </c>
      <c r="E393" s="0" t="str">
        <f aca="false">IF(AND(ISNUMBER(NATAL!$C93),NATAL!$D93="FOLGA"),NATAL!$E93&amp;"","")</f>
        <v/>
      </c>
      <c r="F393" s="0" t="str">
        <f aca="false">IF(AND(ISNUMBER(NATAL!$C93),NATAL!$D93="FOLGA"),NATAL!$F93&amp;"","")</f>
        <v/>
      </c>
      <c r="G393" s="0" t="str">
        <f aca="true">IF(D393="","",IF(D393=TODAY(),D393+ROW()/100000,""))</f>
        <v/>
      </c>
      <c r="H393" s="0" t="str">
        <f aca="true">IF(D393="","",IF(AND(D393&gt;TODAY(),D393&lt;=TODAY()+7),D393+ROW()/100000,""))</f>
        <v/>
      </c>
      <c r="I393" s="0" t="str">
        <f aca="false">IF(D393="","",IF(D393=CALENDÁRIO!$L$4,ROW(),""))</f>
        <v/>
      </c>
      <c r="J393" s="0" t="str">
        <f aca="false">IF(D393="","",CHOOSE(WEEKDAY(D393),"Domingo","Segunda","Terça","Quarta","Quinta","Sexta","Sábado"))</f>
        <v/>
      </c>
    </row>
    <row r="394" customFormat="false" ht="15" hidden="false" customHeight="false" outlineLevel="0" collapsed="false">
      <c r="A394" s="0" t="str">
        <f aca="false">IF(AND(ISNUMBER(NATAL!$C94),NATAL!$D94="FOLGA"),"Folga Natal","")</f>
        <v/>
      </c>
      <c r="B394" s="0" t="str">
        <f aca="false">IF(AND(ISNUMBER(NATAL!$C94),NATAL!$D94="FOLGA"),NATAL!$A94&amp;"","")</f>
        <v/>
      </c>
      <c r="C394" s="0" t="str">
        <f aca="false">IF(AND(ISNUMBER(NATAL!$C94),NATAL!$D94="FOLGA"),NATAL!$B94&amp;"","")</f>
        <v/>
      </c>
      <c r="D394" s="78" t="str">
        <f aca="false">IF(AND(ISNUMBER(NATAL!$C94),NATAL!$D94="FOLGA"),NATAL!$C94,"")</f>
        <v/>
      </c>
      <c r="E394" s="0" t="str">
        <f aca="false">IF(AND(ISNUMBER(NATAL!$C94),NATAL!$D94="FOLGA"),NATAL!$E94&amp;"","")</f>
        <v/>
      </c>
      <c r="F394" s="0" t="str">
        <f aca="false">IF(AND(ISNUMBER(NATAL!$C94),NATAL!$D94="FOLGA"),NATAL!$F94&amp;"","")</f>
        <v/>
      </c>
      <c r="G394" s="0" t="str">
        <f aca="true">IF(D394="","",IF(D394=TODAY(),D394+ROW()/100000,""))</f>
        <v/>
      </c>
      <c r="H394" s="0" t="str">
        <f aca="true">IF(D394="","",IF(AND(D394&gt;TODAY(),D394&lt;=TODAY()+7),D394+ROW()/100000,""))</f>
        <v/>
      </c>
      <c r="I394" s="0" t="str">
        <f aca="false">IF(D394="","",IF(D394=CALENDÁRIO!$L$4,ROW(),""))</f>
        <v/>
      </c>
      <c r="J394" s="0" t="str">
        <f aca="false">IF(D394="","",CHOOSE(WEEKDAY(D394),"Domingo","Segunda","Terça","Quarta","Quinta","Sexta","Sábado"))</f>
        <v/>
      </c>
    </row>
    <row r="395" customFormat="false" ht="15" hidden="false" customHeight="false" outlineLevel="0" collapsed="false">
      <c r="A395" s="0" t="str">
        <f aca="false">IF(AND(ISNUMBER(NATAL!$C95),NATAL!$D95="FOLGA"),"Folga Natal","")</f>
        <v/>
      </c>
      <c r="B395" s="0" t="str">
        <f aca="false">IF(AND(ISNUMBER(NATAL!$C95),NATAL!$D95="FOLGA"),NATAL!$A95&amp;"","")</f>
        <v/>
      </c>
      <c r="C395" s="0" t="str">
        <f aca="false">IF(AND(ISNUMBER(NATAL!$C95),NATAL!$D95="FOLGA"),NATAL!$B95&amp;"","")</f>
        <v/>
      </c>
      <c r="D395" s="78" t="str">
        <f aca="false">IF(AND(ISNUMBER(NATAL!$C95),NATAL!$D95="FOLGA"),NATAL!$C95,"")</f>
        <v/>
      </c>
      <c r="E395" s="0" t="str">
        <f aca="false">IF(AND(ISNUMBER(NATAL!$C95),NATAL!$D95="FOLGA"),NATAL!$E95&amp;"","")</f>
        <v/>
      </c>
      <c r="F395" s="0" t="str">
        <f aca="false">IF(AND(ISNUMBER(NATAL!$C95),NATAL!$D95="FOLGA"),NATAL!$F95&amp;"","")</f>
        <v/>
      </c>
      <c r="G395" s="0" t="str">
        <f aca="true">IF(D395="","",IF(D395=TODAY(),D395+ROW()/100000,""))</f>
        <v/>
      </c>
      <c r="H395" s="0" t="str">
        <f aca="true">IF(D395="","",IF(AND(D395&gt;TODAY(),D395&lt;=TODAY()+7),D395+ROW()/100000,""))</f>
        <v/>
      </c>
      <c r="I395" s="0" t="str">
        <f aca="false">IF(D395="","",IF(D395=CALENDÁRIO!$L$4,ROW(),""))</f>
        <v/>
      </c>
      <c r="J395" s="0" t="str">
        <f aca="false">IF(D395="","",CHOOSE(WEEKDAY(D395),"Domingo","Segunda","Terça","Quarta","Quinta","Sexta","Sábado"))</f>
        <v/>
      </c>
    </row>
    <row r="396" customFormat="false" ht="15" hidden="false" customHeight="false" outlineLevel="0" collapsed="false">
      <c r="A396" s="0" t="str">
        <f aca="false">IF(AND(ISNUMBER(NATAL!$C96),NATAL!$D96="FOLGA"),"Folga Natal","")</f>
        <v/>
      </c>
      <c r="B396" s="0" t="str">
        <f aca="false">IF(AND(ISNUMBER(NATAL!$C96),NATAL!$D96="FOLGA"),NATAL!$A96&amp;"","")</f>
        <v/>
      </c>
      <c r="C396" s="0" t="str">
        <f aca="false">IF(AND(ISNUMBER(NATAL!$C96),NATAL!$D96="FOLGA"),NATAL!$B96&amp;"","")</f>
        <v/>
      </c>
      <c r="D396" s="78" t="str">
        <f aca="false">IF(AND(ISNUMBER(NATAL!$C96),NATAL!$D96="FOLGA"),NATAL!$C96,"")</f>
        <v/>
      </c>
      <c r="E396" s="0" t="str">
        <f aca="false">IF(AND(ISNUMBER(NATAL!$C96),NATAL!$D96="FOLGA"),NATAL!$E96&amp;"","")</f>
        <v/>
      </c>
      <c r="F396" s="0" t="str">
        <f aca="false">IF(AND(ISNUMBER(NATAL!$C96),NATAL!$D96="FOLGA"),NATAL!$F96&amp;"","")</f>
        <v/>
      </c>
      <c r="G396" s="0" t="str">
        <f aca="true">IF(D396="","",IF(D396=TODAY(),D396+ROW()/100000,""))</f>
        <v/>
      </c>
      <c r="H396" s="0" t="str">
        <f aca="true">IF(D396="","",IF(AND(D396&gt;TODAY(),D396&lt;=TODAY()+7),D396+ROW()/100000,""))</f>
        <v/>
      </c>
      <c r="I396" s="0" t="str">
        <f aca="false">IF(D396="","",IF(D396=CALENDÁRIO!$L$4,ROW(),""))</f>
        <v/>
      </c>
      <c r="J396" s="0" t="str">
        <f aca="false">IF(D396="","",CHOOSE(WEEKDAY(D396),"Domingo","Segunda","Terça","Quarta","Quinta","Sexta","Sábado"))</f>
        <v/>
      </c>
    </row>
    <row r="397" customFormat="false" ht="15" hidden="false" customHeight="false" outlineLevel="0" collapsed="false">
      <c r="A397" s="0" t="str">
        <f aca="false">IF(AND(ISNUMBER(NATAL!$C97),NATAL!$D97="FOLGA"),"Folga Natal","")</f>
        <v/>
      </c>
      <c r="B397" s="0" t="str">
        <f aca="false">IF(AND(ISNUMBER(NATAL!$C97),NATAL!$D97="FOLGA"),NATAL!$A97&amp;"","")</f>
        <v/>
      </c>
      <c r="C397" s="0" t="str">
        <f aca="false">IF(AND(ISNUMBER(NATAL!$C97),NATAL!$D97="FOLGA"),NATAL!$B97&amp;"","")</f>
        <v/>
      </c>
      <c r="D397" s="78" t="str">
        <f aca="false">IF(AND(ISNUMBER(NATAL!$C97),NATAL!$D97="FOLGA"),NATAL!$C97,"")</f>
        <v/>
      </c>
      <c r="E397" s="0" t="str">
        <f aca="false">IF(AND(ISNUMBER(NATAL!$C97),NATAL!$D97="FOLGA"),NATAL!$E97&amp;"","")</f>
        <v/>
      </c>
      <c r="F397" s="0" t="str">
        <f aca="false">IF(AND(ISNUMBER(NATAL!$C97),NATAL!$D97="FOLGA"),NATAL!$F97&amp;"","")</f>
        <v/>
      </c>
      <c r="G397" s="0" t="str">
        <f aca="true">IF(D397="","",IF(D397=TODAY(),D397+ROW()/100000,""))</f>
        <v/>
      </c>
      <c r="H397" s="0" t="str">
        <f aca="true">IF(D397="","",IF(AND(D397&gt;TODAY(),D397&lt;=TODAY()+7),D397+ROW()/100000,""))</f>
        <v/>
      </c>
      <c r="I397" s="0" t="str">
        <f aca="false">IF(D397="","",IF(D397=CALENDÁRIO!$L$4,ROW(),""))</f>
        <v/>
      </c>
      <c r="J397" s="0" t="str">
        <f aca="false">IF(D397="","",CHOOSE(WEEKDAY(D397),"Domingo","Segunda","Terça","Quarta","Quinta","Sexta","Sábado"))</f>
        <v/>
      </c>
    </row>
    <row r="398" customFormat="false" ht="15" hidden="false" customHeight="false" outlineLevel="0" collapsed="false">
      <c r="A398" s="0" t="str">
        <f aca="false">IF(AND(ISNUMBER(NATAL!$C98),NATAL!$D98="FOLGA"),"Folga Natal","")</f>
        <v/>
      </c>
      <c r="B398" s="0" t="str">
        <f aca="false">IF(AND(ISNUMBER(NATAL!$C98),NATAL!$D98="FOLGA"),NATAL!$A98&amp;"","")</f>
        <v/>
      </c>
      <c r="C398" s="0" t="str">
        <f aca="false">IF(AND(ISNUMBER(NATAL!$C98),NATAL!$D98="FOLGA"),NATAL!$B98&amp;"","")</f>
        <v/>
      </c>
      <c r="D398" s="78" t="str">
        <f aca="false">IF(AND(ISNUMBER(NATAL!$C98),NATAL!$D98="FOLGA"),NATAL!$C98,"")</f>
        <v/>
      </c>
      <c r="E398" s="0" t="str">
        <f aca="false">IF(AND(ISNUMBER(NATAL!$C98),NATAL!$D98="FOLGA"),NATAL!$E98&amp;"","")</f>
        <v/>
      </c>
      <c r="F398" s="0" t="str">
        <f aca="false">IF(AND(ISNUMBER(NATAL!$C98),NATAL!$D98="FOLGA"),NATAL!$F98&amp;"","")</f>
        <v/>
      </c>
      <c r="G398" s="0" t="str">
        <f aca="true">IF(D398="","",IF(D398=TODAY(),D398+ROW()/100000,""))</f>
        <v/>
      </c>
      <c r="H398" s="0" t="str">
        <f aca="true">IF(D398="","",IF(AND(D398&gt;TODAY(),D398&lt;=TODAY()+7),D398+ROW()/100000,""))</f>
        <v/>
      </c>
      <c r="I398" s="0" t="str">
        <f aca="false">IF(D398="","",IF(D398=CALENDÁRIO!$L$4,ROW(),""))</f>
        <v/>
      </c>
      <c r="J398" s="0" t="str">
        <f aca="false">IF(D398="","",CHOOSE(WEEKDAY(D398),"Domingo","Segunda","Terça","Quarta","Quinta","Sexta","Sábado"))</f>
        <v/>
      </c>
    </row>
    <row r="399" customFormat="false" ht="15" hidden="false" customHeight="false" outlineLevel="0" collapsed="false">
      <c r="A399" s="0" t="str">
        <f aca="false">IF(AND(ISNUMBER(NATAL!$C99),NATAL!$D99="FOLGA"),"Folga Natal","")</f>
        <v/>
      </c>
      <c r="B399" s="0" t="str">
        <f aca="false">IF(AND(ISNUMBER(NATAL!$C99),NATAL!$D99="FOLGA"),NATAL!$A99&amp;"","")</f>
        <v/>
      </c>
      <c r="C399" s="0" t="str">
        <f aca="false">IF(AND(ISNUMBER(NATAL!$C99),NATAL!$D99="FOLGA"),NATAL!$B99&amp;"","")</f>
        <v/>
      </c>
      <c r="D399" s="78" t="str">
        <f aca="false">IF(AND(ISNUMBER(NATAL!$C99),NATAL!$D99="FOLGA"),NATAL!$C99,"")</f>
        <v/>
      </c>
      <c r="E399" s="0" t="str">
        <f aca="false">IF(AND(ISNUMBER(NATAL!$C99),NATAL!$D99="FOLGA"),NATAL!$E99&amp;"","")</f>
        <v/>
      </c>
      <c r="F399" s="0" t="str">
        <f aca="false">IF(AND(ISNUMBER(NATAL!$C99),NATAL!$D99="FOLGA"),NATAL!$F99&amp;"","")</f>
        <v/>
      </c>
      <c r="G399" s="0" t="str">
        <f aca="true">IF(D399="","",IF(D399=TODAY(),D399+ROW()/100000,""))</f>
        <v/>
      </c>
      <c r="H399" s="0" t="str">
        <f aca="true">IF(D399="","",IF(AND(D399&gt;TODAY(),D399&lt;=TODAY()+7),D399+ROW()/100000,""))</f>
        <v/>
      </c>
      <c r="I399" s="0" t="str">
        <f aca="false">IF(D399="","",IF(D399=CALENDÁRIO!$L$4,ROW(),""))</f>
        <v/>
      </c>
      <c r="J399" s="0" t="str">
        <f aca="false">IF(D399="","",CHOOSE(WEEKDAY(D399),"Domingo","Segunda","Terça","Quarta","Quinta","Sexta","Sábado"))</f>
        <v/>
      </c>
    </row>
    <row r="400" customFormat="false" ht="15" hidden="false" customHeight="false" outlineLevel="0" collapsed="false">
      <c r="A400" s="0" t="str">
        <f aca="false">IF(AND(ISNUMBER(NATAL!$C100),NATAL!$D100="FOLGA"),"Folga Natal","")</f>
        <v/>
      </c>
      <c r="B400" s="0" t="str">
        <f aca="false">IF(AND(ISNUMBER(NATAL!$C100),NATAL!$D100="FOLGA"),NATAL!$A100&amp;"","")</f>
        <v/>
      </c>
      <c r="C400" s="0" t="str">
        <f aca="false">IF(AND(ISNUMBER(NATAL!$C100),NATAL!$D100="FOLGA"),NATAL!$B100&amp;"","")</f>
        <v/>
      </c>
      <c r="D400" s="78" t="str">
        <f aca="false">IF(AND(ISNUMBER(NATAL!$C100),NATAL!$D100="FOLGA"),NATAL!$C100,"")</f>
        <v/>
      </c>
      <c r="E400" s="0" t="str">
        <f aca="false">IF(AND(ISNUMBER(NATAL!$C100),NATAL!$D100="FOLGA"),NATAL!$E100&amp;"","")</f>
        <v/>
      </c>
      <c r="F400" s="0" t="str">
        <f aca="false">IF(AND(ISNUMBER(NATAL!$C100),NATAL!$D100="FOLGA"),NATAL!$F100&amp;"","")</f>
        <v/>
      </c>
      <c r="G400" s="0" t="str">
        <f aca="true">IF(D400="","",IF(D400=TODAY(),D400+ROW()/100000,""))</f>
        <v/>
      </c>
      <c r="H400" s="0" t="str">
        <f aca="true">IF(D400="","",IF(AND(D400&gt;TODAY(),D400&lt;=TODAY()+7),D400+ROW()/100000,""))</f>
        <v/>
      </c>
      <c r="I400" s="0" t="str">
        <f aca="false">IF(D400="","",IF(D400=CALENDÁRIO!$L$4,ROW(),""))</f>
        <v/>
      </c>
      <c r="J400" s="0" t="str">
        <f aca="false">IF(D400="","",CHOOSE(WEEKDAY(D400),"Domingo","Segunda","Terça","Quarta","Quinta","Sexta","Sábado"))</f>
        <v/>
      </c>
    </row>
    <row r="401" customFormat="false" ht="15" hidden="false" customHeight="false" outlineLevel="0" collapsed="false">
      <c r="A401" s="0" t="str">
        <f aca="false">IF(AND(ISNUMBER(NATAL!$C101),NATAL!$D101="FOLGA"),"Folga Natal","")</f>
        <v/>
      </c>
      <c r="B401" s="0" t="str">
        <f aca="false">IF(AND(ISNUMBER(NATAL!$C101),NATAL!$D101="FOLGA"),NATAL!$A101&amp;"","")</f>
        <v/>
      </c>
      <c r="C401" s="0" t="str">
        <f aca="false">IF(AND(ISNUMBER(NATAL!$C101),NATAL!$D101="FOLGA"),NATAL!$B101&amp;"","")</f>
        <v/>
      </c>
      <c r="D401" s="78" t="str">
        <f aca="false">IF(AND(ISNUMBER(NATAL!$C101),NATAL!$D101="FOLGA"),NATAL!$C101,"")</f>
        <v/>
      </c>
      <c r="E401" s="0" t="str">
        <f aca="false">IF(AND(ISNUMBER(NATAL!$C101),NATAL!$D101="FOLGA"),NATAL!$E101&amp;"","")</f>
        <v/>
      </c>
      <c r="F401" s="0" t="str">
        <f aca="false">IF(AND(ISNUMBER(NATAL!$C101),NATAL!$D101="FOLGA"),NATAL!$F101&amp;"","")</f>
        <v/>
      </c>
      <c r="G401" s="0" t="str">
        <f aca="true">IF(D401="","",IF(D401=TODAY(),D401+ROW()/100000,""))</f>
        <v/>
      </c>
      <c r="H401" s="0" t="str">
        <f aca="true">IF(D401="","",IF(AND(D401&gt;TODAY(),D401&lt;=TODAY()+7),D401+ROW()/100000,""))</f>
        <v/>
      </c>
      <c r="I401" s="0" t="str">
        <f aca="false">IF(D401="","",IF(D401=CALENDÁRIO!$L$4,ROW(),""))</f>
        <v/>
      </c>
      <c r="J401" s="0" t="str">
        <f aca="false">IF(D401="","",CHOOSE(WEEKDAY(D401),"Domingo","Segunda","Terça","Quarta","Quinta","Sexta","Sábado"))</f>
        <v/>
      </c>
    </row>
    <row r="402" customFormat="false" ht="15" hidden="false" customHeight="false" outlineLevel="0" collapsed="false">
      <c r="A402" s="0" t="str">
        <f aca="false">IF(AND(ISNUMBER(NATAL!$C102),NATAL!$D102="FOLGA"),"Folga Natal","")</f>
        <v/>
      </c>
      <c r="B402" s="0" t="str">
        <f aca="false">IF(AND(ISNUMBER(NATAL!$C102),NATAL!$D102="FOLGA"),NATAL!$A102&amp;"","")</f>
        <v/>
      </c>
      <c r="C402" s="0" t="str">
        <f aca="false">IF(AND(ISNUMBER(NATAL!$C102),NATAL!$D102="FOLGA"),NATAL!$B102&amp;"","")</f>
        <v/>
      </c>
      <c r="D402" s="78" t="str">
        <f aca="false">IF(AND(ISNUMBER(NATAL!$C102),NATAL!$D102="FOLGA"),NATAL!$C102,"")</f>
        <v/>
      </c>
      <c r="E402" s="0" t="str">
        <f aca="false">IF(AND(ISNUMBER(NATAL!$C102),NATAL!$D102="FOLGA"),NATAL!$E102&amp;"","")</f>
        <v/>
      </c>
      <c r="F402" s="0" t="str">
        <f aca="false">IF(AND(ISNUMBER(NATAL!$C102),NATAL!$D102="FOLGA"),NATAL!$F102&amp;"","")</f>
        <v/>
      </c>
      <c r="G402" s="0" t="str">
        <f aca="true">IF(D402="","",IF(D402=TODAY(),D402+ROW()/100000,""))</f>
        <v/>
      </c>
      <c r="H402" s="0" t="str">
        <f aca="true">IF(D402="","",IF(AND(D402&gt;TODAY(),D402&lt;=TODAY()+7),D402+ROW()/100000,""))</f>
        <v/>
      </c>
      <c r="I402" s="0" t="str">
        <f aca="false">IF(D402="","",IF(D402=CALENDÁRIO!$L$4,ROW(),""))</f>
        <v/>
      </c>
      <c r="J402" s="0" t="str">
        <f aca="false">IF(D402="","",CHOOSE(WEEKDAY(D402),"Domingo","Segunda","Terça","Quarta","Quinta","Sexta","Sábado"))</f>
        <v/>
      </c>
    </row>
    <row r="403" customFormat="false" ht="15" hidden="false" customHeight="false" outlineLevel="0" collapsed="false">
      <c r="A403" s="0" t="str">
        <f aca="false">IF(AND(ISNUMBER(NATAL!$C103),NATAL!$D103="FOLGA"),"Folga Natal","")</f>
        <v/>
      </c>
      <c r="B403" s="0" t="str">
        <f aca="false">IF(AND(ISNUMBER(NATAL!$C103),NATAL!$D103="FOLGA"),NATAL!$A103&amp;"","")</f>
        <v/>
      </c>
      <c r="C403" s="0" t="str">
        <f aca="false">IF(AND(ISNUMBER(NATAL!$C103),NATAL!$D103="FOLGA"),NATAL!$B103&amp;"","")</f>
        <v/>
      </c>
      <c r="D403" s="78" t="str">
        <f aca="false">IF(AND(ISNUMBER(NATAL!$C103),NATAL!$D103="FOLGA"),NATAL!$C103,"")</f>
        <v/>
      </c>
      <c r="E403" s="0" t="str">
        <f aca="false">IF(AND(ISNUMBER(NATAL!$C103),NATAL!$D103="FOLGA"),NATAL!$E103&amp;"","")</f>
        <v/>
      </c>
      <c r="F403" s="0" t="str">
        <f aca="false">IF(AND(ISNUMBER(NATAL!$C103),NATAL!$D103="FOLGA"),NATAL!$F103&amp;"","")</f>
        <v/>
      </c>
      <c r="G403" s="0" t="str">
        <f aca="true">IF(D403="","",IF(D403=TODAY(),D403+ROW()/100000,""))</f>
        <v/>
      </c>
      <c r="H403" s="0" t="str">
        <f aca="true">IF(D403="","",IF(AND(D403&gt;TODAY(),D403&lt;=TODAY()+7),D403+ROW()/100000,""))</f>
        <v/>
      </c>
      <c r="I403" s="0" t="str">
        <f aca="false">IF(D403="","",IF(D403=CALENDÁRIO!$L$4,ROW(),""))</f>
        <v/>
      </c>
      <c r="J403" s="0" t="str">
        <f aca="false">IF(D403="","",CHOOSE(WEEKDAY(D403),"Domingo","Segunda","Terça","Quarta","Quinta","Sexta","Sábado"))</f>
        <v/>
      </c>
    </row>
    <row r="404" customFormat="false" ht="15" hidden="false" customHeight="false" outlineLevel="0" collapsed="false">
      <c r="A404" s="0" t="str">
        <f aca="false">IF(AND(ISNUMBER(NATAL!$C104),NATAL!$D104="FOLGA"),"Folga Natal","")</f>
        <v/>
      </c>
      <c r="B404" s="0" t="str">
        <f aca="false">IF(AND(ISNUMBER(NATAL!$C104),NATAL!$D104="FOLGA"),NATAL!$A104&amp;"","")</f>
        <v/>
      </c>
      <c r="C404" s="0" t="str">
        <f aca="false">IF(AND(ISNUMBER(NATAL!$C104),NATAL!$D104="FOLGA"),NATAL!$B104&amp;"","")</f>
        <v/>
      </c>
      <c r="D404" s="78" t="str">
        <f aca="false">IF(AND(ISNUMBER(NATAL!$C104),NATAL!$D104="FOLGA"),NATAL!$C104,"")</f>
        <v/>
      </c>
      <c r="E404" s="0" t="str">
        <f aca="false">IF(AND(ISNUMBER(NATAL!$C104),NATAL!$D104="FOLGA"),NATAL!$E104&amp;"","")</f>
        <v/>
      </c>
      <c r="F404" s="0" t="str">
        <f aca="false">IF(AND(ISNUMBER(NATAL!$C104),NATAL!$D104="FOLGA"),NATAL!$F104&amp;"","")</f>
        <v/>
      </c>
      <c r="G404" s="0" t="str">
        <f aca="true">IF(D404="","",IF(D404=TODAY(),D404+ROW()/100000,""))</f>
        <v/>
      </c>
      <c r="H404" s="0" t="str">
        <f aca="true">IF(D404="","",IF(AND(D404&gt;TODAY(),D404&lt;=TODAY()+7),D404+ROW()/100000,""))</f>
        <v/>
      </c>
      <c r="I404" s="0" t="str">
        <f aca="false">IF(D404="","",IF(D404=CALENDÁRIO!$L$4,ROW(),""))</f>
        <v/>
      </c>
      <c r="J404" s="0" t="str">
        <f aca="false">IF(D404="","",CHOOSE(WEEKDAY(D404),"Domingo","Segunda","Terça","Quarta","Quinta","Sexta","Sábado"))</f>
        <v/>
      </c>
    </row>
    <row r="405" customFormat="false" ht="15" hidden="false" customHeight="false" outlineLevel="0" collapsed="false">
      <c r="A405" s="0" t="str">
        <f aca="false">IF(AND(ISNUMBER(NATAL!$C105),NATAL!$D105="FOLGA"),"Folga Natal","")</f>
        <v/>
      </c>
      <c r="B405" s="0" t="str">
        <f aca="false">IF(AND(ISNUMBER(NATAL!$C105),NATAL!$D105="FOLGA"),NATAL!$A105&amp;"","")</f>
        <v/>
      </c>
      <c r="C405" s="0" t="str">
        <f aca="false">IF(AND(ISNUMBER(NATAL!$C105),NATAL!$D105="FOLGA"),NATAL!$B105&amp;"","")</f>
        <v/>
      </c>
      <c r="D405" s="78" t="str">
        <f aca="false">IF(AND(ISNUMBER(NATAL!$C105),NATAL!$D105="FOLGA"),NATAL!$C105,"")</f>
        <v/>
      </c>
      <c r="E405" s="0" t="str">
        <f aca="false">IF(AND(ISNUMBER(NATAL!$C105),NATAL!$D105="FOLGA"),NATAL!$E105&amp;"","")</f>
        <v/>
      </c>
      <c r="F405" s="0" t="str">
        <f aca="false">IF(AND(ISNUMBER(NATAL!$C105),NATAL!$D105="FOLGA"),NATAL!$F105&amp;"","")</f>
        <v/>
      </c>
      <c r="G405" s="0" t="str">
        <f aca="true">IF(D405="","",IF(D405=TODAY(),D405+ROW()/100000,""))</f>
        <v/>
      </c>
      <c r="H405" s="0" t="str">
        <f aca="true">IF(D405="","",IF(AND(D405&gt;TODAY(),D405&lt;=TODAY()+7),D405+ROW()/100000,""))</f>
        <v/>
      </c>
      <c r="I405" s="0" t="str">
        <f aca="false">IF(D405="","",IF(D405=CALENDÁRIO!$L$4,ROW(),""))</f>
        <v/>
      </c>
      <c r="J405" s="0" t="str">
        <f aca="false">IF(D405="","",CHOOSE(WEEKDAY(D405),"Domingo","Segunda","Terça","Quarta","Quinta","Sexta","Sábado"))</f>
        <v/>
      </c>
    </row>
    <row r="406" customFormat="false" ht="15" hidden="false" customHeight="false" outlineLevel="0" collapsed="false">
      <c r="A406" s="0" t="str">
        <f aca="false">IF(AND(ISNUMBER(NATAL!$C106),NATAL!$D106="FOLGA"),"Folga Natal","")</f>
        <v/>
      </c>
      <c r="B406" s="0" t="str">
        <f aca="false">IF(AND(ISNUMBER(NATAL!$C106),NATAL!$D106="FOLGA"),NATAL!$A106&amp;"","")</f>
        <v/>
      </c>
      <c r="C406" s="0" t="str">
        <f aca="false">IF(AND(ISNUMBER(NATAL!$C106),NATAL!$D106="FOLGA"),NATAL!$B106&amp;"","")</f>
        <v/>
      </c>
      <c r="D406" s="78" t="str">
        <f aca="false">IF(AND(ISNUMBER(NATAL!$C106),NATAL!$D106="FOLGA"),NATAL!$C106,"")</f>
        <v/>
      </c>
      <c r="E406" s="0" t="str">
        <f aca="false">IF(AND(ISNUMBER(NATAL!$C106),NATAL!$D106="FOLGA"),NATAL!$E106&amp;"","")</f>
        <v/>
      </c>
      <c r="F406" s="0" t="str">
        <f aca="false">IF(AND(ISNUMBER(NATAL!$C106),NATAL!$D106="FOLGA"),NATAL!$F106&amp;"","")</f>
        <v/>
      </c>
      <c r="G406" s="0" t="str">
        <f aca="true">IF(D406="","",IF(D406=TODAY(),D406+ROW()/100000,""))</f>
        <v/>
      </c>
      <c r="H406" s="0" t="str">
        <f aca="true">IF(D406="","",IF(AND(D406&gt;TODAY(),D406&lt;=TODAY()+7),D406+ROW()/100000,""))</f>
        <v/>
      </c>
      <c r="I406" s="0" t="str">
        <f aca="false">IF(D406="","",IF(D406=CALENDÁRIO!$L$4,ROW(),""))</f>
        <v/>
      </c>
      <c r="J406" s="0" t="str">
        <f aca="false">IF(D406="","",CHOOSE(WEEKDAY(D406),"Domingo","Segunda","Terça","Quarta","Quinta","Sexta","Sábado"))</f>
        <v/>
      </c>
    </row>
    <row r="407" customFormat="false" ht="15" hidden="false" customHeight="false" outlineLevel="0" collapsed="false">
      <c r="A407" s="0" t="str">
        <f aca="false">IF(AND(ISNUMBER(NATAL!$C107),NATAL!$D107="FOLGA"),"Folga Natal","")</f>
        <v/>
      </c>
      <c r="B407" s="0" t="str">
        <f aca="false">IF(AND(ISNUMBER(NATAL!$C107),NATAL!$D107="FOLGA"),NATAL!$A107&amp;"","")</f>
        <v/>
      </c>
      <c r="C407" s="0" t="str">
        <f aca="false">IF(AND(ISNUMBER(NATAL!$C107),NATAL!$D107="FOLGA"),NATAL!$B107&amp;"","")</f>
        <v/>
      </c>
      <c r="D407" s="78" t="str">
        <f aca="false">IF(AND(ISNUMBER(NATAL!$C107),NATAL!$D107="FOLGA"),NATAL!$C107,"")</f>
        <v/>
      </c>
      <c r="E407" s="0" t="str">
        <f aca="false">IF(AND(ISNUMBER(NATAL!$C107),NATAL!$D107="FOLGA"),NATAL!$E107&amp;"","")</f>
        <v/>
      </c>
      <c r="F407" s="0" t="str">
        <f aca="false">IF(AND(ISNUMBER(NATAL!$C107),NATAL!$D107="FOLGA"),NATAL!$F107&amp;"","")</f>
        <v/>
      </c>
      <c r="G407" s="0" t="str">
        <f aca="true">IF(D407="","",IF(D407=TODAY(),D407+ROW()/100000,""))</f>
        <v/>
      </c>
      <c r="H407" s="0" t="str">
        <f aca="true">IF(D407="","",IF(AND(D407&gt;TODAY(),D407&lt;=TODAY()+7),D407+ROW()/100000,""))</f>
        <v/>
      </c>
      <c r="I407" s="0" t="str">
        <f aca="false">IF(D407="","",IF(D407=CALENDÁRIO!$L$4,ROW(),""))</f>
        <v/>
      </c>
      <c r="J407" s="0" t="str">
        <f aca="false">IF(D407="","",CHOOSE(WEEKDAY(D407),"Domingo","Segunda","Terça","Quarta","Quinta","Sexta","Sábado"))</f>
        <v/>
      </c>
    </row>
    <row r="408" customFormat="false" ht="15" hidden="false" customHeight="false" outlineLevel="0" collapsed="false">
      <c r="A408" s="0" t="str">
        <f aca="false">IF(AND(ISNUMBER(NATAL!$C108),NATAL!$D108="FOLGA"),"Folga Natal","")</f>
        <v/>
      </c>
      <c r="B408" s="0" t="str">
        <f aca="false">IF(AND(ISNUMBER(NATAL!$C108),NATAL!$D108="FOLGA"),NATAL!$A108&amp;"","")</f>
        <v/>
      </c>
      <c r="C408" s="0" t="str">
        <f aca="false">IF(AND(ISNUMBER(NATAL!$C108),NATAL!$D108="FOLGA"),NATAL!$B108&amp;"","")</f>
        <v/>
      </c>
      <c r="D408" s="78" t="str">
        <f aca="false">IF(AND(ISNUMBER(NATAL!$C108),NATAL!$D108="FOLGA"),NATAL!$C108,"")</f>
        <v/>
      </c>
      <c r="E408" s="0" t="str">
        <f aca="false">IF(AND(ISNUMBER(NATAL!$C108),NATAL!$D108="FOLGA"),NATAL!$E108&amp;"","")</f>
        <v/>
      </c>
      <c r="F408" s="0" t="str">
        <f aca="false">IF(AND(ISNUMBER(NATAL!$C108),NATAL!$D108="FOLGA"),NATAL!$F108&amp;"","")</f>
        <v/>
      </c>
      <c r="G408" s="0" t="str">
        <f aca="true">IF(D408="","",IF(D408=TODAY(),D408+ROW()/100000,""))</f>
        <v/>
      </c>
      <c r="H408" s="0" t="str">
        <f aca="true">IF(D408="","",IF(AND(D408&gt;TODAY(),D408&lt;=TODAY()+7),D408+ROW()/100000,""))</f>
        <v/>
      </c>
      <c r="I408" s="0" t="str">
        <f aca="false">IF(D408="","",IF(D408=CALENDÁRIO!$L$4,ROW(),""))</f>
        <v/>
      </c>
      <c r="J408" s="0" t="str">
        <f aca="false">IF(D408="","",CHOOSE(WEEKDAY(D408),"Domingo","Segunda","Terça","Quarta","Quinta","Sexta","Sábado"))</f>
        <v/>
      </c>
    </row>
    <row r="409" customFormat="false" ht="15" hidden="false" customHeight="false" outlineLevel="0" collapsed="false">
      <c r="A409" s="0" t="str">
        <f aca="false">IF(AND(ISNUMBER(NATAL!$C109),NATAL!$D109="FOLGA"),"Folga Natal","")</f>
        <v/>
      </c>
      <c r="B409" s="0" t="str">
        <f aca="false">IF(AND(ISNUMBER(NATAL!$C109),NATAL!$D109="FOLGA"),NATAL!$A109&amp;"","")</f>
        <v/>
      </c>
      <c r="C409" s="0" t="str">
        <f aca="false">IF(AND(ISNUMBER(NATAL!$C109),NATAL!$D109="FOLGA"),NATAL!$B109&amp;"","")</f>
        <v/>
      </c>
      <c r="D409" s="78" t="str">
        <f aca="false">IF(AND(ISNUMBER(NATAL!$C109),NATAL!$D109="FOLGA"),NATAL!$C109,"")</f>
        <v/>
      </c>
      <c r="E409" s="0" t="str">
        <f aca="false">IF(AND(ISNUMBER(NATAL!$C109),NATAL!$D109="FOLGA"),NATAL!$E109&amp;"","")</f>
        <v/>
      </c>
      <c r="F409" s="0" t="str">
        <f aca="false">IF(AND(ISNUMBER(NATAL!$C109),NATAL!$D109="FOLGA"),NATAL!$F109&amp;"","")</f>
        <v/>
      </c>
      <c r="G409" s="0" t="str">
        <f aca="true">IF(D409="","",IF(D409=TODAY(),D409+ROW()/100000,""))</f>
        <v/>
      </c>
      <c r="H409" s="0" t="str">
        <f aca="true">IF(D409="","",IF(AND(D409&gt;TODAY(),D409&lt;=TODAY()+7),D409+ROW()/100000,""))</f>
        <v/>
      </c>
      <c r="I409" s="0" t="str">
        <f aca="false">IF(D409="","",IF(D409=CALENDÁRIO!$L$4,ROW(),""))</f>
        <v/>
      </c>
      <c r="J409" s="0" t="str">
        <f aca="false">IF(D409="","",CHOOSE(WEEKDAY(D409),"Domingo","Segunda","Terça","Quarta","Quinta","Sexta","Sábado"))</f>
        <v/>
      </c>
    </row>
    <row r="410" customFormat="false" ht="15" hidden="false" customHeight="false" outlineLevel="0" collapsed="false">
      <c r="A410" s="0" t="str">
        <f aca="false">IF(AND(ISNUMBER(NATAL!$C110),NATAL!$D110="FOLGA"),"Folga Natal","")</f>
        <v/>
      </c>
      <c r="B410" s="0" t="str">
        <f aca="false">IF(AND(ISNUMBER(NATAL!$C110),NATAL!$D110="FOLGA"),NATAL!$A110&amp;"","")</f>
        <v/>
      </c>
      <c r="C410" s="0" t="str">
        <f aca="false">IF(AND(ISNUMBER(NATAL!$C110),NATAL!$D110="FOLGA"),NATAL!$B110&amp;"","")</f>
        <v/>
      </c>
      <c r="D410" s="78" t="str">
        <f aca="false">IF(AND(ISNUMBER(NATAL!$C110),NATAL!$D110="FOLGA"),NATAL!$C110,"")</f>
        <v/>
      </c>
      <c r="E410" s="0" t="str">
        <f aca="false">IF(AND(ISNUMBER(NATAL!$C110),NATAL!$D110="FOLGA"),NATAL!$E110&amp;"","")</f>
        <v/>
      </c>
      <c r="F410" s="0" t="str">
        <f aca="false">IF(AND(ISNUMBER(NATAL!$C110),NATAL!$D110="FOLGA"),NATAL!$F110&amp;"","")</f>
        <v/>
      </c>
      <c r="G410" s="0" t="str">
        <f aca="true">IF(D410="","",IF(D410=TODAY(),D410+ROW()/100000,""))</f>
        <v/>
      </c>
      <c r="H410" s="0" t="str">
        <f aca="true">IF(D410="","",IF(AND(D410&gt;TODAY(),D410&lt;=TODAY()+7),D410+ROW()/100000,""))</f>
        <v/>
      </c>
      <c r="I410" s="0" t="str">
        <f aca="false">IF(D410="","",IF(D410=CALENDÁRIO!$L$4,ROW(),""))</f>
        <v/>
      </c>
      <c r="J410" s="0" t="str">
        <f aca="false">IF(D410="","",CHOOSE(WEEKDAY(D410),"Domingo","Segunda","Terça","Quarta","Quinta","Sexta","Sábado"))</f>
        <v/>
      </c>
    </row>
    <row r="411" customFormat="false" ht="15" hidden="false" customHeight="false" outlineLevel="0" collapsed="false">
      <c r="A411" s="0" t="str">
        <f aca="false">IF(AND(ISNUMBER(NATAL!$C111),NATAL!$D111="FOLGA"),"Folga Natal","")</f>
        <v/>
      </c>
      <c r="B411" s="0" t="str">
        <f aca="false">IF(AND(ISNUMBER(NATAL!$C111),NATAL!$D111="FOLGA"),NATAL!$A111&amp;"","")</f>
        <v/>
      </c>
      <c r="C411" s="0" t="str">
        <f aca="false">IF(AND(ISNUMBER(NATAL!$C111),NATAL!$D111="FOLGA"),NATAL!$B111&amp;"","")</f>
        <v/>
      </c>
      <c r="D411" s="78" t="str">
        <f aca="false">IF(AND(ISNUMBER(NATAL!$C111),NATAL!$D111="FOLGA"),NATAL!$C111,"")</f>
        <v/>
      </c>
      <c r="E411" s="0" t="str">
        <f aca="false">IF(AND(ISNUMBER(NATAL!$C111),NATAL!$D111="FOLGA"),NATAL!$E111&amp;"","")</f>
        <v/>
      </c>
      <c r="F411" s="0" t="str">
        <f aca="false">IF(AND(ISNUMBER(NATAL!$C111),NATAL!$D111="FOLGA"),NATAL!$F111&amp;"","")</f>
        <v/>
      </c>
      <c r="G411" s="0" t="str">
        <f aca="true">IF(D411="","",IF(D411=TODAY(),D411+ROW()/100000,""))</f>
        <v/>
      </c>
      <c r="H411" s="0" t="str">
        <f aca="true">IF(D411="","",IF(AND(D411&gt;TODAY(),D411&lt;=TODAY()+7),D411+ROW()/100000,""))</f>
        <v/>
      </c>
      <c r="I411" s="0" t="str">
        <f aca="false">IF(D411="","",IF(D411=CALENDÁRIO!$L$4,ROW(),""))</f>
        <v/>
      </c>
      <c r="J411" s="0" t="str">
        <f aca="false">IF(D411="","",CHOOSE(WEEKDAY(D411),"Domingo","Segunda","Terça","Quarta","Quinta","Sexta","Sábado"))</f>
        <v/>
      </c>
    </row>
    <row r="412" customFormat="false" ht="15" hidden="false" customHeight="false" outlineLevel="0" collapsed="false">
      <c r="A412" s="0" t="str">
        <f aca="false">IF(AND(ISNUMBER(NATAL!$C112),NATAL!$D112="FOLGA"),"Folga Natal","")</f>
        <v/>
      </c>
      <c r="B412" s="0" t="str">
        <f aca="false">IF(AND(ISNUMBER(NATAL!$C112),NATAL!$D112="FOLGA"),NATAL!$A112&amp;"","")</f>
        <v/>
      </c>
      <c r="C412" s="0" t="str">
        <f aca="false">IF(AND(ISNUMBER(NATAL!$C112),NATAL!$D112="FOLGA"),NATAL!$B112&amp;"","")</f>
        <v/>
      </c>
      <c r="D412" s="78" t="str">
        <f aca="false">IF(AND(ISNUMBER(NATAL!$C112),NATAL!$D112="FOLGA"),NATAL!$C112,"")</f>
        <v/>
      </c>
      <c r="E412" s="0" t="str">
        <f aca="false">IF(AND(ISNUMBER(NATAL!$C112),NATAL!$D112="FOLGA"),NATAL!$E112&amp;"","")</f>
        <v/>
      </c>
      <c r="F412" s="0" t="str">
        <f aca="false">IF(AND(ISNUMBER(NATAL!$C112),NATAL!$D112="FOLGA"),NATAL!$F112&amp;"","")</f>
        <v/>
      </c>
      <c r="G412" s="0" t="str">
        <f aca="true">IF(D412="","",IF(D412=TODAY(),D412+ROW()/100000,""))</f>
        <v/>
      </c>
      <c r="H412" s="0" t="str">
        <f aca="true">IF(D412="","",IF(AND(D412&gt;TODAY(),D412&lt;=TODAY()+7),D412+ROW()/100000,""))</f>
        <v/>
      </c>
      <c r="I412" s="0" t="str">
        <f aca="false">IF(D412="","",IF(D412=CALENDÁRIO!$L$4,ROW(),""))</f>
        <v/>
      </c>
      <c r="J412" s="0" t="str">
        <f aca="false">IF(D412="","",CHOOSE(WEEKDAY(D412),"Domingo","Segunda","Terça","Quarta","Quinta","Sexta","Sábado"))</f>
        <v/>
      </c>
    </row>
    <row r="413" customFormat="false" ht="15" hidden="false" customHeight="false" outlineLevel="0" collapsed="false">
      <c r="A413" s="0" t="str">
        <f aca="false">IF(AND(ISNUMBER(NATAL!$C113),NATAL!$D113="FOLGA"),"Folga Natal","")</f>
        <v/>
      </c>
      <c r="B413" s="0" t="str">
        <f aca="false">IF(AND(ISNUMBER(NATAL!$C113),NATAL!$D113="FOLGA"),NATAL!$A113&amp;"","")</f>
        <v/>
      </c>
      <c r="C413" s="0" t="str">
        <f aca="false">IF(AND(ISNUMBER(NATAL!$C113),NATAL!$D113="FOLGA"),NATAL!$B113&amp;"","")</f>
        <v/>
      </c>
      <c r="D413" s="78" t="str">
        <f aca="false">IF(AND(ISNUMBER(NATAL!$C113),NATAL!$D113="FOLGA"),NATAL!$C113,"")</f>
        <v/>
      </c>
      <c r="E413" s="0" t="str">
        <f aca="false">IF(AND(ISNUMBER(NATAL!$C113),NATAL!$D113="FOLGA"),NATAL!$E113&amp;"","")</f>
        <v/>
      </c>
      <c r="F413" s="0" t="str">
        <f aca="false">IF(AND(ISNUMBER(NATAL!$C113),NATAL!$D113="FOLGA"),NATAL!$F113&amp;"","")</f>
        <v/>
      </c>
      <c r="G413" s="0" t="str">
        <f aca="true">IF(D413="","",IF(D413=TODAY(),D413+ROW()/100000,""))</f>
        <v/>
      </c>
      <c r="H413" s="0" t="str">
        <f aca="true">IF(D413="","",IF(AND(D413&gt;TODAY(),D413&lt;=TODAY()+7),D413+ROW()/100000,""))</f>
        <v/>
      </c>
      <c r="I413" s="0" t="str">
        <f aca="false">IF(D413="","",IF(D413=CALENDÁRIO!$L$4,ROW(),""))</f>
        <v/>
      </c>
      <c r="J413" s="0" t="str">
        <f aca="false">IF(D413="","",CHOOSE(WEEKDAY(D413),"Domingo","Segunda","Terça","Quarta","Quinta","Sexta","Sábado"))</f>
        <v/>
      </c>
    </row>
    <row r="414" customFormat="false" ht="15" hidden="false" customHeight="false" outlineLevel="0" collapsed="false">
      <c r="A414" s="0" t="str">
        <f aca="false">IF(AND(ISNUMBER(NATAL!$C114),NATAL!$D114="FOLGA"),"Folga Natal","")</f>
        <v/>
      </c>
      <c r="B414" s="0" t="str">
        <f aca="false">IF(AND(ISNUMBER(NATAL!$C114),NATAL!$D114="FOLGA"),NATAL!$A114&amp;"","")</f>
        <v/>
      </c>
      <c r="C414" s="0" t="str">
        <f aca="false">IF(AND(ISNUMBER(NATAL!$C114),NATAL!$D114="FOLGA"),NATAL!$B114&amp;"","")</f>
        <v/>
      </c>
      <c r="D414" s="78" t="str">
        <f aca="false">IF(AND(ISNUMBER(NATAL!$C114),NATAL!$D114="FOLGA"),NATAL!$C114,"")</f>
        <v/>
      </c>
      <c r="E414" s="0" t="str">
        <f aca="false">IF(AND(ISNUMBER(NATAL!$C114),NATAL!$D114="FOLGA"),NATAL!$E114&amp;"","")</f>
        <v/>
      </c>
      <c r="F414" s="0" t="str">
        <f aca="false">IF(AND(ISNUMBER(NATAL!$C114),NATAL!$D114="FOLGA"),NATAL!$F114&amp;"","")</f>
        <v/>
      </c>
      <c r="G414" s="0" t="str">
        <f aca="true">IF(D414="","",IF(D414=TODAY(),D414+ROW()/100000,""))</f>
        <v/>
      </c>
      <c r="H414" s="0" t="str">
        <f aca="true">IF(D414="","",IF(AND(D414&gt;TODAY(),D414&lt;=TODAY()+7),D414+ROW()/100000,""))</f>
        <v/>
      </c>
      <c r="I414" s="0" t="str">
        <f aca="false">IF(D414="","",IF(D414=CALENDÁRIO!$L$4,ROW(),""))</f>
        <v/>
      </c>
      <c r="J414" s="0" t="str">
        <f aca="false">IF(D414="","",CHOOSE(WEEKDAY(D414),"Domingo","Segunda","Terça","Quarta","Quinta","Sexta","Sábado"))</f>
        <v/>
      </c>
    </row>
    <row r="415" customFormat="false" ht="15" hidden="false" customHeight="false" outlineLevel="0" collapsed="false">
      <c r="A415" s="0" t="str">
        <f aca="false">IF(AND(ISNUMBER(NATAL!$C115),NATAL!$D115="FOLGA"),"Folga Natal","")</f>
        <v/>
      </c>
      <c r="B415" s="0" t="str">
        <f aca="false">IF(AND(ISNUMBER(NATAL!$C115),NATAL!$D115="FOLGA"),NATAL!$A115&amp;"","")</f>
        <v/>
      </c>
      <c r="C415" s="0" t="str">
        <f aca="false">IF(AND(ISNUMBER(NATAL!$C115),NATAL!$D115="FOLGA"),NATAL!$B115&amp;"","")</f>
        <v/>
      </c>
      <c r="D415" s="78" t="str">
        <f aca="false">IF(AND(ISNUMBER(NATAL!$C115),NATAL!$D115="FOLGA"),NATAL!$C115,"")</f>
        <v/>
      </c>
      <c r="E415" s="0" t="str">
        <f aca="false">IF(AND(ISNUMBER(NATAL!$C115),NATAL!$D115="FOLGA"),NATAL!$E115&amp;"","")</f>
        <v/>
      </c>
      <c r="F415" s="0" t="str">
        <f aca="false">IF(AND(ISNUMBER(NATAL!$C115),NATAL!$D115="FOLGA"),NATAL!$F115&amp;"","")</f>
        <v/>
      </c>
      <c r="G415" s="0" t="str">
        <f aca="true">IF(D415="","",IF(D415=TODAY(),D415+ROW()/100000,""))</f>
        <v/>
      </c>
      <c r="H415" s="0" t="str">
        <f aca="true">IF(D415="","",IF(AND(D415&gt;TODAY(),D415&lt;=TODAY()+7),D415+ROW()/100000,""))</f>
        <v/>
      </c>
      <c r="I415" s="0" t="str">
        <f aca="false">IF(D415="","",IF(D415=CALENDÁRIO!$L$4,ROW(),""))</f>
        <v/>
      </c>
      <c r="J415" s="0" t="str">
        <f aca="false">IF(D415="","",CHOOSE(WEEKDAY(D415),"Domingo","Segunda","Terça","Quarta","Quinta","Sexta","Sábado"))</f>
        <v/>
      </c>
    </row>
    <row r="416" customFormat="false" ht="15" hidden="false" customHeight="false" outlineLevel="0" collapsed="false">
      <c r="A416" s="0" t="str">
        <f aca="false">IF(AND(ISNUMBER(NATAL!$C116),NATAL!$D116="FOLGA"),"Folga Natal","")</f>
        <v/>
      </c>
      <c r="B416" s="0" t="str">
        <f aca="false">IF(AND(ISNUMBER(NATAL!$C116),NATAL!$D116="FOLGA"),NATAL!$A116&amp;"","")</f>
        <v/>
      </c>
      <c r="C416" s="0" t="str">
        <f aca="false">IF(AND(ISNUMBER(NATAL!$C116),NATAL!$D116="FOLGA"),NATAL!$B116&amp;"","")</f>
        <v/>
      </c>
      <c r="D416" s="78" t="str">
        <f aca="false">IF(AND(ISNUMBER(NATAL!$C116),NATAL!$D116="FOLGA"),NATAL!$C116,"")</f>
        <v/>
      </c>
      <c r="E416" s="0" t="str">
        <f aca="false">IF(AND(ISNUMBER(NATAL!$C116),NATAL!$D116="FOLGA"),NATAL!$E116&amp;"","")</f>
        <v/>
      </c>
      <c r="F416" s="0" t="str">
        <f aca="false">IF(AND(ISNUMBER(NATAL!$C116),NATAL!$D116="FOLGA"),NATAL!$F116&amp;"","")</f>
        <v/>
      </c>
      <c r="G416" s="0" t="str">
        <f aca="true">IF(D416="","",IF(D416=TODAY(),D416+ROW()/100000,""))</f>
        <v/>
      </c>
      <c r="H416" s="0" t="str">
        <f aca="true">IF(D416="","",IF(AND(D416&gt;TODAY(),D416&lt;=TODAY()+7),D416+ROW()/100000,""))</f>
        <v/>
      </c>
      <c r="I416" s="0" t="str">
        <f aca="false">IF(D416="","",IF(D416=CALENDÁRIO!$L$4,ROW(),""))</f>
        <v/>
      </c>
      <c r="J416" s="0" t="str">
        <f aca="false">IF(D416="","",CHOOSE(WEEKDAY(D416),"Domingo","Segunda","Terça","Quarta","Quinta","Sexta","Sábado"))</f>
        <v/>
      </c>
    </row>
    <row r="417" customFormat="false" ht="15" hidden="false" customHeight="false" outlineLevel="0" collapsed="false">
      <c r="A417" s="0" t="str">
        <f aca="false">IF(AND(ISNUMBER(NATAL!$C117),NATAL!$D117="FOLGA"),"Folga Natal","")</f>
        <v/>
      </c>
      <c r="B417" s="0" t="str">
        <f aca="false">IF(AND(ISNUMBER(NATAL!$C117),NATAL!$D117="FOLGA"),NATAL!$A117&amp;"","")</f>
        <v/>
      </c>
      <c r="C417" s="0" t="str">
        <f aca="false">IF(AND(ISNUMBER(NATAL!$C117),NATAL!$D117="FOLGA"),NATAL!$B117&amp;"","")</f>
        <v/>
      </c>
      <c r="D417" s="78" t="str">
        <f aca="false">IF(AND(ISNUMBER(NATAL!$C117),NATAL!$D117="FOLGA"),NATAL!$C117,"")</f>
        <v/>
      </c>
      <c r="E417" s="0" t="str">
        <f aca="false">IF(AND(ISNUMBER(NATAL!$C117),NATAL!$D117="FOLGA"),NATAL!$E117&amp;"","")</f>
        <v/>
      </c>
      <c r="F417" s="0" t="str">
        <f aca="false">IF(AND(ISNUMBER(NATAL!$C117),NATAL!$D117="FOLGA"),NATAL!$F117&amp;"","")</f>
        <v/>
      </c>
      <c r="G417" s="0" t="str">
        <f aca="true">IF(D417="","",IF(D417=TODAY(),D417+ROW()/100000,""))</f>
        <v/>
      </c>
      <c r="H417" s="0" t="str">
        <f aca="true">IF(D417="","",IF(AND(D417&gt;TODAY(),D417&lt;=TODAY()+7),D417+ROW()/100000,""))</f>
        <v/>
      </c>
      <c r="I417" s="0" t="str">
        <f aca="false">IF(D417="","",IF(D417=CALENDÁRIO!$L$4,ROW(),""))</f>
        <v/>
      </c>
      <c r="J417" s="0" t="str">
        <f aca="false">IF(D417="","",CHOOSE(WEEKDAY(D417),"Domingo","Segunda","Terça","Quarta","Quinta","Sexta","Sábado"))</f>
        <v/>
      </c>
    </row>
    <row r="418" customFormat="false" ht="15" hidden="false" customHeight="false" outlineLevel="0" collapsed="false">
      <c r="A418" s="0" t="str">
        <f aca="false">IF(AND(ISNUMBER(NATAL!$C118),NATAL!$D118="FOLGA"),"Folga Natal","")</f>
        <v/>
      </c>
      <c r="B418" s="0" t="str">
        <f aca="false">IF(AND(ISNUMBER(NATAL!$C118),NATAL!$D118="FOLGA"),NATAL!$A118&amp;"","")</f>
        <v/>
      </c>
      <c r="C418" s="0" t="str">
        <f aca="false">IF(AND(ISNUMBER(NATAL!$C118),NATAL!$D118="FOLGA"),NATAL!$B118&amp;"","")</f>
        <v/>
      </c>
      <c r="D418" s="78" t="str">
        <f aca="false">IF(AND(ISNUMBER(NATAL!$C118),NATAL!$D118="FOLGA"),NATAL!$C118,"")</f>
        <v/>
      </c>
      <c r="E418" s="0" t="str">
        <f aca="false">IF(AND(ISNUMBER(NATAL!$C118),NATAL!$D118="FOLGA"),NATAL!$E118&amp;"","")</f>
        <v/>
      </c>
      <c r="F418" s="0" t="str">
        <f aca="false">IF(AND(ISNUMBER(NATAL!$C118),NATAL!$D118="FOLGA"),NATAL!$F118&amp;"","")</f>
        <v/>
      </c>
      <c r="G418" s="0" t="str">
        <f aca="true">IF(D418="","",IF(D418=TODAY(),D418+ROW()/100000,""))</f>
        <v/>
      </c>
      <c r="H418" s="0" t="str">
        <f aca="true">IF(D418="","",IF(AND(D418&gt;TODAY(),D418&lt;=TODAY()+7),D418+ROW()/100000,""))</f>
        <v/>
      </c>
      <c r="I418" s="0" t="str">
        <f aca="false">IF(D418="","",IF(D418=CALENDÁRIO!$L$4,ROW(),""))</f>
        <v/>
      </c>
      <c r="J418" s="0" t="str">
        <f aca="false">IF(D418="","",CHOOSE(WEEKDAY(D418),"Domingo","Segunda","Terça","Quarta","Quinta","Sexta","Sábado"))</f>
        <v/>
      </c>
    </row>
    <row r="419" customFormat="false" ht="15" hidden="false" customHeight="false" outlineLevel="0" collapsed="false">
      <c r="A419" s="0" t="str">
        <f aca="false">IF(AND(ISNUMBER(NATAL!$C119),NATAL!$D119="FOLGA"),"Folga Natal","")</f>
        <v/>
      </c>
      <c r="B419" s="0" t="str">
        <f aca="false">IF(AND(ISNUMBER(NATAL!$C119),NATAL!$D119="FOLGA"),NATAL!$A119&amp;"","")</f>
        <v/>
      </c>
      <c r="C419" s="0" t="str">
        <f aca="false">IF(AND(ISNUMBER(NATAL!$C119),NATAL!$D119="FOLGA"),NATAL!$B119&amp;"","")</f>
        <v/>
      </c>
      <c r="D419" s="78" t="str">
        <f aca="false">IF(AND(ISNUMBER(NATAL!$C119),NATAL!$D119="FOLGA"),NATAL!$C119,"")</f>
        <v/>
      </c>
      <c r="E419" s="0" t="str">
        <f aca="false">IF(AND(ISNUMBER(NATAL!$C119),NATAL!$D119="FOLGA"),NATAL!$E119&amp;"","")</f>
        <v/>
      </c>
      <c r="F419" s="0" t="str">
        <f aca="false">IF(AND(ISNUMBER(NATAL!$C119),NATAL!$D119="FOLGA"),NATAL!$F119&amp;"","")</f>
        <v/>
      </c>
      <c r="G419" s="0" t="str">
        <f aca="true">IF(D419="","",IF(D419=TODAY(),D419+ROW()/100000,""))</f>
        <v/>
      </c>
      <c r="H419" s="0" t="str">
        <f aca="true">IF(D419="","",IF(AND(D419&gt;TODAY(),D419&lt;=TODAY()+7),D419+ROW()/100000,""))</f>
        <v/>
      </c>
      <c r="I419" s="0" t="str">
        <f aca="false">IF(D419="","",IF(D419=CALENDÁRIO!$L$4,ROW(),""))</f>
        <v/>
      </c>
      <c r="J419" s="0" t="str">
        <f aca="false">IF(D419="","",CHOOSE(WEEKDAY(D419),"Domingo","Segunda","Terça","Quarta","Quinta","Sexta","Sábado"))</f>
        <v/>
      </c>
    </row>
    <row r="420" customFormat="false" ht="15" hidden="false" customHeight="false" outlineLevel="0" collapsed="false">
      <c r="A420" s="0" t="str">
        <f aca="false">IF(AND(ISNUMBER(NATAL!$C120),NATAL!$D120="FOLGA"),"Folga Natal","")</f>
        <v/>
      </c>
      <c r="B420" s="0" t="str">
        <f aca="false">IF(AND(ISNUMBER(NATAL!$C120),NATAL!$D120="FOLGA"),NATAL!$A120&amp;"","")</f>
        <v/>
      </c>
      <c r="C420" s="0" t="str">
        <f aca="false">IF(AND(ISNUMBER(NATAL!$C120),NATAL!$D120="FOLGA"),NATAL!$B120&amp;"","")</f>
        <v/>
      </c>
      <c r="D420" s="78" t="str">
        <f aca="false">IF(AND(ISNUMBER(NATAL!$C120),NATAL!$D120="FOLGA"),NATAL!$C120,"")</f>
        <v/>
      </c>
      <c r="E420" s="0" t="str">
        <f aca="false">IF(AND(ISNUMBER(NATAL!$C120),NATAL!$D120="FOLGA"),NATAL!$E120&amp;"","")</f>
        <v/>
      </c>
      <c r="F420" s="0" t="str">
        <f aca="false">IF(AND(ISNUMBER(NATAL!$C120),NATAL!$D120="FOLGA"),NATAL!$F120&amp;"","")</f>
        <v/>
      </c>
      <c r="G420" s="0" t="str">
        <f aca="true">IF(D420="","",IF(D420=TODAY(),D420+ROW()/100000,""))</f>
        <v/>
      </c>
      <c r="H420" s="0" t="str">
        <f aca="true">IF(D420="","",IF(AND(D420&gt;TODAY(),D420&lt;=TODAY()+7),D420+ROW()/100000,""))</f>
        <v/>
      </c>
      <c r="I420" s="0" t="str">
        <f aca="false">IF(D420="","",IF(D420=CALENDÁRIO!$L$4,ROW(),""))</f>
        <v/>
      </c>
      <c r="J420" s="0" t="str">
        <f aca="false">IF(D420="","",CHOOSE(WEEKDAY(D420),"Domingo","Segunda","Terça","Quarta","Quinta","Sexta","Sábado"))</f>
        <v/>
      </c>
    </row>
    <row r="421" customFormat="false" ht="15" hidden="false" customHeight="false" outlineLevel="0" collapsed="false">
      <c r="A421" s="0" t="str">
        <f aca="false">IF(AND(ISNUMBER(NATAL!$C121),NATAL!$D121="FOLGA"),"Folga Natal","")</f>
        <v/>
      </c>
      <c r="B421" s="0" t="str">
        <f aca="false">IF(AND(ISNUMBER(NATAL!$C121),NATAL!$D121="FOLGA"),NATAL!$A121&amp;"","")</f>
        <v/>
      </c>
      <c r="C421" s="0" t="str">
        <f aca="false">IF(AND(ISNUMBER(NATAL!$C121),NATAL!$D121="FOLGA"),NATAL!$B121&amp;"","")</f>
        <v/>
      </c>
      <c r="D421" s="78" t="str">
        <f aca="false">IF(AND(ISNUMBER(NATAL!$C121),NATAL!$D121="FOLGA"),NATAL!$C121,"")</f>
        <v/>
      </c>
      <c r="E421" s="0" t="str">
        <f aca="false">IF(AND(ISNUMBER(NATAL!$C121),NATAL!$D121="FOLGA"),NATAL!$E121&amp;"","")</f>
        <v/>
      </c>
      <c r="F421" s="0" t="str">
        <f aca="false">IF(AND(ISNUMBER(NATAL!$C121),NATAL!$D121="FOLGA"),NATAL!$F121&amp;"","")</f>
        <v/>
      </c>
      <c r="G421" s="0" t="str">
        <f aca="true">IF(D421="","",IF(D421=TODAY(),D421+ROW()/100000,""))</f>
        <v/>
      </c>
      <c r="H421" s="0" t="str">
        <f aca="true">IF(D421="","",IF(AND(D421&gt;TODAY(),D421&lt;=TODAY()+7),D421+ROW()/100000,""))</f>
        <v/>
      </c>
      <c r="I421" s="0" t="str">
        <f aca="false">IF(D421="","",IF(D421=CALENDÁRIO!$L$4,ROW(),""))</f>
        <v/>
      </c>
      <c r="J421" s="0" t="str">
        <f aca="false">IF(D421="","",CHOOSE(WEEKDAY(D421),"Domingo","Segunda","Terça","Quarta","Quinta","Sexta","Sábado"))</f>
        <v/>
      </c>
    </row>
    <row r="422" customFormat="false" ht="15" hidden="false" customHeight="false" outlineLevel="0" collapsed="false">
      <c r="A422" s="0" t="str">
        <f aca="false">IF(AND(ISNUMBER(NATAL!$C122),NATAL!$D122="FOLGA"),"Folga Natal","")</f>
        <v/>
      </c>
      <c r="B422" s="0" t="str">
        <f aca="false">IF(AND(ISNUMBER(NATAL!$C122),NATAL!$D122="FOLGA"),NATAL!$A122&amp;"","")</f>
        <v/>
      </c>
      <c r="C422" s="0" t="str">
        <f aca="false">IF(AND(ISNUMBER(NATAL!$C122),NATAL!$D122="FOLGA"),NATAL!$B122&amp;"","")</f>
        <v/>
      </c>
      <c r="D422" s="78" t="str">
        <f aca="false">IF(AND(ISNUMBER(NATAL!$C122),NATAL!$D122="FOLGA"),NATAL!$C122,"")</f>
        <v/>
      </c>
      <c r="E422" s="0" t="str">
        <f aca="false">IF(AND(ISNUMBER(NATAL!$C122),NATAL!$D122="FOLGA"),NATAL!$E122&amp;"","")</f>
        <v/>
      </c>
      <c r="F422" s="0" t="str">
        <f aca="false">IF(AND(ISNUMBER(NATAL!$C122),NATAL!$D122="FOLGA"),NATAL!$F122&amp;"","")</f>
        <v/>
      </c>
      <c r="G422" s="0" t="str">
        <f aca="true">IF(D422="","",IF(D422=TODAY(),D422+ROW()/100000,""))</f>
        <v/>
      </c>
      <c r="H422" s="0" t="str">
        <f aca="true">IF(D422="","",IF(AND(D422&gt;TODAY(),D422&lt;=TODAY()+7),D422+ROW()/100000,""))</f>
        <v/>
      </c>
      <c r="I422" s="0" t="str">
        <f aca="false">IF(D422="","",IF(D422=CALENDÁRIO!$L$4,ROW(),""))</f>
        <v/>
      </c>
      <c r="J422" s="0" t="str">
        <f aca="false">IF(D422="","",CHOOSE(WEEKDAY(D422),"Domingo","Segunda","Terça","Quarta","Quinta","Sexta","Sábado"))</f>
        <v/>
      </c>
    </row>
    <row r="423" customFormat="false" ht="15" hidden="false" customHeight="false" outlineLevel="0" collapsed="false">
      <c r="A423" s="0" t="str">
        <f aca="false">IF(AND(ISNUMBER(NATAL!$C123),NATAL!$D123="FOLGA"),"Folga Natal","")</f>
        <v/>
      </c>
      <c r="B423" s="0" t="str">
        <f aca="false">IF(AND(ISNUMBER(NATAL!$C123),NATAL!$D123="FOLGA"),NATAL!$A123&amp;"","")</f>
        <v/>
      </c>
      <c r="C423" s="0" t="str">
        <f aca="false">IF(AND(ISNUMBER(NATAL!$C123),NATAL!$D123="FOLGA"),NATAL!$B123&amp;"","")</f>
        <v/>
      </c>
      <c r="D423" s="78" t="str">
        <f aca="false">IF(AND(ISNUMBER(NATAL!$C123),NATAL!$D123="FOLGA"),NATAL!$C123,"")</f>
        <v/>
      </c>
      <c r="E423" s="0" t="str">
        <f aca="false">IF(AND(ISNUMBER(NATAL!$C123),NATAL!$D123="FOLGA"),NATAL!$E123&amp;"","")</f>
        <v/>
      </c>
      <c r="F423" s="0" t="str">
        <f aca="false">IF(AND(ISNUMBER(NATAL!$C123),NATAL!$D123="FOLGA"),NATAL!$F123&amp;"","")</f>
        <v/>
      </c>
      <c r="G423" s="0" t="str">
        <f aca="true">IF(D423="","",IF(D423=TODAY(),D423+ROW()/100000,""))</f>
        <v/>
      </c>
      <c r="H423" s="0" t="str">
        <f aca="true">IF(D423="","",IF(AND(D423&gt;TODAY(),D423&lt;=TODAY()+7),D423+ROW()/100000,""))</f>
        <v/>
      </c>
      <c r="I423" s="0" t="str">
        <f aca="false">IF(D423="","",IF(D423=CALENDÁRIO!$L$4,ROW(),""))</f>
        <v/>
      </c>
      <c r="J423" s="0" t="str">
        <f aca="false">IF(D423="","",CHOOSE(WEEKDAY(D423),"Domingo","Segunda","Terça","Quarta","Quinta","Sexta","Sábado"))</f>
        <v/>
      </c>
    </row>
    <row r="424" customFormat="false" ht="15" hidden="false" customHeight="false" outlineLevel="0" collapsed="false">
      <c r="A424" s="0" t="str">
        <f aca="false">IF(AND(ISNUMBER(NATAL!$C124),NATAL!$D124="FOLGA"),"Folga Natal","")</f>
        <v/>
      </c>
      <c r="B424" s="0" t="str">
        <f aca="false">IF(AND(ISNUMBER(NATAL!$C124),NATAL!$D124="FOLGA"),NATAL!$A124&amp;"","")</f>
        <v/>
      </c>
      <c r="C424" s="0" t="str">
        <f aca="false">IF(AND(ISNUMBER(NATAL!$C124),NATAL!$D124="FOLGA"),NATAL!$B124&amp;"","")</f>
        <v/>
      </c>
      <c r="D424" s="78" t="str">
        <f aca="false">IF(AND(ISNUMBER(NATAL!$C124),NATAL!$D124="FOLGA"),NATAL!$C124,"")</f>
        <v/>
      </c>
      <c r="E424" s="0" t="str">
        <f aca="false">IF(AND(ISNUMBER(NATAL!$C124),NATAL!$D124="FOLGA"),NATAL!$E124&amp;"","")</f>
        <v/>
      </c>
      <c r="F424" s="0" t="str">
        <f aca="false">IF(AND(ISNUMBER(NATAL!$C124),NATAL!$D124="FOLGA"),NATAL!$F124&amp;"","")</f>
        <v/>
      </c>
      <c r="G424" s="0" t="str">
        <f aca="true">IF(D424="","",IF(D424=TODAY(),D424+ROW()/100000,""))</f>
        <v/>
      </c>
      <c r="H424" s="0" t="str">
        <f aca="true">IF(D424="","",IF(AND(D424&gt;TODAY(),D424&lt;=TODAY()+7),D424+ROW()/100000,""))</f>
        <v/>
      </c>
      <c r="I424" s="0" t="str">
        <f aca="false">IF(D424="","",IF(D424=CALENDÁRIO!$L$4,ROW(),""))</f>
        <v/>
      </c>
      <c r="J424" s="0" t="str">
        <f aca="false">IF(D424="","",CHOOSE(WEEKDAY(D424),"Domingo","Segunda","Terça","Quarta","Quinta","Sexta","Sábado"))</f>
        <v/>
      </c>
    </row>
    <row r="425" customFormat="false" ht="15" hidden="false" customHeight="false" outlineLevel="0" collapsed="false">
      <c r="A425" s="0" t="str">
        <f aca="false">IF(AND(ISNUMBER(NATAL!$C125),NATAL!$D125="FOLGA"),"Folga Natal","")</f>
        <v/>
      </c>
      <c r="B425" s="0" t="str">
        <f aca="false">IF(AND(ISNUMBER(NATAL!$C125),NATAL!$D125="FOLGA"),NATAL!$A125&amp;"","")</f>
        <v/>
      </c>
      <c r="C425" s="0" t="str">
        <f aca="false">IF(AND(ISNUMBER(NATAL!$C125),NATAL!$D125="FOLGA"),NATAL!$B125&amp;"","")</f>
        <v/>
      </c>
      <c r="D425" s="78" t="str">
        <f aca="false">IF(AND(ISNUMBER(NATAL!$C125),NATAL!$D125="FOLGA"),NATAL!$C125,"")</f>
        <v/>
      </c>
      <c r="E425" s="0" t="str">
        <f aca="false">IF(AND(ISNUMBER(NATAL!$C125),NATAL!$D125="FOLGA"),NATAL!$E125&amp;"","")</f>
        <v/>
      </c>
      <c r="F425" s="0" t="str">
        <f aca="false">IF(AND(ISNUMBER(NATAL!$C125),NATAL!$D125="FOLGA"),NATAL!$F125&amp;"","")</f>
        <v/>
      </c>
      <c r="G425" s="0" t="str">
        <f aca="true">IF(D425="","",IF(D425=TODAY(),D425+ROW()/100000,""))</f>
        <v/>
      </c>
      <c r="H425" s="0" t="str">
        <f aca="true">IF(D425="","",IF(AND(D425&gt;TODAY(),D425&lt;=TODAY()+7),D425+ROW()/100000,""))</f>
        <v/>
      </c>
      <c r="I425" s="0" t="str">
        <f aca="false">IF(D425="","",IF(D425=CALENDÁRIO!$L$4,ROW(),""))</f>
        <v/>
      </c>
      <c r="J425" s="0" t="str">
        <f aca="false">IF(D425="","",CHOOSE(WEEKDAY(D425),"Domingo","Segunda","Terça","Quarta","Quinta","Sexta","Sábado"))</f>
        <v/>
      </c>
    </row>
    <row r="426" customFormat="false" ht="15" hidden="false" customHeight="false" outlineLevel="0" collapsed="false">
      <c r="A426" s="0" t="str">
        <f aca="false">IF(AND(ISNUMBER(NATAL!$C126),NATAL!$D126="FOLGA"),"Folga Natal","")</f>
        <v/>
      </c>
      <c r="B426" s="0" t="str">
        <f aca="false">IF(AND(ISNUMBER(NATAL!$C126),NATAL!$D126="FOLGA"),NATAL!$A126&amp;"","")</f>
        <v/>
      </c>
      <c r="C426" s="0" t="str">
        <f aca="false">IF(AND(ISNUMBER(NATAL!$C126),NATAL!$D126="FOLGA"),NATAL!$B126&amp;"","")</f>
        <v/>
      </c>
      <c r="D426" s="78" t="str">
        <f aca="false">IF(AND(ISNUMBER(NATAL!$C126),NATAL!$D126="FOLGA"),NATAL!$C126,"")</f>
        <v/>
      </c>
      <c r="E426" s="0" t="str">
        <f aca="false">IF(AND(ISNUMBER(NATAL!$C126),NATAL!$D126="FOLGA"),NATAL!$E126&amp;"","")</f>
        <v/>
      </c>
      <c r="F426" s="0" t="str">
        <f aca="false">IF(AND(ISNUMBER(NATAL!$C126),NATAL!$D126="FOLGA"),NATAL!$F126&amp;"","")</f>
        <v/>
      </c>
      <c r="G426" s="0" t="str">
        <f aca="true">IF(D426="","",IF(D426=TODAY(),D426+ROW()/100000,""))</f>
        <v/>
      </c>
      <c r="H426" s="0" t="str">
        <f aca="true">IF(D426="","",IF(AND(D426&gt;TODAY(),D426&lt;=TODAY()+7),D426+ROW()/100000,""))</f>
        <v/>
      </c>
      <c r="I426" s="0" t="str">
        <f aca="false">IF(D426="","",IF(D426=CALENDÁRIO!$L$4,ROW(),""))</f>
        <v/>
      </c>
      <c r="J426" s="0" t="str">
        <f aca="false">IF(D426="","",CHOOSE(WEEKDAY(D426),"Domingo","Segunda","Terça","Quarta","Quinta","Sexta","Sábado"))</f>
        <v/>
      </c>
    </row>
    <row r="427" customFormat="false" ht="15" hidden="false" customHeight="false" outlineLevel="0" collapsed="false">
      <c r="A427" s="0" t="str">
        <f aca="false">IF(AND(ISNUMBER(NATAL!$C127),NATAL!$D127="FOLGA"),"Folga Natal","")</f>
        <v/>
      </c>
      <c r="B427" s="0" t="str">
        <f aca="false">IF(AND(ISNUMBER(NATAL!$C127),NATAL!$D127="FOLGA"),NATAL!$A127&amp;"","")</f>
        <v/>
      </c>
      <c r="C427" s="0" t="str">
        <f aca="false">IF(AND(ISNUMBER(NATAL!$C127),NATAL!$D127="FOLGA"),NATAL!$B127&amp;"","")</f>
        <v/>
      </c>
      <c r="D427" s="78" t="str">
        <f aca="false">IF(AND(ISNUMBER(NATAL!$C127),NATAL!$D127="FOLGA"),NATAL!$C127,"")</f>
        <v/>
      </c>
      <c r="E427" s="0" t="str">
        <f aca="false">IF(AND(ISNUMBER(NATAL!$C127),NATAL!$D127="FOLGA"),NATAL!$E127&amp;"","")</f>
        <v/>
      </c>
      <c r="F427" s="0" t="str">
        <f aca="false">IF(AND(ISNUMBER(NATAL!$C127),NATAL!$D127="FOLGA"),NATAL!$F127&amp;"","")</f>
        <v/>
      </c>
      <c r="G427" s="0" t="str">
        <f aca="true">IF(D427="","",IF(D427=TODAY(),D427+ROW()/100000,""))</f>
        <v/>
      </c>
      <c r="H427" s="0" t="str">
        <f aca="true">IF(D427="","",IF(AND(D427&gt;TODAY(),D427&lt;=TODAY()+7),D427+ROW()/100000,""))</f>
        <v/>
      </c>
      <c r="I427" s="0" t="str">
        <f aca="false">IF(D427="","",IF(D427=CALENDÁRIO!$L$4,ROW(),""))</f>
        <v/>
      </c>
      <c r="J427" s="0" t="str">
        <f aca="false">IF(D427="","",CHOOSE(WEEKDAY(D427),"Domingo","Segunda","Terça","Quarta","Quinta","Sexta","Sábado"))</f>
        <v/>
      </c>
    </row>
    <row r="428" customFormat="false" ht="15" hidden="false" customHeight="false" outlineLevel="0" collapsed="false">
      <c r="A428" s="0" t="str">
        <f aca="false">IF(AND(ISNUMBER(NATAL!$C128),NATAL!$D128="FOLGA"),"Folga Natal","")</f>
        <v/>
      </c>
      <c r="B428" s="0" t="str">
        <f aca="false">IF(AND(ISNUMBER(NATAL!$C128),NATAL!$D128="FOLGA"),NATAL!$A128&amp;"","")</f>
        <v/>
      </c>
      <c r="C428" s="0" t="str">
        <f aca="false">IF(AND(ISNUMBER(NATAL!$C128),NATAL!$D128="FOLGA"),NATAL!$B128&amp;"","")</f>
        <v/>
      </c>
      <c r="D428" s="78" t="str">
        <f aca="false">IF(AND(ISNUMBER(NATAL!$C128),NATAL!$D128="FOLGA"),NATAL!$C128,"")</f>
        <v/>
      </c>
      <c r="E428" s="0" t="str">
        <f aca="false">IF(AND(ISNUMBER(NATAL!$C128),NATAL!$D128="FOLGA"),NATAL!$E128&amp;"","")</f>
        <v/>
      </c>
      <c r="F428" s="0" t="str">
        <f aca="false">IF(AND(ISNUMBER(NATAL!$C128),NATAL!$D128="FOLGA"),NATAL!$F128&amp;"","")</f>
        <v/>
      </c>
      <c r="G428" s="0" t="str">
        <f aca="true">IF(D428="","",IF(D428=TODAY(),D428+ROW()/100000,""))</f>
        <v/>
      </c>
      <c r="H428" s="0" t="str">
        <f aca="true">IF(D428="","",IF(AND(D428&gt;TODAY(),D428&lt;=TODAY()+7),D428+ROW()/100000,""))</f>
        <v/>
      </c>
      <c r="I428" s="0" t="str">
        <f aca="false">IF(D428="","",IF(D428=CALENDÁRIO!$L$4,ROW(),""))</f>
        <v/>
      </c>
      <c r="J428" s="0" t="str">
        <f aca="false">IF(D428="","",CHOOSE(WEEKDAY(D428),"Domingo","Segunda","Terça","Quarta","Quinta","Sexta","Sábado"))</f>
        <v/>
      </c>
    </row>
    <row r="429" customFormat="false" ht="15" hidden="false" customHeight="false" outlineLevel="0" collapsed="false">
      <c r="A429" s="0" t="str">
        <f aca="false">IF(AND(ISNUMBER(NATAL!$C129),NATAL!$D129="FOLGA"),"Folga Natal","")</f>
        <v/>
      </c>
      <c r="B429" s="0" t="str">
        <f aca="false">IF(AND(ISNUMBER(NATAL!$C129),NATAL!$D129="FOLGA"),NATAL!$A129&amp;"","")</f>
        <v/>
      </c>
      <c r="C429" s="0" t="str">
        <f aca="false">IF(AND(ISNUMBER(NATAL!$C129),NATAL!$D129="FOLGA"),NATAL!$B129&amp;"","")</f>
        <v/>
      </c>
      <c r="D429" s="78" t="str">
        <f aca="false">IF(AND(ISNUMBER(NATAL!$C129),NATAL!$D129="FOLGA"),NATAL!$C129,"")</f>
        <v/>
      </c>
      <c r="E429" s="0" t="str">
        <f aca="false">IF(AND(ISNUMBER(NATAL!$C129),NATAL!$D129="FOLGA"),NATAL!$E129&amp;"","")</f>
        <v/>
      </c>
      <c r="F429" s="0" t="str">
        <f aca="false">IF(AND(ISNUMBER(NATAL!$C129),NATAL!$D129="FOLGA"),NATAL!$F129&amp;"","")</f>
        <v/>
      </c>
      <c r="G429" s="0" t="str">
        <f aca="true">IF(D429="","",IF(D429=TODAY(),D429+ROW()/100000,""))</f>
        <v/>
      </c>
      <c r="H429" s="0" t="str">
        <f aca="true">IF(D429="","",IF(AND(D429&gt;TODAY(),D429&lt;=TODAY()+7),D429+ROW()/100000,""))</f>
        <v/>
      </c>
      <c r="I429" s="0" t="str">
        <f aca="false">IF(D429="","",IF(D429=CALENDÁRIO!$L$4,ROW(),""))</f>
        <v/>
      </c>
      <c r="J429" s="0" t="str">
        <f aca="false">IF(D429="","",CHOOSE(WEEKDAY(D429),"Domingo","Segunda","Terça","Quarta","Quinta","Sexta","Sábado"))</f>
        <v/>
      </c>
    </row>
    <row r="430" customFormat="false" ht="15" hidden="false" customHeight="false" outlineLevel="0" collapsed="false">
      <c r="A430" s="0" t="str">
        <f aca="false">IF(AND(ISNUMBER(NATAL!$C130),NATAL!$D130="FOLGA"),"Folga Natal","")</f>
        <v/>
      </c>
      <c r="B430" s="0" t="str">
        <f aca="false">IF(AND(ISNUMBER(NATAL!$C130),NATAL!$D130="FOLGA"),NATAL!$A130&amp;"","")</f>
        <v/>
      </c>
      <c r="C430" s="0" t="str">
        <f aca="false">IF(AND(ISNUMBER(NATAL!$C130),NATAL!$D130="FOLGA"),NATAL!$B130&amp;"","")</f>
        <v/>
      </c>
      <c r="D430" s="78" t="str">
        <f aca="false">IF(AND(ISNUMBER(NATAL!$C130),NATAL!$D130="FOLGA"),NATAL!$C130,"")</f>
        <v/>
      </c>
      <c r="E430" s="0" t="str">
        <f aca="false">IF(AND(ISNUMBER(NATAL!$C130),NATAL!$D130="FOLGA"),NATAL!$E130&amp;"","")</f>
        <v/>
      </c>
      <c r="F430" s="0" t="str">
        <f aca="false">IF(AND(ISNUMBER(NATAL!$C130),NATAL!$D130="FOLGA"),NATAL!$F130&amp;"","")</f>
        <v/>
      </c>
      <c r="G430" s="0" t="str">
        <f aca="true">IF(D430="","",IF(D430=TODAY(),D430+ROW()/100000,""))</f>
        <v/>
      </c>
      <c r="H430" s="0" t="str">
        <f aca="true">IF(D430="","",IF(AND(D430&gt;TODAY(),D430&lt;=TODAY()+7),D430+ROW()/100000,""))</f>
        <v/>
      </c>
      <c r="I430" s="0" t="str">
        <f aca="false">IF(D430="","",IF(D430=CALENDÁRIO!$L$4,ROW(),""))</f>
        <v/>
      </c>
      <c r="J430" s="0" t="str">
        <f aca="false">IF(D430="","",CHOOSE(WEEKDAY(D430),"Domingo","Segunda","Terça","Quarta","Quinta","Sexta","Sábado"))</f>
        <v/>
      </c>
    </row>
    <row r="431" customFormat="false" ht="15" hidden="false" customHeight="false" outlineLevel="0" collapsed="false">
      <c r="A431" s="0" t="str">
        <f aca="false">IF(AND(ISNUMBER(NATAL!$C131),NATAL!$D131="FOLGA"),"Folga Natal","")</f>
        <v/>
      </c>
      <c r="B431" s="0" t="str">
        <f aca="false">IF(AND(ISNUMBER(NATAL!$C131),NATAL!$D131="FOLGA"),NATAL!$A131&amp;"","")</f>
        <v/>
      </c>
      <c r="C431" s="0" t="str">
        <f aca="false">IF(AND(ISNUMBER(NATAL!$C131),NATAL!$D131="FOLGA"),NATAL!$B131&amp;"","")</f>
        <v/>
      </c>
      <c r="D431" s="78" t="str">
        <f aca="false">IF(AND(ISNUMBER(NATAL!$C131),NATAL!$D131="FOLGA"),NATAL!$C131,"")</f>
        <v/>
      </c>
      <c r="E431" s="0" t="str">
        <f aca="false">IF(AND(ISNUMBER(NATAL!$C131),NATAL!$D131="FOLGA"),NATAL!$E131&amp;"","")</f>
        <v/>
      </c>
      <c r="F431" s="0" t="str">
        <f aca="false">IF(AND(ISNUMBER(NATAL!$C131),NATAL!$D131="FOLGA"),NATAL!$F131&amp;"","")</f>
        <v/>
      </c>
      <c r="G431" s="0" t="str">
        <f aca="true">IF(D431="","",IF(D431=TODAY(),D431+ROW()/100000,""))</f>
        <v/>
      </c>
      <c r="H431" s="0" t="str">
        <f aca="true">IF(D431="","",IF(AND(D431&gt;TODAY(),D431&lt;=TODAY()+7),D431+ROW()/100000,""))</f>
        <v/>
      </c>
      <c r="I431" s="0" t="str">
        <f aca="false">IF(D431="","",IF(D431=CALENDÁRIO!$L$4,ROW(),""))</f>
        <v/>
      </c>
      <c r="J431" s="0" t="str">
        <f aca="false">IF(D431="","",CHOOSE(WEEKDAY(D431),"Domingo","Segunda","Terça","Quarta","Quinta","Sexta","Sábado"))</f>
        <v/>
      </c>
    </row>
    <row r="432" customFormat="false" ht="15" hidden="false" customHeight="false" outlineLevel="0" collapsed="false">
      <c r="A432" s="0" t="str">
        <f aca="false">IF(AND(ISNUMBER(NATAL!$C132),NATAL!$D132="FOLGA"),"Folga Natal","")</f>
        <v/>
      </c>
      <c r="B432" s="0" t="str">
        <f aca="false">IF(AND(ISNUMBER(NATAL!$C132),NATAL!$D132="FOLGA"),NATAL!$A132&amp;"","")</f>
        <v/>
      </c>
      <c r="C432" s="0" t="str">
        <f aca="false">IF(AND(ISNUMBER(NATAL!$C132),NATAL!$D132="FOLGA"),NATAL!$B132&amp;"","")</f>
        <v/>
      </c>
      <c r="D432" s="78" t="str">
        <f aca="false">IF(AND(ISNUMBER(NATAL!$C132),NATAL!$D132="FOLGA"),NATAL!$C132,"")</f>
        <v/>
      </c>
      <c r="E432" s="0" t="str">
        <f aca="false">IF(AND(ISNUMBER(NATAL!$C132),NATAL!$D132="FOLGA"),NATAL!$E132&amp;"","")</f>
        <v/>
      </c>
      <c r="F432" s="0" t="str">
        <f aca="false">IF(AND(ISNUMBER(NATAL!$C132),NATAL!$D132="FOLGA"),NATAL!$F132&amp;"","")</f>
        <v/>
      </c>
      <c r="G432" s="0" t="str">
        <f aca="true">IF(D432="","",IF(D432=TODAY(),D432+ROW()/100000,""))</f>
        <v/>
      </c>
      <c r="H432" s="0" t="str">
        <f aca="true">IF(D432="","",IF(AND(D432&gt;TODAY(),D432&lt;=TODAY()+7),D432+ROW()/100000,""))</f>
        <v/>
      </c>
      <c r="I432" s="0" t="str">
        <f aca="false">IF(D432="","",IF(D432=CALENDÁRIO!$L$4,ROW(),""))</f>
        <v/>
      </c>
      <c r="J432" s="0" t="str">
        <f aca="false">IF(D432="","",CHOOSE(WEEKDAY(D432),"Domingo","Segunda","Terça","Quarta","Quinta","Sexta","Sábado"))</f>
        <v/>
      </c>
    </row>
    <row r="433" customFormat="false" ht="15" hidden="false" customHeight="false" outlineLevel="0" collapsed="false">
      <c r="A433" s="0" t="str">
        <f aca="false">IF(AND(ISNUMBER(NATAL!$C133),NATAL!$D133="FOLGA"),"Folga Natal","")</f>
        <v/>
      </c>
      <c r="B433" s="0" t="str">
        <f aca="false">IF(AND(ISNUMBER(NATAL!$C133),NATAL!$D133="FOLGA"),NATAL!$A133&amp;"","")</f>
        <v/>
      </c>
      <c r="C433" s="0" t="str">
        <f aca="false">IF(AND(ISNUMBER(NATAL!$C133),NATAL!$D133="FOLGA"),NATAL!$B133&amp;"","")</f>
        <v/>
      </c>
      <c r="D433" s="78" t="str">
        <f aca="false">IF(AND(ISNUMBER(NATAL!$C133),NATAL!$D133="FOLGA"),NATAL!$C133,"")</f>
        <v/>
      </c>
      <c r="E433" s="0" t="str">
        <f aca="false">IF(AND(ISNUMBER(NATAL!$C133),NATAL!$D133="FOLGA"),NATAL!$E133&amp;"","")</f>
        <v/>
      </c>
      <c r="F433" s="0" t="str">
        <f aca="false">IF(AND(ISNUMBER(NATAL!$C133),NATAL!$D133="FOLGA"),NATAL!$F133&amp;"","")</f>
        <v/>
      </c>
      <c r="G433" s="0" t="str">
        <f aca="true">IF(D433="","",IF(D433=TODAY(),D433+ROW()/100000,""))</f>
        <v/>
      </c>
      <c r="H433" s="0" t="str">
        <f aca="true">IF(D433="","",IF(AND(D433&gt;TODAY(),D433&lt;=TODAY()+7),D433+ROW()/100000,""))</f>
        <v/>
      </c>
      <c r="I433" s="0" t="str">
        <f aca="false">IF(D433="","",IF(D433=CALENDÁRIO!$L$4,ROW(),""))</f>
        <v/>
      </c>
      <c r="J433" s="0" t="str">
        <f aca="false">IF(D433="","",CHOOSE(WEEKDAY(D433),"Domingo","Segunda","Terça","Quarta","Quinta","Sexta","Sábado"))</f>
        <v/>
      </c>
    </row>
    <row r="434" customFormat="false" ht="15" hidden="false" customHeight="false" outlineLevel="0" collapsed="false">
      <c r="A434" s="0" t="str">
        <f aca="false">IF(AND(ISNUMBER(NATAL!$C134),NATAL!$D134="FOLGA"),"Folga Natal","")</f>
        <v/>
      </c>
      <c r="B434" s="0" t="str">
        <f aca="false">IF(AND(ISNUMBER(NATAL!$C134),NATAL!$D134="FOLGA"),NATAL!$A134&amp;"","")</f>
        <v/>
      </c>
      <c r="C434" s="0" t="str">
        <f aca="false">IF(AND(ISNUMBER(NATAL!$C134),NATAL!$D134="FOLGA"),NATAL!$B134&amp;"","")</f>
        <v/>
      </c>
      <c r="D434" s="78" t="str">
        <f aca="false">IF(AND(ISNUMBER(NATAL!$C134),NATAL!$D134="FOLGA"),NATAL!$C134,"")</f>
        <v/>
      </c>
      <c r="E434" s="0" t="str">
        <f aca="false">IF(AND(ISNUMBER(NATAL!$C134),NATAL!$D134="FOLGA"),NATAL!$E134&amp;"","")</f>
        <v/>
      </c>
      <c r="F434" s="0" t="str">
        <f aca="false">IF(AND(ISNUMBER(NATAL!$C134),NATAL!$D134="FOLGA"),NATAL!$F134&amp;"","")</f>
        <v/>
      </c>
      <c r="G434" s="0" t="str">
        <f aca="true">IF(D434="","",IF(D434=TODAY(),D434+ROW()/100000,""))</f>
        <v/>
      </c>
      <c r="H434" s="0" t="str">
        <f aca="true">IF(D434="","",IF(AND(D434&gt;TODAY(),D434&lt;=TODAY()+7),D434+ROW()/100000,""))</f>
        <v/>
      </c>
      <c r="I434" s="0" t="str">
        <f aca="false">IF(D434="","",IF(D434=CALENDÁRIO!$L$4,ROW(),""))</f>
        <v/>
      </c>
      <c r="J434" s="0" t="str">
        <f aca="false">IF(D434="","",CHOOSE(WEEKDAY(D434),"Domingo","Segunda","Terça","Quarta","Quinta","Sexta","Sábado"))</f>
        <v/>
      </c>
    </row>
    <row r="435" customFormat="false" ht="15" hidden="false" customHeight="false" outlineLevel="0" collapsed="false">
      <c r="A435" s="0" t="str">
        <f aca="false">IF(AND(ISNUMBER(NATAL!$C135),NATAL!$D135="FOLGA"),"Folga Natal","")</f>
        <v/>
      </c>
      <c r="B435" s="0" t="str">
        <f aca="false">IF(AND(ISNUMBER(NATAL!$C135),NATAL!$D135="FOLGA"),NATAL!$A135&amp;"","")</f>
        <v/>
      </c>
      <c r="C435" s="0" t="str">
        <f aca="false">IF(AND(ISNUMBER(NATAL!$C135),NATAL!$D135="FOLGA"),NATAL!$B135&amp;"","")</f>
        <v/>
      </c>
      <c r="D435" s="78" t="str">
        <f aca="false">IF(AND(ISNUMBER(NATAL!$C135),NATAL!$D135="FOLGA"),NATAL!$C135,"")</f>
        <v/>
      </c>
      <c r="E435" s="0" t="str">
        <f aca="false">IF(AND(ISNUMBER(NATAL!$C135),NATAL!$D135="FOLGA"),NATAL!$E135&amp;"","")</f>
        <v/>
      </c>
      <c r="F435" s="0" t="str">
        <f aca="false">IF(AND(ISNUMBER(NATAL!$C135),NATAL!$D135="FOLGA"),NATAL!$F135&amp;"","")</f>
        <v/>
      </c>
      <c r="G435" s="0" t="str">
        <f aca="true">IF(D435="","",IF(D435=TODAY(),D435+ROW()/100000,""))</f>
        <v/>
      </c>
      <c r="H435" s="0" t="str">
        <f aca="true">IF(D435="","",IF(AND(D435&gt;TODAY(),D435&lt;=TODAY()+7),D435+ROW()/100000,""))</f>
        <v/>
      </c>
      <c r="I435" s="0" t="str">
        <f aca="false">IF(D435="","",IF(D435=CALENDÁRIO!$L$4,ROW(),""))</f>
        <v/>
      </c>
      <c r="J435" s="0" t="str">
        <f aca="false">IF(D435="","",CHOOSE(WEEKDAY(D435),"Domingo","Segunda","Terça","Quarta","Quinta","Sexta","Sábado"))</f>
        <v/>
      </c>
    </row>
    <row r="436" customFormat="false" ht="15" hidden="false" customHeight="false" outlineLevel="0" collapsed="false">
      <c r="A436" s="0" t="str">
        <f aca="false">IF(AND(ISNUMBER(NATAL!$C136),NATAL!$D136="FOLGA"),"Folga Natal","")</f>
        <v/>
      </c>
      <c r="B436" s="0" t="str">
        <f aca="false">IF(AND(ISNUMBER(NATAL!$C136),NATAL!$D136="FOLGA"),NATAL!$A136&amp;"","")</f>
        <v/>
      </c>
      <c r="C436" s="0" t="str">
        <f aca="false">IF(AND(ISNUMBER(NATAL!$C136),NATAL!$D136="FOLGA"),NATAL!$B136&amp;"","")</f>
        <v/>
      </c>
      <c r="D436" s="78" t="str">
        <f aca="false">IF(AND(ISNUMBER(NATAL!$C136),NATAL!$D136="FOLGA"),NATAL!$C136,"")</f>
        <v/>
      </c>
      <c r="E436" s="0" t="str">
        <f aca="false">IF(AND(ISNUMBER(NATAL!$C136),NATAL!$D136="FOLGA"),NATAL!$E136&amp;"","")</f>
        <v/>
      </c>
      <c r="F436" s="0" t="str">
        <f aca="false">IF(AND(ISNUMBER(NATAL!$C136),NATAL!$D136="FOLGA"),NATAL!$F136&amp;"","")</f>
        <v/>
      </c>
      <c r="G436" s="0" t="str">
        <f aca="true">IF(D436="","",IF(D436=TODAY(),D436+ROW()/100000,""))</f>
        <v/>
      </c>
      <c r="H436" s="0" t="str">
        <f aca="true">IF(D436="","",IF(AND(D436&gt;TODAY(),D436&lt;=TODAY()+7),D436+ROW()/100000,""))</f>
        <v/>
      </c>
      <c r="I436" s="0" t="str">
        <f aca="false">IF(D436="","",IF(D436=CALENDÁRIO!$L$4,ROW(),""))</f>
        <v/>
      </c>
      <c r="J436" s="0" t="str">
        <f aca="false">IF(D436="","",CHOOSE(WEEKDAY(D436),"Domingo","Segunda","Terça","Quarta","Quinta","Sexta","Sábado"))</f>
        <v/>
      </c>
    </row>
    <row r="437" customFormat="false" ht="15" hidden="false" customHeight="false" outlineLevel="0" collapsed="false">
      <c r="A437" s="0" t="str">
        <f aca="false">IF(AND(ISNUMBER(NATAL!$C137),NATAL!$D137="FOLGA"),"Folga Natal","")</f>
        <v/>
      </c>
      <c r="B437" s="0" t="str">
        <f aca="false">IF(AND(ISNUMBER(NATAL!$C137),NATAL!$D137="FOLGA"),NATAL!$A137&amp;"","")</f>
        <v/>
      </c>
      <c r="C437" s="0" t="str">
        <f aca="false">IF(AND(ISNUMBER(NATAL!$C137),NATAL!$D137="FOLGA"),NATAL!$B137&amp;"","")</f>
        <v/>
      </c>
      <c r="D437" s="78" t="str">
        <f aca="false">IF(AND(ISNUMBER(NATAL!$C137),NATAL!$D137="FOLGA"),NATAL!$C137,"")</f>
        <v/>
      </c>
      <c r="E437" s="0" t="str">
        <f aca="false">IF(AND(ISNUMBER(NATAL!$C137),NATAL!$D137="FOLGA"),NATAL!$E137&amp;"","")</f>
        <v/>
      </c>
      <c r="F437" s="0" t="str">
        <f aca="false">IF(AND(ISNUMBER(NATAL!$C137),NATAL!$D137="FOLGA"),NATAL!$F137&amp;"","")</f>
        <v/>
      </c>
      <c r="G437" s="0" t="str">
        <f aca="true">IF(D437="","",IF(D437=TODAY(),D437+ROW()/100000,""))</f>
        <v/>
      </c>
      <c r="H437" s="0" t="str">
        <f aca="true">IF(D437="","",IF(AND(D437&gt;TODAY(),D437&lt;=TODAY()+7),D437+ROW()/100000,""))</f>
        <v/>
      </c>
      <c r="I437" s="0" t="str">
        <f aca="false">IF(D437="","",IF(D437=CALENDÁRIO!$L$4,ROW(),""))</f>
        <v/>
      </c>
      <c r="J437" s="0" t="str">
        <f aca="false">IF(D437="","",CHOOSE(WEEKDAY(D437),"Domingo","Segunda","Terça","Quarta","Quinta","Sexta","Sábado"))</f>
        <v/>
      </c>
    </row>
    <row r="438" customFormat="false" ht="15" hidden="false" customHeight="false" outlineLevel="0" collapsed="false">
      <c r="A438" s="0" t="str">
        <f aca="false">IF(AND(ISNUMBER(NATAL!$C138),NATAL!$D138="FOLGA"),"Folga Natal","")</f>
        <v/>
      </c>
      <c r="B438" s="0" t="str">
        <f aca="false">IF(AND(ISNUMBER(NATAL!$C138),NATAL!$D138="FOLGA"),NATAL!$A138&amp;"","")</f>
        <v/>
      </c>
      <c r="C438" s="0" t="str">
        <f aca="false">IF(AND(ISNUMBER(NATAL!$C138),NATAL!$D138="FOLGA"),NATAL!$B138&amp;"","")</f>
        <v/>
      </c>
      <c r="D438" s="78" t="str">
        <f aca="false">IF(AND(ISNUMBER(NATAL!$C138),NATAL!$D138="FOLGA"),NATAL!$C138,"")</f>
        <v/>
      </c>
      <c r="E438" s="0" t="str">
        <f aca="false">IF(AND(ISNUMBER(NATAL!$C138),NATAL!$D138="FOLGA"),NATAL!$E138&amp;"","")</f>
        <v/>
      </c>
      <c r="F438" s="0" t="str">
        <f aca="false">IF(AND(ISNUMBER(NATAL!$C138),NATAL!$D138="FOLGA"),NATAL!$F138&amp;"","")</f>
        <v/>
      </c>
      <c r="G438" s="0" t="str">
        <f aca="true">IF(D438="","",IF(D438=TODAY(),D438+ROW()/100000,""))</f>
        <v/>
      </c>
      <c r="H438" s="0" t="str">
        <f aca="true">IF(D438="","",IF(AND(D438&gt;TODAY(),D438&lt;=TODAY()+7),D438+ROW()/100000,""))</f>
        <v/>
      </c>
      <c r="I438" s="0" t="str">
        <f aca="false">IF(D438="","",IF(D438=CALENDÁRIO!$L$4,ROW(),""))</f>
        <v/>
      </c>
      <c r="J438" s="0" t="str">
        <f aca="false">IF(D438="","",CHOOSE(WEEKDAY(D438),"Domingo","Segunda","Terça","Quarta","Quinta","Sexta","Sábado"))</f>
        <v/>
      </c>
    </row>
    <row r="439" customFormat="false" ht="15" hidden="false" customHeight="false" outlineLevel="0" collapsed="false">
      <c r="A439" s="0" t="str">
        <f aca="false">IF(AND(ISNUMBER(NATAL!$C139),NATAL!$D139="FOLGA"),"Folga Natal","")</f>
        <v/>
      </c>
      <c r="B439" s="0" t="str">
        <f aca="false">IF(AND(ISNUMBER(NATAL!$C139),NATAL!$D139="FOLGA"),NATAL!$A139&amp;"","")</f>
        <v/>
      </c>
      <c r="C439" s="0" t="str">
        <f aca="false">IF(AND(ISNUMBER(NATAL!$C139),NATAL!$D139="FOLGA"),NATAL!$B139&amp;"","")</f>
        <v/>
      </c>
      <c r="D439" s="78" t="str">
        <f aca="false">IF(AND(ISNUMBER(NATAL!$C139),NATAL!$D139="FOLGA"),NATAL!$C139,"")</f>
        <v/>
      </c>
      <c r="E439" s="0" t="str">
        <f aca="false">IF(AND(ISNUMBER(NATAL!$C139),NATAL!$D139="FOLGA"),NATAL!$E139&amp;"","")</f>
        <v/>
      </c>
      <c r="F439" s="0" t="str">
        <f aca="false">IF(AND(ISNUMBER(NATAL!$C139),NATAL!$D139="FOLGA"),NATAL!$F139&amp;"","")</f>
        <v/>
      </c>
      <c r="G439" s="0" t="str">
        <f aca="true">IF(D439="","",IF(D439=TODAY(),D439+ROW()/100000,""))</f>
        <v/>
      </c>
      <c r="H439" s="0" t="str">
        <f aca="true">IF(D439="","",IF(AND(D439&gt;TODAY(),D439&lt;=TODAY()+7),D439+ROW()/100000,""))</f>
        <v/>
      </c>
      <c r="I439" s="0" t="str">
        <f aca="false">IF(D439="","",IF(D439=CALENDÁRIO!$L$4,ROW(),""))</f>
        <v/>
      </c>
      <c r="J439" s="0" t="str">
        <f aca="false">IF(D439="","",CHOOSE(WEEKDAY(D439),"Domingo","Segunda","Terça","Quarta","Quinta","Sexta","Sábado"))</f>
        <v/>
      </c>
    </row>
    <row r="440" customFormat="false" ht="15" hidden="false" customHeight="false" outlineLevel="0" collapsed="false">
      <c r="A440" s="0" t="str">
        <f aca="false">IF(AND(ISNUMBER(NATAL!$C140),NATAL!$D140="FOLGA"),"Folga Natal","")</f>
        <v/>
      </c>
      <c r="B440" s="0" t="str">
        <f aca="false">IF(AND(ISNUMBER(NATAL!$C140),NATAL!$D140="FOLGA"),NATAL!$A140&amp;"","")</f>
        <v/>
      </c>
      <c r="C440" s="0" t="str">
        <f aca="false">IF(AND(ISNUMBER(NATAL!$C140),NATAL!$D140="FOLGA"),NATAL!$B140&amp;"","")</f>
        <v/>
      </c>
      <c r="D440" s="78" t="str">
        <f aca="false">IF(AND(ISNUMBER(NATAL!$C140),NATAL!$D140="FOLGA"),NATAL!$C140,"")</f>
        <v/>
      </c>
      <c r="E440" s="0" t="str">
        <f aca="false">IF(AND(ISNUMBER(NATAL!$C140),NATAL!$D140="FOLGA"),NATAL!$E140&amp;"","")</f>
        <v/>
      </c>
      <c r="F440" s="0" t="str">
        <f aca="false">IF(AND(ISNUMBER(NATAL!$C140),NATAL!$D140="FOLGA"),NATAL!$F140&amp;"","")</f>
        <v/>
      </c>
      <c r="G440" s="0" t="str">
        <f aca="true">IF(D440="","",IF(D440=TODAY(),D440+ROW()/100000,""))</f>
        <v/>
      </c>
      <c r="H440" s="0" t="str">
        <f aca="true">IF(D440="","",IF(AND(D440&gt;TODAY(),D440&lt;=TODAY()+7),D440+ROW()/100000,""))</f>
        <v/>
      </c>
      <c r="I440" s="0" t="str">
        <f aca="false">IF(D440="","",IF(D440=CALENDÁRIO!$L$4,ROW(),""))</f>
        <v/>
      </c>
      <c r="J440" s="0" t="str">
        <f aca="false">IF(D440="","",CHOOSE(WEEKDAY(D440),"Domingo","Segunda","Terça","Quarta","Quinta","Sexta","Sábado"))</f>
        <v/>
      </c>
    </row>
    <row r="441" customFormat="false" ht="15" hidden="false" customHeight="false" outlineLevel="0" collapsed="false">
      <c r="A441" s="0" t="str">
        <f aca="false">IF(AND(ISNUMBER(NATAL!$C141),NATAL!$D141="FOLGA"),"Folga Natal","")</f>
        <v/>
      </c>
      <c r="B441" s="0" t="str">
        <f aca="false">IF(AND(ISNUMBER(NATAL!$C141),NATAL!$D141="FOLGA"),NATAL!$A141&amp;"","")</f>
        <v/>
      </c>
      <c r="C441" s="0" t="str">
        <f aca="false">IF(AND(ISNUMBER(NATAL!$C141),NATAL!$D141="FOLGA"),NATAL!$B141&amp;"","")</f>
        <v/>
      </c>
      <c r="D441" s="78" t="str">
        <f aca="false">IF(AND(ISNUMBER(NATAL!$C141),NATAL!$D141="FOLGA"),NATAL!$C141,"")</f>
        <v/>
      </c>
      <c r="E441" s="0" t="str">
        <f aca="false">IF(AND(ISNUMBER(NATAL!$C141),NATAL!$D141="FOLGA"),NATAL!$E141&amp;"","")</f>
        <v/>
      </c>
      <c r="F441" s="0" t="str">
        <f aca="false">IF(AND(ISNUMBER(NATAL!$C141),NATAL!$D141="FOLGA"),NATAL!$F141&amp;"","")</f>
        <v/>
      </c>
      <c r="G441" s="0" t="str">
        <f aca="true">IF(D441="","",IF(D441=TODAY(),D441+ROW()/100000,""))</f>
        <v/>
      </c>
      <c r="H441" s="0" t="str">
        <f aca="true">IF(D441="","",IF(AND(D441&gt;TODAY(),D441&lt;=TODAY()+7),D441+ROW()/100000,""))</f>
        <v/>
      </c>
      <c r="I441" s="0" t="str">
        <f aca="false">IF(D441="","",IF(D441=CALENDÁRIO!$L$4,ROW(),""))</f>
        <v/>
      </c>
      <c r="J441" s="0" t="str">
        <f aca="false">IF(D441="","",CHOOSE(WEEKDAY(D441),"Domingo","Segunda","Terça","Quarta","Quinta","Sexta","Sábado"))</f>
        <v/>
      </c>
    </row>
    <row r="442" customFormat="false" ht="15" hidden="false" customHeight="false" outlineLevel="0" collapsed="false">
      <c r="A442" s="0" t="str">
        <f aca="false">IF(AND(ISNUMBER(NATAL!$C142),NATAL!$D142="FOLGA"),"Folga Natal","")</f>
        <v/>
      </c>
      <c r="B442" s="0" t="str">
        <f aca="false">IF(AND(ISNUMBER(NATAL!$C142),NATAL!$D142="FOLGA"),NATAL!$A142&amp;"","")</f>
        <v/>
      </c>
      <c r="C442" s="0" t="str">
        <f aca="false">IF(AND(ISNUMBER(NATAL!$C142),NATAL!$D142="FOLGA"),NATAL!$B142&amp;"","")</f>
        <v/>
      </c>
      <c r="D442" s="78" t="str">
        <f aca="false">IF(AND(ISNUMBER(NATAL!$C142),NATAL!$D142="FOLGA"),NATAL!$C142,"")</f>
        <v/>
      </c>
      <c r="E442" s="0" t="str">
        <f aca="false">IF(AND(ISNUMBER(NATAL!$C142),NATAL!$D142="FOLGA"),NATAL!$E142&amp;"","")</f>
        <v/>
      </c>
      <c r="F442" s="0" t="str">
        <f aca="false">IF(AND(ISNUMBER(NATAL!$C142),NATAL!$D142="FOLGA"),NATAL!$F142&amp;"","")</f>
        <v/>
      </c>
      <c r="G442" s="0" t="str">
        <f aca="true">IF(D442="","",IF(D442=TODAY(),D442+ROW()/100000,""))</f>
        <v/>
      </c>
      <c r="H442" s="0" t="str">
        <f aca="true">IF(D442="","",IF(AND(D442&gt;TODAY(),D442&lt;=TODAY()+7),D442+ROW()/100000,""))</f>
        <v/>
      </c>
      <c r="I442" s="0" t="str">
        <f aca="false">IF(D442="","",IF(D442=CALENDÁRIO!$L$4,ROW(),""))</f>
        <v/>
      </c>
      <c r="J442" s="0" t="str">
        <f aca="false">IF(D442="","",CHOOSE(WEEKDAY(D442),"Domingo","Segunda","Terça","Quarta","Quinta","Sexta","Sábado"))</f>
        <v/>
      </c>
    </row>
    <row r="443" customFormat="false" ht="15" hidden="false" customHeight="false" outlineLevel="0" collapsed="false">
      <c r="A443" s="0" t="str">
        <f aca="false">IF(AND(ISNUMBER(NATAL!$C143),NATAL!$D143="FOLGA"),"Folga Natal","")</f>
        <v/>
      </c>
      <c r="B443" s="0" t="str">
        <f aca="false">IF(AND(ISNUMBER(NATAL!$C143),NATAL!$D143="FOLGA"),NATAL!$A143&amp;"","")</f>
        <v/>
      </c>
      <c r="C443" s="0" t="str">
        <f aca="false">IF(AND(ISNUMBER(NATAL!$C143),NATAL!$D143="FOLGA"),NATAL!$B143&amp;"","")</f>
        <v/>
      </c>
      <c r="D443" s="78" t="str">
        <f aca="false">IF(AND(ISNUMBER(NATAL!$C143),NATAL!$D143="FOLGA"),NATAL!$C143,"")</f>
        <v/>
      </c>
      <c r="E443" s="0" t="str">
        <f aca="false">IF(AND(ISNUMBER(NATAL!$C143),NATAL!$D143="FOLGA"),NATAL!$E143&amp;"","")</f>
        <v/>
      </c>
      <c r="F443" s="0" t="str">
        <f aca="false">IF(AND(ISNUMBER(NATAL!$C143),NATAL!$D143="FOLGA"),NATAL!$F143&amp;"","")</f>
        <v/>
      </c>
      <c r="G443" s="0" t="str">
        <f aca="true">IF(D443="","",IF(D443=TODAY(),D443+ROW()/100000,""))</f>
        <v/>
      </c>
      <c r="H443" s="0" t="str">
        <f aca="true">IF(D443="","",IF(AND(D443&gt;TODAY(),D443&lt;=TODAY()+7),D443+ROW()/100000,""))</f>
        <v/>
      </c>
      <c r="I443" s="0" t="str">
        <f aca="false">IF(D443="","",IF(D443=CALENDÁRIO!$L$4,ROW(),""))</f>
        <v/>
      </c>
      <c r="J443" s="0" t="str">
        <f aca="false">IF(D443="","",CHOOSE(WEEKDAY(D443),"Domingo","Segunda","Terça","Quarta","Quinta","Sexta","Sábado"))</f>
        <v/>
      </c>
    </row>
    <row r="444" customFormat="false" ht="15" hidden="false" customHeight="false" outlineLevel="0" collapsed="false">
      <c r="A444" s="0" t="str">
        <f aca="false">IF(AND(ISNUMBER(NATAL!$C144),NATAL!$D144="FOLGA"),"Folga Natal","")</f>
        <v/>
      </c>
      <c r="B444" s="0" t="str">
        <f aca="false">IF(AND(ISNUMBER(NATAL!$C144),NATAL!$D144="FOLGA"),NATAL!$A144&amp;"","")</f>
        <v/>
      </c>
      <c r="C444" s="0" t="str">
        <f aca="false">IF(AND(ISNUMBER(NATAL!$C144),NATAL!$D144="FOLGA"),NATAL!$B144&amp;"","")</f>
        <v/>
      </c>
      <c r="D444" s="78" t="str">
        <f aca="false">IF(AND(ISNUMBER(NATAL!$C144),NATAL!$D144="FOLGA"),NATAL!$C144,"")</f>
        <v/>
      </c>
      <c r="E444" s="0" t="str">
        <f aca="false">IF(AND(ISNUMBER(NATAL!$C144),NATAL!$D144="FOLGA"),NATAL!$E144&amp;"","")</f>
        <v/>
      </c>
      <c r="F444" s="0" t="str">
        <f aca="false">IF(AND(ISNUMBER(NATAL!$C144),NATAL!$D144="FOLGA"),NATAL!$F144&amp;"","")</f>
        <v/>
      </c>
      <c r="G444" s="0" t="str">
        <f aca="true">IF(D444="","",IF(D444=TODAY(),D444+ROW()/100000,""))</f>
        <v/>
      </c>
      <c r="H444" s="0" t="str">
        <f aca="true">IF(D444="","",IF(AND(D444&gt;TODAY(),D444&lt;=TODAY()+7),D444+ROW()/100000,""))</f>
        <v/>
      </c>
      <c r="I444" s="0" t="str">
        <f aca="false">IF(D444="","",IF(D444=CALENDÁRIO!$L$4,ROW(),""))</f>
        <v/>
      </c>
      <c r="J444" s="0" t="str">
        <f aca="false">IF(D444="","",CHOOSE(WEEKDAY(D444),"Domingo","Segunda","Terça","Quarta","Quinta","Sexta","Sábado"))</f>
        <v/>
      </c>
    </row>
    <row r="445" customFormat="false" ht="15" hidden="false" customHeight="false" outlineLevel="0" collapsed="false">
      <c r="A445" s="0" t="str">
        <f aca="false">IF(AND(ISNUMBER(NATAL!$C145),NATAL!$D145="FOLGA"),"Folga Natal","")</f>
        <v/>
      </c>
      <c r="B445" s="0" t="str">
        <f aca="false">IF(AND(ISNUMBER(NATAL!$C145),NATAL!$D145="FOLGA"),NATAL!$A145&amp;"","")</f>
        <v/>
      </c>
      <c r="C445" s="0" t="str">
        <f aca="false">IF(AND(ISNUMBER(NATAL!$C145),NATAL!$D145="FOLGA"),NATAL!$B145&amp;"","")</f>
        <v/>
      </c>
      <c r="D445" s="78" t="str">
        <f aca="false">IF(AND(ISNUMBER(NATAL!$C145),NATAL!$D145="FOLGA"),NATAL!$C145,"")</f>
        <v/>
      </c>
      <c r="E445" s="0" t="str">
        <f aca="false">IF(AND(ISNUMBER(NATAL!$C145),NATAL!$D145="FOLGA"),NATAL!$E145&amp;"","")</f>
        <v/>
      </c>
      <c r="F445" s="0" t="str">
        <f aca="false">IF(AND(ISNUMBER(NATAL!$C145),NATAL!$D145="FOLGA"),NATAL!$F145&amp;"","")</f>
        <v/>
      </c>
      <c r="G445" s="0" t="str">
        <f aca="true">IF(D445="","",IF(D445=TODAY(),D445+ROW()/100000,""))</f>
        <v/>
      </c>
      <c r="H445" s="0" t="str">
        <f aca="true">IF(D445="","",IF(AND(D445&gt;TODAY(),D445&lt;=TODAY()+7),D445+ROW()/100000,""))</f>
        <v/>
      </c>
      <c r="I445" s="0" t="str">
        <f aca="false">IF(D445="","",IF(D445=CALENDÁRIO!$L$4,ROW(),""))</f>
        <v/>
      </c>
      <c r="J445" s="0" t="str">
        <f aca="false">IF(D445="","",CHOOSE(WEEKDAY(D445),"Domingo","Segunda","Terça","Quarta","Quinta","Sexta","Sábado"))</f>
        <v/>
      </c>
    </row>
    <row r="446" customFormat="false" ht="15" hidden="false" customHeight="false" outlineLevel="0" collapsed="false">
      <c r="A446" s="0" t="str">
        <f aca="false">IF(AND(ISNUMBER(NATAL!$C146),NATAL!$D146="FOLGA"),"Folga Natal","")</f>
        <v/>
      </c>
      <c r="B446" s="0" t="str">
        <f aca="false">IF(AND(ISNUMBER(NATAL!$C146),NATAL!$D146="FOLGA"),NATAL!$A146&amp;"","")</f>
        <v/>
      </c>
      <c r="C446" s="0" t="str">
        <f aca="false">IF(AND(ISNUMBER(NATAL!$C146),NATAL!$D146="FOLGA"),NATAL!$B146&amp;"","")</f>
        <v/>
      </c>
      <c r="D446" s="78" t="str">
        <f aca="false">IF(AND(ISNUMBER(NATAL!$C146),NATAL!$D146="FOLGA"),NATAL!$C146,"")</f>
        <v/>
      </c>
      <c r="E446" s="0" t="str">
        <f aca="false">IF(AND(ISNUMBER(NATAL!$C146),NATAL!$D146="FOLGA"),NATAL!$E146&amp;"","")</f>
        <v/>
      </c>
      <c r="F446" s="0" t="str">
        <f aca="false">IF(AND(ISNUMBER(NATAL!$C146),NATAL!$D146="FOLGA"),NATAL!$F146&amp;"","")</f>
        <v/>
      </c>
      <c r="G446" s="0" t="str">
        <f aca="true">IF(D446="","",IF(D446=TODAY(),D446+ROW()/100000,""))</f>
        <v/>
      </c>
      <c r="H446" s="0" t="str">
        <f aca="true">IF(D446="","",IF(AND(D446&gt;TODAY(),D446&lt;=TODAY()+7),D446+ROW()/100000,""))</f>
        <v/>
      </c>
      <c r="I446" s="0" t="str">
        <f aca="false">IF(D446="","",IF(D446=CALENDÁRIO!$L$4,ROW(),""))</f>
        <v/>
      </c>
      <c r="J446" s="0" t="str">
        <f aca="false">IF(D446="","",CHOOSE(WEEKDAY(D446),"Domingo","Segunda","Terça","Quarta","Quinta","Sexta","Sábado"))</f>
        <v/>
      </c>
    </row>
    <row r="447" customFormat="false" ht="15" hidden="false" customHeight="false" outlineLevel="0" collapsed="false">
      <c r="A447" s="0" t="str">
        <f aca="false">IF(AND(ISNUMBER(NATAL!$C147),NATAL!$D147="FOLGA"),"Folga Natal","")</f>
        <v/>
      </c>
      <c r="B447" s="0" t="str">
        <f aca="false">IF(AND(ISNUMBER(NATAL!$C147),NATAL!$D147="FOLGA"),NATAL!$A147&amp;"","")</f>
        <v/>
      </c>
      <c r="C447" s="0" t="str">
        <f aca="false">IF(AND(ISNUMBER(NATAL!$C147),NATAL!$D147="FOLGA"),NATAL!$B147&amp;"","")</f>
        <v/>
      </c>
      <c r="D447" s="78" t="str">
        <f aca="false">IF(AND(ISNUMBER(NATAL!$C147),NATAL!$D147="FOLGA"),NATAL!$C147,"")</f>
        <v/>
      </c>
      <c r="E447" s="0" t="str">
        <f aca="false">IF(AND(ISNUMBER(NATAL!$C147),NATAL!$D147="FOLGA"),NATAL!$E147&amp;"","")</f>
        <v/>
      </c>
      <c r="F447" s="0" t="str">
        <f aca="false">IF(AND(ISNUMBER(NATAL!$C147),NATAL!$D147="FOLGA"),NATAL!$F147&amp;"","")</f>
        <v/>
      </c>
      <c r="G447" s="0" t="str">
        <f aca="true">IF(D447="","",IF(D447=TODAY(),D447+ROW()/100000,""))</f>
        <v/>
      </c>
      <c r="H447" s="0" t="str">
        <f aca="true">IF(D447="","",IF(AND(D447&gt;TODAY(),D447&lt;=TODAY()+7),D447+ROW()/100000,""))</f>
        <v/>
      </c>
      <c r="I447" s="0" t="str">
        <f aca="false">IF(D447="","",IF(D447=CALENDÁRIO!$L$4,ROW(),""))</f>
        <v/>
      </c>
      <c r="J447" s="0" t="str">
        <f aca="false">IF(D447="","",CHOOSE(WEEKDAY(D447),"Domingo","Segunda","Terça","Quarta","Quinta","Sexta","Sábado"))</f>
        <v/>
      </c>
    </row>
    <row r="448" customFormat="false" ht="15" hidden="false" customHeight="false" outlineLevel="0" collapsed="false">
      <c r="A448" s="0" t="str">
        <f aca="false">IF(AND(ISNUMBER(NATAL!$C148),NATAL!$D148="FOLGA"),"Folga Natal","")</f>
        <v/>
      </c>
      <c r="B448" s="0" t="str">
        <f aca="false">IF(AND(ISNUMBER(NATAL!$C148),NATAL!$D148="FOLGA"),NATAL!$A148&amp;"","")</f>
        <v/>
      </c>
      <c r="C448" s="0" t="str">
        <f aca="false">IF(AND(ISNUMBER(NATAL!$C148),NATAL!$D148="FOLGA"),NATAL!$B148&amp;"","")</f>
        <v/>
      </c>
      <c r="D448" s="78" t="str">
        <f aca="false">IF(AND(ISNUMBER(NATAL!$C148),NATAL!$D148="FOLGA"),NATAL!$C148,"")</f>
        <v/>
      </c>
      <c r="E448" s="0" t="str">
        <f aca="false">IF(AND(ISNUMBER(NATAL!$C148),NATAL!$D148="FOLGA"),NATAL!$E148&amp;"","")</f>
        <v/>
      </c>
      <c r="F448" s="0" t="str">
        <f aca="false">IF(AND(ISNUMBER(NATAL!$C148),NATAL!$D148="FOLGA"),NATAL!$F148&amp;"","")</f>
        <v/>
      </c>
      <c r="G448" s="0" t="str">
        <f aca="true">IF(D448="","",IF(D448=TODAY(),D448+ROW()/100000,""))</f>
        <v/>
      </c>
      <c r="H448" s="0" t="str">
        <f aca="true">IF(D448="","",IF(AND(D448&gt;TODAY(),D448&lt;=TODAY()+7),D448+ROW()/100000,""))</f>
        <v/>
      </c>
      <c r="I448" s="0" t="str">
        <f aca="false">IF(D448="","",IF(D448=CALENDÁRIO!$L$4,ROW(),""))</f>
        <v/>
      </c>
      <c r="J448" s="0" t="str">
        <f aca="false">IF(D448="","",CHOOSE(WEEKDAY(D448),"Domingo","Segunda","Terça","Quarta","Quinta","Sexta","Sábado"))</f>
        <v/>
      </c>
    </row>
    <row r="449" customFormat="false" ht="15" hidden="false" customHeight="false" outlineLevel="0" collapsed="false">
      <c r="A449" s="0" t="str">
        <f aca="false">IF(AND(ISNUMBER(NATAL!$C149),NATAL!$D149="FOLGA"),"Folga Natal","")</f>
        <v/>
      </c>
      <c r="B449" s="0" t="str">
        <f aca="false">IF(AND(ISNUMBER(NATAL!$C149),NATAL!$D149="FOLGA"),NATAL!$A149&amp;"","")</f>
        <v/>
      </c>
      <c r="C449" s="0" t="str">
        <f aca="false">IF(AND(ISNUMBER(NATAL!$C149),NATAL!$D149="FOLGA"),NATAL!$B149&amp;"","")</f>
        <v/>
      </c>
      <c r="D449" s="78" t="str">
        <f aca="false">IF(AND(ISNUMBER(NATAL!$C149),NATAL!$D149="FOLGA"),NATAL!$C149,"")</f>
        <v/>
      </c>
      <c r="E449" s="0" t="str">
        <f aca="false">IF(AND(ISNUMBER(NATAL!$C149),NATAL!$D149="FOLGA"),NATAL!$E149&amp;"","")</f>
        <v/>
      </c>
      <c r="F449" s="0" t="str">
        <f aca="false">IF(AND(ISNUMBER(NATAL!$C149),NATAL!$D149="FOLGA"),NATAL!$F149&amp;"","")</f>
        <v/>
      </c>
      <c r="G449" s="0" t="str">
        <f aca="true">IF(D449="","",IF(D449=TODAY(),D449+ROW()/100000,""))</f>
        <v/>
      </c>
      <c r="H449" s="0" t="str">
        <f aca="true">IF(D449="","",IF(AND(D449&gt;TODAY(),D449&lt;=TODAY()+7),D449+ROW()/100000,""))</f>
        <v/>
      </c>
      <c r="I449" s="0" t="str">
        <f aca="false">IF(D449="","",IF(D449=CALENDÁRIO!$L$4,ROW(),""))</f>
        <v/>
      </c>
      <c r="J449" s="0" t="str">
        <f aca="false">IF(D449="","",CHOOSE(WEEKDAY(D449),"Domingo","Segunda","Terça","Quarta","Quinta","Sexta","Sábado"))</f>
        <v/>
      </c>
    </row>
    <row r="450" customFormat="false" ht="15" hidden="false" customHeight="false" outlineLevel="0" collapsed="false">
      <c r="A450" s="0" t="str">
        <f aca="false">IF(AND(ISNUMBER(NATAL!$C150),NATAL!$D150="FOLGA"),"Folga Natal","")</f>
        <v/>
      </c>
      <c r="B450" s="0" t="str">
        <f aca="false">IF(AND(ISNUMBER(NATAL!$C150),NATAL!$D150="FOLGA"),NATAL!$A150&amp;"","")</f>
        <v/>
      </c>
      <c r="C450" s="0" t="str">
        <f aca="false">IF(AND(ISNUMBER(NATAL!$C150),NATAL!$D150="FOLGA"),NATAL!$B150&amp;"","")</f>
        <v/>
      </c>
      <c r="D450" s="78" t="str">
        <f aca="false">IF(AND(ISNUMBER(NATAL!$C150),NATAL!$D150="FOLGA"),NATAL!$C150,"")</f>
        <v/>
      </c>
      <c r="E450" s="0" t="str">
        <f aca="false">IF(AND(ISNUMBER(NATAL!$C150),NATAL!$D150="FOLGA"),NATAL!$E150&amp;"","")</f>
        <v/>
      </c>
      <c r="F450" s="0" t="str">
        <f aca="false">IF(AND(ISNUMBER(NATAL!$C150),NATAL!$D150="FOLGA"),NATAL!$F150&amp;"","")</f>
        <v/>
      </c>
      <c r="G450" s="0" t="str">
        <f aca="true">IF(D450="","",IF(D450=TODAY(),D450+ROW()/100000,""))</f>
        <v/>
      </c>
      <c r="H450" s="0" t="str">
        <f aca="true">IF(D450="","",IF(AND(D450&gt;TODAY(),D450&lt;=TODAY()+7),D450+ROW()/100000,""))</f>
        <v/>
      </c>
      <c r="I450" s="0" t="str">
        <f aca="false">IF(D450="","",IF(D450=CALENDÁRIO!$L$4,ROW(),""))</f>
        <v/>
      </c>
      <c r="J450" s="0" t="str">
        <f aca="false">IF(D450="","",CHOOSE(WEEKDAY(D450),"Domingo","Segunda","Terça","Quarta","Quinta","Sexta","Sábado"))</f>
        <v/>
      </c>
    </row>
    <row r="451" customFormat="false" ht="15" hidden="false" customHeight="false" outlineLevel="0" collapsed="false">
      <c r="A451" s="0" t="str">
        <f aca="false">IF(AND(ISNUMBER(NATAL!$C151),NATAL!$D151="FOLGA"),"Folga Natal","")</f>
        <v/>
      </c>
      <c r="B451" s="0" t="str">
        <f aca="false">IF(AND(ISNUMBER(NATAL!$C151),NATAL!$D151="FOLGA"),NATAL!$A151&amp;"","")</f>
        <v/>
      </c>
      <c r="C451" s="0" t="str">
        <f aca="false">IF(AND(ISNUMBER(NATAL!$C151),NATAL!$D151="FOLGA"),NATAL!$B151&amp;"","")</f>
        <v/>
      </c>
      <c r="D451" s="78" t="str">
        <f aca="false">IF(AND(ISNUMBER(NATAL!$C151),NATAL!$D151="FOLGA"),NATAL!$C151,"")</f>
        <v/>
      </c>
      <c r="E451" s="0" t="str">
        <f aca="false">IF(AND(ISNUMBER(NATAL!$C151),NATAL!$D151="FOLGA"),NATAL!$E151&amp;"","")</f>
        <v/>
      </c>
      <c r="F451" s="0" t="str">
        <f aca="false">IF(AND(ISNUMBER(NATAL!$C151),NATAL!$D151="FOLGA"),NATAL!$F151&amp;"","")</f>
        <v/>
      </c>
      <c r="G451" s="0" t="str">
        <f aca="true">IF(D451="","",IF(D451=TODAY(),D451+ROW()/100000,""))</f>
        <v/>
      </c>
      <c r="H451" s="0" t="str">
        <f aca="true">IF(D451="","",IF(AND(D451&gt;TODAY(),D451&lt;=TODAY()+7),D451+ROW()/100000,""))</f>
        <v/>
      </c>
      <c r="I451" s="0" t="str">
        <f aca="false">IF(D451="","",IF(D451=CALENDÁRIO!$L$4,ROW(),""))</f>
        <v/>
      </c>
      <c r="J451" s="0" t="str">
        <f aca="false">IF(D451="","",CHOOSE(WEEKDAY(D451),"Domingo","Segunda","Terça","Quarta","Quinta","Sexta","Sábado"))</f>
        <v/>
      </c>
    </row>
    <row r="452" customFormat="false" ht="15" hidden="false" customHeight="false" outlineLevel="0" collapsed="false">
      <c r="A452" s="0" t="str">
        <f aca="false">IF(AND(ISNUMBER(NATAL!$C152),NATAL!$D152="FOLGA"),"Folga Natal","")</f>
        <v/>
      </c>
      <c r="B452" s="0" t="str">
        <f aca="false">IF(AND(ISNUMBER(NATAL!$C152),NATAL!$D152="FOLGA"),NATAL!$A152&amp;"","")</f>
        <v/>
      </c>
      <c r="C452" s="0" t="str">
        <f aca="false">IF(AND(ISNUMBER(NATAL!$C152),NATAL!$D152="FOLGA"),NATAL!$B152&amp;"","")</f>
        <v/>
      </c>
      <c r="D452" s="78" t="str">
        <f aca="false">IF(AND(ISNUMBER(NATAL!$C152),NATAL!$D152="FOLGA"),NATAL!$C152,"")</f>
        <v/>
      </c>
      <c r="E452" s="0" t="str">
        <f aca="false">IF(AND(ISNUMBER(NATAL!$C152),NATAL!$D152="FOLGA"),NATAL!$E152&amp;"","")</f>
        <v/>
      </c>
      <c r="F452" s="0" t="str">
        <f aca="false">IF(AND(ISNUMBER(NATAL!$C152),NATAL!$D152="FOLGA"),NATAL!$F152&amp;"","")</f>
        <v/>
      </c>
      <c r="G452" s="0" t="str">
        <f aca="true">IF(D452="","",IF(D452=TODAY(),D452+ROW()/100000,""))</f>
        <v/>
      </c>
      <c r="H452" s="0" t="str">
        <f aca="true">IF(D452="","",IF(AND(D452&gt;TODAY(),D452&lt;=TODAY()+7),D452+ROW()/100000,""))</f>
        <v/>
      </c>
      <c r="I452" s="0" t="str">
        <f aca="false">IF(D452="","",IF(D452=CALENDÁRIO!$L$4,ROW(),""))</f>
        <v/>
      </c>
      <c r="J452" s="0" t="str">
        <f aca="false">IF(D452="","",CHOOSE(WEEKDAY(D452),"Domingo","Segunda","Terça","Quarta","Quinta","Sexta","Sábado"))</f>
        <v/>
      </c>
    </row>
    <row r="453" customFormat="false" ht="15" hidden="false" customHeight="false" outlineLevel="0" collapsed="false">
      <c r="A453" s="0" t="str">
        <f aca="false">IF(AND(ISNUMBER(NATAL!$C153),NATAL!$D153="FOLGA"),"Folga Natal","")</f>
        <v/>
      </c>
      <c r="B453" s="0" t="str">
        <f aca="false">IF(AND(ISNUMBER(NATAL!$C153),NATAL!$D153="FOLGA"),NATAL!$A153&amp;"","")</f>
        <v/>
      </c>
      <c r="C453" s="0" t="str">
        <f aca="false">IF(AND(ISNUMBER(NATAL!$C153),NATAL!$D153="FOLGA"),NATAL!$B153&amp;"","")</f>
        <v/>
      </c>
      <c r="D453" s="78" t="str">
        <f aca="false">IF(AND(ISNUMBER(NATAL!$C153),NATAL!$D153="FOLGA"),NATAL!$C153,"")</f>
        <v/>
      </c>
      <c r="E453" s="0" t="str">
        <f aca="false">IF(AND(ISNUMBER(NATAL!$C153),NATAL!$D153="FOLGA"),NATAL!$E153&amp;"","")</f>
        <v/>
      </c>
      <c r="F453" s="0" t="str">
        <f aca="false">IF(AND(ISNUMBER(NATAL!$C153),NATAL!$D153="FOLGA"),NATAL!$F153&amp;"","")</f>
        <v/>
      </c>
      <c r="G453" s="0" t="str">
        <f aca="true">IF(D453="","",IF(D453=TODAY(),D453+ROW()/100000,""))</f>
        <v/>
      </c>
      <c r="H453" s="0" t="str">
        <f aca="true">IF(D453="","",IF(AND(D453&gt;TODAY(),D453&lt;=TODAY()+7),D453+ROW()/100000,""))</f>
        <v/>
      </c>
      <c r="I453" s="0" t="str">
        <f aca="false">IF(D453="","",IF(D453=CALENDÁRIO!$L$4,ROW(),""))</f>
        <v/>
      </c>
      <c r="J453" s="0" t="str">
        <f aca="false">IF(D453="","",CHOOSE(WEEKDAY(D453),"Domingo","Segunda","Terça","Quarta","Quinta","Sexta","Sábado"))</f>
        <v/>
      </c>
    </row>
    <row r="454" customFormat="false" ht="15" hidden="false" customHeight="false" outlineLevel="0" collapsed="false">
      <c r="A454" s="0" t="str">
        <f aca="false">IF(AND(ISNUMBER(NATAL!$C154),NATAL!$D154="FOLGA"),"Folga Natal","")</f>
        <v/>
      </c>
      <c r="B454" s="0" t="str">
        <f aca="false">IF(AND(ISNUMBER(NATAL!$C154),NATAL!$D154="FOLGA"),NATAL!$A154&amp;"","")</f>
        <v/>
      </c>
      <c r="C454" s="0" t="str">
        <f aca="false">IF(AND(ISNUMBER(NATAL!$C154),NATAL!$D154="FOLGA"),NATAL!$B154&amp;"","")</f>
        <v/>
      </c>
      <c r="D454" s="78" t="str">
        <f aca="false">IF(AND(ISNUMBER(NATAL!$C154),NATAL!$D154="FOLGA"),NATAL!$C154,"")</f>
        <v/>
      </c>
      <c r="E454" s="0" t="str">
        <f aca="false">IF(AND(ISNUMBER(NATAL!$C154),NATAL!$D154="FOLGA"),NATAL!$E154&amp;"","")</f>
        <v/>
      </c>
      <c r="F454" s="0" t="str">
        <f aca="false">IF(AND(ISNUMBER(NATAL!$C154),NATAL!$D154="FOLGA"),NATAL!$F154&amp;"","")</f>
        <v/>
      </c>
      <c r="G454" s="0" t="str">
        <f aca="true">IF(D454="","",IF(D454=TODAY(),D454+ROW()/100000,""))</f>
        <v/>
      </c>
      <c r="H454" s="0" t="str">
        <f aca="true">IF(D454="","",IF(AND(D454&gt;TODAY(),D454&lt;=TODAY()+7),D454+ROW()/100000,""))</f>
        <v/>
      </c>
      <c r="I454" s="0" t="str">
        <f aca="false">IF(D454="","",IF(D454=CALENDÁRIO!$L$4,ROW(),""))</f>
        <v/>
      </c>
      <c r="J454" s="0" t="str">
        <f aca="false">IF(D454="","",CHOOSE(WEEKDAY(D454),"Domingo","Segunda","Terça","Quarta","Quinta","Sexta","Sábado"))</f>
        <v/>
      </c>
    </row>
    <row r="455" customFormat="false" ht="15" hidden="false" customHeight="false" outlineLevel="0" collapsed="false">
      <c r="A455" s="0" t="str">
        <f aca="false">IF(AND(ISNUMBER(NATAL!$C155),NATAL!$D155="FOLGA"),"Folga Natal","")</f>
        <v/>
      </c>
      <c r="B455" s="0" t="str">
        <f aca="false">IF(AND(ISNUMBER(NATAL!$C155),NATAL!$D155="FOLGA"),NATAL!$A155&amp;"","")</f>
        <v/>
      </c>
      <c r="C455" s="0" t="str">
        <f aca="false">IF(AND(ISNUMBER(NATAL!$C155),NATAL!$D155="FOLGA"),NATAL!$B155&amp;"","")</f>
        <v/>
      </c>
      <c r="D455" s="78" t="str">
        <f aca="false">IF(AND(ISNUMBER(NATAL!$C155),NATAL!$D155="FOLGA"),NATAL!$C155,"")</f>
        <v/>
      </c>
      <c r="E455" s="0" t="str">
        <f aca="false">IF(AND(ISNUMBER(NATAL!$C155),NATAL!$D155="FOLGA"),NATAL!$E155&amp;"","")</f>
        <v/>
      </c>
      <c r="F455" s="0" t="str">
        <f aca="false">IF(AND(ISNUMBER(NATAL!$C155),NATAL!$D155="FOLGA"),NATAL!$F155&amp;"","")</f>
        <v/>
      </c>
      <c r="G455" s="0" t="str">
        <f aca="true">IF(D455="","",IF(D455=TODAY(),D455+ROW()/100000,""))</f>
        <v/>
      </c>
      <c r="H455" s="0" t="str">
        <f aca="true">IF(D455="","",IF(AND(D455&gt;TODAY(),D455&lt;=TODAY()+7),D455+ROW()/100000,""))</f>
        <v/>
      </c>
      <c r="I455" s="0" t="str">
        <f aca="false">IF(D455="","",IF(D455=CALENDÁRIO!$L$4,ROW(),""))</f>
        <v/>
      </c>
      <c r="J455" s="0" t="str">
        <f aca="false">IF(D455="","",CHOOSE(WEEKDAY(D455),"Domingo","Segunda","Terça","Quarta","Quinta","Sexta","Sábado"))</f>
        <v/>
      </c>
    </row>
    <row r="456" customFormat="false" ht="15" hidden="false" customHeight="false" outlineLevel="0" collapsed="false">
      <c r="A456" s="0" t="str">
        <f aca="false">IF(AND(ISNUMBER(NATAL!$C156),NATAL!$D156="FOLGA"),"Folga Natal","")</f>
        <v/>
      </c>
      <c r="B456" s="0" t="str">
        <f aca="false">IF(AND(ISNUMBER(NATAL!$C156),NATAL!$D156="FOLGA"),NATAL!$A156&amp;"","")</f>
        <v/>
      </c>
      <c r="C456" s="0" t="str">
        <f aca="false">IF(AND(ISNUMBER(NATAL!$C156),NATAL!$D156="FOLGA"),NATAL!$B156&amp;"","")</f>
        <v/>
      </c>
      <c r="D456" s="78" t="str">
        <f aca="false">IF(AND(ISNUMBER(NATAL!$C156),NATAL!$D156="FOLGA"),NATAL!$C156,"")</f>
        <v/>
      </c>
      <c r="E456" s="0" t="str">
        <f aca="false">IF(AND(ISNUMBER(NATAL!$C156),NATAL!$D156="FOLGA"),NATAL!$E156&amp;"","")</f>
        <v/>
      </c>
      <c r="F456" s="0" t="str">
        <f aca="false">IF(AND(ISNUMBER(NATAL!$C156),NATAL!$D156="FOLGA"),NATAL!$F156&amp;"","")</f>
        <v/>
      </c>
      <c r="G456" s="0" t="str">
        <f aca="true">IF(D456="","",IF(D456=TODAY(),D456+ROW()/100000,""))</f>
        <v/>
      </c>
      <c r="H456" s="0" t="str">
        <f aca="true">IF(D456="","",IF(AND(D456&gt;TODAY(),D456&lt;=TODAY()+7),D456+ROW()/100000,""))</f>
        <v/>
      </c>
      <c r="I456" s="0" t="str">
        <f aca="false">IF(D456="","",IF(D456=CALENDÁRIO!$L$4,ROW(),""))</f>
        <v/>
      </c>
      <c r="J456" s="0" t="str">
        <f aca="false">IF(D456="","",CHOOSE(WEEKDAY(D456),"Domingo","Segunda","Terça","Quarta","Quinta","Sexta","Sábado"))</f>
        <v/>
      </c>
    </row>
    <row r="457" customFormat="false" ht="15" hidden="false" customHeight="false" outlineLevel="0" collapsed="false">
      <c r="A457" s="0" t="str">
        <f aca="false">IF(AND(ISNUMBER(NATAL!$C157),NATAL!$D157="FOLGA"),"Folga Natal","")</f>
        <v/>
      </c>
      <c r="B457" s="0" t="str">
        <f aca="false">IF(AND(ISNUMBER(NATAL!$C157),NATAL!$D157="FOLGA"),NATAL!$A157&amp;"","")</f>
        <v/>
      </c>
      <c r="C457" s="0" t="str">
        <f aca="false">IF(AND(ISNUMBER(NATAL!$C157),NATAL!$D157="FOLGA"),NATAL!$B157&amp;"","")</f>
        <v/>
      </c>
      <c r="D457" s="78" t="str">
        <f aca="false">IF(AND(ISNUMBER(NATAL!$C157),NATAL!$D157="FOLGA"),NATAL!$C157,"")</f>
        <v/>
      </c>
      <c r="E457" s="0" t="str">
        <f aca="false">IF(AND(ISNUMBER(NATAL!$C157),NATAL!$D157="FOLGA"),NATAL!$E157&amp;"","")</f>
        <v/>
      </c>
      <c r="F457" s="0" t="str">
        <f aca="false">IF(AND(ISNUMBER(NATAL!$C157),NATAL!$D157="FOLGA"),NATAL!$F157&amp;"","")</f>
        <v/>
      </c>
      <c r="G457" s="0" t="str">
        <f aca="true">IF(D457="","",IF(D457=TODAY(),D457+ROW()/100000,""))</f>
        <v/>
      </c>
      <c r="H457" s="0" t="str">
        <f aca="true">IF(D457="","",IF(AND(D457&gt;TODAY(),D457&lt;=TODAY()+7),D457+ROW()/100000,""))</f>
        <v/>
      </c>
      <c r="I457" s="0" t="str">
        <f aca="false">IF(D457="","",IF(D457=CALENDÁRIO!$L$4,ROW(),""))</f>
        <v/>
      </c>
      <c r="J457" s="0" t="str">
        <f aca="false">IF(D457="","",CHOOSE(WEEKDAY(D457),"Domingo","Segunda","Terça","Quarta","Quinta","Sexta","Sábado"))</f>
        <v/>
      </c>
    </row>
    <row r="458" customFormat="false" ht="15" hidden="false" customHeight="false" outlineLevel="0" collapsed="false">
      <c r="A458" s="0" t="str">
        <f aca="false">IF(AND(ISNUMBER(NATAL!$C158),NATAL!$D158="FOLGA"),"Folga Natal","")</f>
        <v/>
      </c>
      <c r="B458" s="0" t="str">
        <f aca="false">IF(AND(ISNUMBER(NATAL!$C158),NATAL!$D158="FOLGA"),NATAL!$A158&amp;"","")</f>
        <v/>
      </c>
      <c r="C458" s="0" t="str">
        <f aca="false">IF(AND(ISNUMBER(NATAL!$C158),NATAL!$D158="FOLGA"),NATAL!$B158&amp;"","")</f>
        <v/>
      </c>
      <c r="D458" s="78" t="str">
        <f aca="false">IF(AND(ISNUMBER(NATAL!$C158),NATAL!$D158="FOLGA"),NATAL!$C158,"")</f>
        <v/>
      </c>
      <c r="E458" s="0" t="str">
        <f aca="false">IF(AND(ISNUMBER(NATAL!$C158),NATAL!$D158="FOLGA"),NATAL!$E158&amp;"","")</f>
        <v/>
      </c>
      <c r="F458" s="0" t="str">
        <f aca="false">IF(AND(ISNUMBER(NATAL!$C158),NATAL!$D158="FOLGA"),NATAL!$F158&amp;"","")</f>
        <v/>
      </c>
      <c r="G458" s="0" t="str">
        <f aca="true">IF(D458="","",IF(D458=TODAY(),D458+ROW()/100000,""))</f>
        <v/>
      </c>
      <c r="H458" s="0" t="str">
        <f aca="true">IF(D458="","",IF(AND(D458&gt;TODAY(),D458&lt;=TODAY()+7),D458+ROW()/100000,""))</f>
        <v/>
      </c>
      <c r="I458" s="0" t="str">
        <f aca="false">IF(D458="","",IF(D458=CALENDÁRIO!$L$4,ROW(),""))</f>
        <v/>
      </c>
      <c r="J458" s="0" t="str">
        <f aca="false">IF(D458="","",CHOOSE(WEEKDAY(D458),"Domingo","Segunda","Terça","Quarta","Quinta","Sexta","Sábado"))</f>
        <v/>
      </c>
    </row>
    <row r="459" customFormat="false" ht="15" hidden="false" customHeight="false" outlineLevel="0" collapsed="false">
      <c r="A459" s="0" t="str">
        <f aca="false">IF(AND(ISNUMBER(NATAL!$C159),NATAL!$D159="FOLGA"),"Folga Natal","")</f>
        <v/>
      </c>
      <c r="B459" s="0" t="str">
        <f aca="false">IF(AND(ISNUMBER(NATAL!$C159),NATAL!$D159="FOLGA"),NATAL!$A159&amp;"","")</f>
        <v/>
      </c>
      <c r="C459" s="0" t="str">
        <f aca="false">IF(AND(ISNUMBER(NATAL!$C159),NATAL!$D159="FOLGA"),NATAL!$B159&amp;"","")</f>
        <v/>
      </c>
      <c r="D459" s="78" t="str">
        <f aca="false">IF(AND(ISNUMBER(NATAL!$C159),NATAL!$D159="FOLGA"),NATAL!$C159,"")</f>
        <v/>
      </c>
      <c r="E459" s="0" t="str">
        <f aca="false">IF(AND(ISNUMBER(NATAL!$C159),NATAL!$D159="FOLGA"),NATAL!$E159&amp;"","")</f>
        <v/>
      </c>
      <c r="F459" s="0" t="str">
        <f aca="false">IF(AND(ISNUMBER(NATAL!$C159),NATAL!$D159="FOLGA"),NATAL!$F159&amp;"","")</f>
        <v/>
      </c>
      <c r="G459" s="0" t="str">
        <f aca="true">IF(D459="","",IF(D459=TODAY(),D459+ROW()/100000,""))</f>
        <v/>
      </c>
      <c r="H459" s="0" t="str">
        <f aca="true">IF(D459="","",IF(AND(D459&gt;TODAY(),D459&lt;=TODAY()+7),D459+ROW()/100000,""))</f>
        <v/>
      </c>
      <c r="I459" s="0" t="str">
        <f aca="false">IF(D459="","",IF(D459=CALENDÁRIO!$L$4,ROW(),""))</f>
        <v/>
      </c>
      <c r="J459" s="0" t="str">
        <f aca="false">IF(D459="","",CHOOSE(WEEKDAY(D459),"Domingo","Segunda","Terça","Quarta","Quinta","Sexta","Sábado"))</f>
        <v/>
      </c>
    </row>
    <row r="460" customFormat="false" ht="15" hidden="false" customHeight="false" outlineLevel="0" collapsed="false">
      <c r="A460" s="0" t="str">
        <f aca="false">IF(AND(ISNUMBER(NATAL!$C160),NATAL!$D160="FOLGA"),"Folga Natal","")</f>
        <v/>
      </c>
      <c r="B460" s="0" t="str">
        <f aca="false">IF(AND(ISNUMBER(NATAL!$C160),NATAL!$D160="FOLGA"),NATAL!$A160&amp;"","")</f>
        <v/>
      </c>
      <c r="C460" s="0" t="str">
        <f aca="false">IF(AND(ISNUMBER(NATAL!$C160),NATAL!$D160="FOLGA"),NATAL!$B160&amp;"","")</f>
        <v/>
      </c>
      <c r="D460" s="78" t="str">
        <f aca="false">IF(AND(ISNUMBER(NATAL!$C160),NATAL!$D160="FOLGA"),NATAL!$C160,"")</f>
        <v/>
      </c>
      <c r="E460" s="0" t="str">
        <f aca="false">IF(AND(ISNUMBER(NATAL!$C160),NATAL!$D160="FOLGA"),NATAL!$E160&amp;"","")</f>
        <v/>
      </c>
      <c r="F460" s="0" t="str">
        <f aca="false">IF(AND(ISNUMBER(NATAL!$C160),NATAL!$D160="FOLGA"),NATAL!$F160&amp;"","")</f>
        <v/>
      </c>
      <c r="G460" s="0" t="str">
        <f aca="true">IF(D460="","",IF(D460=TODAY(),D460+ROW()/100000,""))</f>
        <v/>
      </c>
      <c r="H460" s="0" t="str">
        <f aca="true">IF(D460="","",IF(AND(D460&gt;TODAY(),D460&lt;=TODAY()+7),D460+ROW()/100000,""))</f>
        <v/>
      </c>
      <c r="I460" s="0" t="str">
        <f aca="false">IF(D460="","",IF(D460=CALENDÁRIO!$L$4,ROW(),""))</f>
        <v/>
      </c>
      <c r="J460" s="0" t="str">
        <f aca="false">IF(D460="","",CHOOSE(WEEKDAY(D460),"Domingo","Segunda","Terça","Quarta","Quinta","Sexta","Sábado"))</f>
        <v/>
      </c>
    </row>
    <row r="461" customFormat="false" ht="15" hidden="false" customHeight="false" outlineLevel="0" collapsed="false">
      <c r="A461" s="0" t="str">
        <f aca="false">IF(AND(ISNUMBER(NATAL!$C161),NATAL!$D161="FOLGA"),"Folga Natal","")</f>
        <v/>
      </c>
      <c r="B461" s="0" t="str">
        <f aca="false">IF(AND(ISNUMBER(NATAL!$C161),NATAL!$D161="FOLGA"),NATAL!$A161&amp;"","")</f>
        <v/>
      </c>
      <c r="C461" s="0" t="str">
        <f aca="false">IF(AND(ISNUMBER(NATAL!$C161),NATAL!$D161="FOLGA"),NATAL!$B161&amp;"","")</f>
        <v/>
      </c>
      <c r="D461" s="78" t="str">
        <f aca="false">IF(AND(ISNUMBER(NATAL!$C161),NATAL!$D161="FOLGA"),NATAL!$C161,"")</f>
        <v/>
      </c>
      <c r="E461" s="0" t="str">
        <f aca="false">IF(AND(ISNUMBER(NATAL!$C161),NATAL!$D161="FOLGA"),NATAL!$E161&amp;"","")</f>
        <v/>
      </c>
      <c r="F461" s="0" t="str">
        <f aca="false">IF(AND(ISNUMBER(NATAL!$C161),NATAL!$D161="FOLGA"),NATAL!$F161&amp;"","")</f>
        <v/>
      </c>
      <c r="G461" s="0" t="str">
        <f aca="true">IF(D461="","",IF(D461=TODAY(),D461+ROW()/100000,""))</f>
        <v/>
      </c>
      <c r="H461" s="0" t="str">
        <f aca="true">IF(D461="","",IF(AND(D461&gt;TODAY(),D461&lt;=TODAY()+7),D461+ROW()/100000,""))</f>
        <v/>
      </c>
      <c r="I461" s="0" t="str">
        <f aca="false">IF(D461="","",IF(D461=CALENDÁRIO!$L$4,ROW(),""))</f>
        <v/>
      </c>
      <c r="J461" s="0" t="str">
        <f aca="false">IF(D461="","",CHOOSE(WEEKDAY(D461),"Domingo","Segunda","Terça","Quarta","Quinta","Sexta","Sábado"))</f>
        <v/>
      </c>
    </row>
    <row r="462" customFormat="false" ht="15" hidden="false" customHeight="false" outlineLevel="0" collapsed="false">
      <c r="A462" s="0" t="str">
        <f aca="false">IF(AND(ISNUMBER(NATAL!$C162),NATAL!$D162="FOLGA"),"Folga Natal","")</f>
        <v/>
      </c>
      <c r="B462" s="0" t="str">
        <f aca="false">IF(AND(ISNUMBER(NATAL!$C162),NATAL!$D162="FOLGA"),NATAL!$A162&amp;"","")</f>
        <v/>
      </c>
      <c r="C462" s="0" t="str">
        <f aca="false">IF(AND(ISNUMBER(NATAL!$C162),NATAL!$D162="FOLGA"),NATAL!$B162&amp;"","")</f>
        <v/>
      </c>
      <c r="D462" s="78" t="str">
        <f aca="false">IF(AND(ISNUMBER(NATAL!$C162),NATAL!$D162="FOLGA"),NATAL!$C162,"")</f>
        <v/>
      </c>
      <c r="E462" s="0" t="str">
        <f aca="false">IF(AND(ISNUMBER(NATAL!$C162),NATAL!$D162="FOLGA"),NATAL!$E162&amp;"","")</f>
        <v/>
      </c>
      <c r="F462" s="0" t="str">
        <f aca="false">IF(AND(ISNUMBER(NATAL!$C162),NATAL!$D162="FOLGA"),NATAL!$F162&amp;"","")</f>
        <v/>
      </c>
      <c r="G462" s="0" t="str">
        <f aca="true">IF(D462="","",IF(D462=TODAY(),D462+ROW()/100000,""))</f>
        <v/>
      </c>
      <c r="H462" s="0" t="str">
        <f aca="true">IF(D462="","",IF(AND(D462&gt;TODAY(),D462&lt;=TODAY()+7),D462+ROW()/100000,""))</f>
        <v/>
      </c>
      <c r="I462" s="0" t="str">
        <f aca="false">IF(D462="","",IF(D462=CALENDÁRIO!$L$4,ROW(),""))</f>
        <v/>
      </c>
      <c r="J462" s="0" t="str">
        <f aca="false">IF(D462="","",CHOOSE(WEEKDAY(D462),"Domingo","Segunda","Terça","Quarta","Quinta","Sexta","Sábado"))</f>
        <v/>
      </c>
    </row>
    <row r="463" customFormat="false" ht="15" hidden="false" customHeight="false" outlineLevel="0" collapsed="false">
      <c r="A463" s="0" t="str">
        <f aca="false">IF(AND(ISNUMBER(NATAL!$C163),NATAL!$D163="FOLGA"),"Folga Natal","")</f>
        <v/>
      </c>
      <c r="B463" s="0" t="str">
        <f aca="false">IF(AND(ISNUMBER(NATAL!$C163),NATAL!$D163="FOLGA"),NATAL!$A163&amp;"","")</f>
        <v/>
      </c>
      <c r="C463" s="0" t="str">
        <f aca="false">IF(AND(ISNUMBER(NATAL!$C163),NATAL!$D163="FOLGA"),NATAL!$B163&amp;"","")</f>
        <v/>
      </c>
      <c r="D463" s="78" t="str">
        <f aca="false">IF(AND(ISNUMBER(NATAL!$C163),NATAL!$D163="FOLGA"),NATAL!$C163,"")</f>
        <v/>
      </c>
      <c r="E463" s="0" t="str">
        <f aca="false">IF(AND(ISNUMBER(NATAL!$C163),NATAL!$D163="FOLGA"),NATAL!$E163&amp;"","")</f>
        <v/>
      </c>
      <c r="F463" s="0" t="str">
        <f aca="false">IF(AND(ISNUMBER(NATAL!$C163),NATAL!$D163="FOLGA"),NATAL!$F163&amp;"","")</f>
        <v/>
      </c>
      <c r="G463" s="0" t="str">
        <f aca="true">IF(D463="","",IF(D463=TODAY(),D463+ROW()/100000,""))</f>
        <v/>
      </c>
      <c r="H463" s="0" t="str">
        <f aca="true">IF(D463="","",IF(AND(D463&gt;TODAY(),D463&lt;=TODAY()+7),D463+ROW()/100000,""))</f>
        <v/>
      </c>
      <c r="I463" s="0" t="str">
        <f aca="false">IF(D463="","",IF(D463=CALENDÁRIO!$L$4,ROW(),""))</f>
        <v/>
      </c>
      <c r="J463" s="0" t="str">
        <f aca="false">IF(D463="","",CHOOSE(WEEKDAY(D463),"Domingo","Segunda","Terça","Quarta","Quinta","Sexta","Sábado"))</f>
        <v/>
      </c>
    </row>
    <row r="464" customFormat="false" ht="15" hidden="false" customHeight="false" outlineLevel="0" collapsed="false">
      <c r="A464" s="0" t="str">
        <f aca="false">IF(AND(ISNUMBER(NATAL!$C164),NATAL!$D164="FOLGA"),"Folga Natal","")</f>
        <v/>
      </c>
      <c r="B464" s="0" t="str">
        <f aca="false">IF(AND(ISNUMBER(NATAL!$C164),NATAL!$D164="FOLGA"),NATAL!$A164&amp;"","")</f>
        <v/>
      </c>
      <c r="C464" s="0" t="str">
        <f aca="false">IF(AND(ISNUMBER(NATAL!$C164),NATAL!$D164="FOLGA"),NATAL!$B164&amp;"","")</f>
        <v/>
      </c>
      <c r="D464" s="78" t="str">
        <f aca="false">IF(AND(ISNUMBER(NATAL!$C164),NATAL!$D164="FOLGA"),NATAL!$C164,"")</f>
        <v/>
      </c>
      <c r="E464" s="0" t="str">
        <f aca="false">IF(AND(ISNUMBER(NATAL!$C164),NATAL!$D164="FOLGA"),NATAL!$E164&amp;"","")</f>
        <v/>
      </c>
      <c r="F464" s="0" t="str">
        <f aca="false">IF(AND(ISNUMBER(NATAL!$C164),NATAL!$D164="FOLGA"),NATAL!$F164&amp;"","")</f>
        <v/>
      </c>
      <c r="G464" s="0" t="str">
        <f aca="true">IF(D464="","",IF(D464=TODAY(),D464+ROW()/100000,""))</f>
        <v/>
      </c>
      <c r="H464" s="0" t="str">
        <f aca="true">IF(D464="","",IF(AND(D464&gt;TODAY(),D464&lt;=TODAY()+7),D464+ROW()/100000,""))</f>
        <v/>
      </c>
      <c r="I464" s="0" t="str">
        <f aca="false">IF(D464="","",IF(D464=CALENDÁRIO!$L$4,ROW(),""))</f>
        <v/>
      </c>
      <c r="J464" s="0" t="str">
        <f aca="false">IF(D464="","",CHOOSE(WEEKDAY(D464),"Domingo","Segunda","Terça","Quarta","Quinta","Sexta","Sábado"))</f>
        <v/>
      </c>
    </row>
    <row r="465" customFormat="false" ht="15" hidden="false" customHeight="false" outlineLevel="0" collapsed="false">
      <c r="A465" s="0" t="str">
        <f aca="false">IF(AND(ISNUMBER(NATAL!$C165),NATAL!$D165="FOLGA"),"Folga Natal","")</f>
        <v/>
      </c>
      <c r="B465" s="0" t="str">
        <f aca="false">IF(AND(ISNUMBER(NATAL!$C165),NATAL!$D165="FOLGA"),NATAL!$A165&amp;"","")</f>
        <v/>
      </c>
      <c r="C465" s="0" t="str">
        <f aca="false">IF(AND(ISNUMBER(NATAL!$C165),NATAL!$D165="FOLGA"),NATAL!$B165&amp;"","")</f>
        <v/>
      </c>
      <c r="D465" s="78" t="str">
        <f aca="false">IF(AND(ISNUMBER(NATAL!$C165),NATAL!$D165="FOLGA"),NATAL!$C165,"")</f>
        <v/>
      </c>
      <c r="E465" s="0" t="str">
        <f aca="false">IF(AND(ISNUMBER(NATAL!$C165),NATAL!$D165="FOLGA"),NATAL!$E165&amp;"","")</f>
        <v/>
      </c>
      <c r="F465" s="0" t="str">
        <f aca="false">IF(AND(ISNUMBER(NATAL!$C165),NATAL!$D165="FOLGA"),NATAL!$F165&amp;"","")</f>
        <v/>
      </c>
      <c r="G465" s="0" t="str">
        <f aca="true">IF(D465="","",IF(D465=TODAY(),D465+ROW()/100000,""))</f>
        <v/>
      </c>
      <c r="H465" s="0" t="str">
        <f aca="true">IF(D465="","",IF(AND(D465&gt;TODAY(),D465&lt;=TODAY()+7),D465+ROW()/100000,""))</f>
        <v/>
      </c>
      <c r="I465" s="0" t="str">
        <f aca="false">IF(D465="","",IF(D465=CALENDÁRIO!$L$4,ROW(),""))</f>
        <v/>
      </c>
      <c r="J465" s="0" t="str">
        <f aca="false">IF(D465="","",CHOOSE(WEEKDAY(D465),"Domingo","Segunda","Terça","Quarta","Quinta","Sexta","Sábado"))</f>
        <v/>
      </c>
    </row>
    <row r="466" customFormat="false" ht="15" hidden="false" customHeight="false" outlineLevel="0" collapsed="false">
      <c r="A466" s="0" t="str">
        <f aca="false">IF(AND(ISNUMBER(NATAL!$C166),NATAL!$D166="FOLGA"),"Folga Natal","")</f>
        <v/>
      </c>
      <c r="B466" s="0" t="str">
        <f aca="false">IF(AND(ISNUMBER(NATAL!$C166),NATAL!$D166="FOLGA"),NATAL!$A166&amp;"","")</f>
        <v/>
      </c>
      <c r="C466" s="0" t="str">
        <f aca="false">IF(AND(ISNUMBER(NATAL!$C166),NATAL!$D166="FOLGA"),NATAL!$B166&amp;"","")</f>
        <v/>
      </c>
      <c r="D466" s="78" t="str">
        <f aca="false">IF(AND(ISNUMBER(NATAL!$C166),NATAL!$D166="FOLGA"),NATAL!$C166,"")</f>
        <v/>
      </c>
      <c r="E466" s="0" t="str">
        <f aca="false">IF(AND(ISNUMBER(NATAL!$C166),NATAL!$D166="FOLGA"),NATAL!$E166&amp;"","")</f>
        <v/>
      </c>
      <c r="F466" s="0" t="str">
        <f aca="false">IF(AND(ISNUMBER(NATAL!$C166),NATAL!$D166="FOLGA"),NATAL!$F166&amp;"","")</f>
        <v/>
      </c>
      <c r="G466" s="0" t="str">
        <f aca="true">IF(D466="","",IF(D466=TODAY(),D466+ROW()/100000,""))</f>
        <v/>
      </c>
      <c r="H466" s="0" t="str">
        <f aca="true">IF(D466="","",IF(AND(D466&gt;TODAY(),D466&lt;=TODAY()+7),D466+ROW()/100000,""))</f>
        <v/>
      </c>
      <c r="I466" s="0" t="str">
        <f aca="false">IF(D466="","",IF(D466=CALENDÁRIO!$L$4,ROW(),""))</f>
        <v/>
      </c>
      <c r="J466" s="0" t="str">
        <f aca="false">IF(D466="","",CHOOSE(WEEKDAY(D466),"Domingo","Segunda","Terça","Quarta","Quinta","Sexta","Sábado"))</f>
        <v/>
      </c>
    </row>
    <row r="467" customFormat="false" ht="15" hidden="false" customHeight="false" outlineLevel="0" collapsed="false">
      <c r="A467" s="0" t="str">
        <f aca="false">IF(AND(ISNUMBER(NATAL!$C167),NATAL!$D167="FOLGA"),"Folga Natal","")</f>
        <v/>
      </c>
      <c r="B467" s="0" t="str">
        <f aca="false">IF(AND(ISNUMBER(NATAL!$C167),NATAL!$D167="FOLGA"),NATAL!$A167&amp;"","")</f>
        <v/>
      </c>
      <c r="C467" s="0" t="str">
        <f aca="false">IF(AND(ISNUMBER(NATAL!$C167),NATAL!$D167="FOLGA"),NATAL!$B167&amp;"","")</f>
        <v/>
      </c>
      <c r="D467" s="78" t="str">
        <f aca="false">IF(AND(ISNUMBER(NATAL!$C167),NATAL!$D167="FOLGA"),NATAL!$C167,"")</f>
        <v/>
      </c>
      <c r="E467" s="0" t="str">
        <f aca="false">IF(AND(ISNUMBER(NATAL!$C167),NATAL!$D167="FOLGA"),NATAL!$E167&amp;"","")</f>
        <v/>
      </c>
      <c r="F467" s="0" t="str">
        <f aca="false">IF(AND(ISNUMBER(NATAL!$C167),NATAL!$D167="FOLGA"),NATAL!$F167&amp;"","")</f>
        <v/>
      </c>
      <c r="G467" s="0" t="str">
        <f aca="true">IF(D467="","",IF(D467=TODAY(),D467+ROW()/100000,""))</f>
        <v/>
      </c>
      <c r="H467" s="0" t="str">
        <f aca="true">IF(D467="","",IF(AND(D467&gt;TODAY(),D467&lt;=TODAY()+7),D467+ROW()/100000,""))</f>
        <v/>
      </c>
      <c r="I467" s="0" t="str">
        <f aca="false">IF(D467="","",IF(D467=CALENDÁRIO!$L$4,ROW(),""))</f>
        <v/>
      </c>
      <c r="J467" s="0" t="str">
        <f aca="false">IF(D467="","",CHOOSE(WEEKDAY(D467),"Domingo","Segunda","Terça","Quarta","Quinta","Sexta","Sábado"))</f>
        <v/>
      </c>
    </row>
    <row r="468" customFormat="false" ht="15" hidden="false" customHeight="false" outlineLevel="0" collapsed="false">
      <c r="A468" s="0" t="str">
        <f aca="false">IF(AND(ISNUMBER(NATAL!$C168),NATAL!$D168="FOLGA"),"Folga Natal","")</f>
        <v/>
      </c>
      <c r="B468" s="0" t="str">
        <f aca="false">IF(AND(ISNUMBER(NATAL!$C168),NATAL!$D168="FOLGA"),NATAL!$A168&amp;"","")</f>
        <v/>
      </c>
      <c r="C468" s="0" t="str">
        <f aca="false">IF(AND(ISNUMBER(NATAL!$C168),NATAL!$D168="FOLGA"),NATAL!$B168&amp;"","")</f>
        <v/>
      </c>
      <c r="D468" s="78" t="str">
        <f aca="false">IF(AND(ISNUMBER(NATAL!$C168),NATAL!$D168="FOLGA"),NATAL!$C168,"")</f>
        <v/>
      </c>
      <c r="E468" s="0" t="str">
        <f aca="false">IF(AND(ISNUMBER(NATAL!$C168),NATAL!$D168="FOLGA"),NATAL!$E168&amp;"","")</f>
        <v/>
      </c>
      <c r="F468" s="0" t="str">
        <f aca="false">IF(AND(ISNUMBER(NATAL!$C168),NATAL!$D168="FOLGA"),NATAL!$F168&amp;"","")</f>
        <v/>
      </c>
      <c r="G468" s="0" t="str">
        <f aca="true">IF(D468="","",IF(D468=TODAY(),D468+ROW()/100000,""))</f>
        <v/>
      </c>
      <c r="H468" s="0" t="str">
        <f aca="true">IF(D468="","",IF(AND(D468&gt;TODAY(),D468&lt;=TODAY()+7),D468+ROW()/100000,""))</f>
        <v/>
      </c>
      <c r="I468" s="0" t="str">
        <f aca="false">IF(D468="","",IF(D468=CALENDÁRIO!$L$4,ROW(),""))</f>
        <v/>
      </c>
      <c r="J468" s="0" t="str">
        <f aca="false">IF(D468="","",CHOOSE(WEEKDAY(D468),"Domingo","Segunda","Terça","Quarta","Quinta","Sexta","Sábado"))</f>
        <v/>
      </c>
    </row>
    <row r="469" customFormat="false" ht="15" hidden="false" customHeight="false" outlineLevel="0" collapsed="false">
      <c r="A469" s="0" t="str">
        <f aca="false">IF(AND(ISNUMBER(NATAL!$C169),NATAL!$D169="FOLGA"),"Folga Natal","")</f>
        <v/>
      </c>
      <c r="B469" s="0" t="str">
        <f aca="false">IF(AND(ISNUMBER(NATAL!$C169),NATAL!$D169="FOLGA"),NATAL!$A169&amp;"","")</f>
        <v/>
      </c>
      <c r="C469" s="0" t="str">
        <f aca="false">IF(AND(ISNUMBER(NATAL!$C169),NATAL!$D169="FOLGA"),NATAL!$B169&amp;"","")</f>
        <v/>
      </c>
      <c r="D469" s="78" t="str">
        <f aca="false">IF(AND(ISNUMBER(NATAL!$C169),NATAL!$D169="FOLGA"),NATAL!$C169,"")</f>
        <v/>
      </c>
      <c r="E469" s="0" t="str">
        <f aca="false">IF(AND(ISNUMBER(NATAL!$C169),NATAL!$D169="FOLGA"),NATAL!$E169&amp;"","")</f>
        <v/>
      </c>
      <c r="F469" s="0" t="str">
        <f aca="false">IF(AND(ISNUMBER(NATAL!$C169),NATAL!$D169="FOLGA"),NATAL!$F169&amp;"","")</f>
        <v/>
      </c>
      <c r="G469" s="0" t="str">
        <f aca="true">IF(D469="","",IF(D469=TODAY(),D469+ROW()/100000,""))</f>
        <v/>
      </c>
      <c r="H469" s="0" t="str">
        <f aca="true">IF(D469="","",IF(AND(D469&gt;TODAY(),D469&lt;=TODAY()+7),D469+ROW()/100000,""))</f>
        <v/>
      </c>
      <c r="I469" s="0" t="str">
        <f aca="false">IF(D469="","",IF(D469=CALENDÁRIO!$L$4,ROW(),""))</f>
        <v/>
      </c>
      <c r="J469" s="0" t="str">
        <f aca="false">IF(D469="","",CHOOSE(WEEKDAY(D469),"Domingo","Segunda","Terça","Quarta","Quinta","Sexta","Sábado"))</f>
        <v/>
      </c>
    </row>
    <row r="470" customFormat="false" ht="15" hidden="false" customHeight="false" outlineLevel="0" collapsed="false">
      <c r="A470" s="0" t="str">
        <f aca="false">IF(AND(ISNUMBER(NATAL!$C170),NATAL!$D170="FOLGA"),"Folga Natal","")</f>
        <v/>
      </c>
      <c r="B470" s="0" t="str">
        <f aca="false">IF(AND(ISNUMBER(NATAL!$C170),NATAL!$D170="FOLGA"),NATAL!$A170&amp;"","")</f>
        <v/>
      </c>
      <c r="C470" s="0" t="str">
        <f aca="false">IF(AND(ISNUMBER(NATAL!$C170),NATAL!$D170="FOLGA"),NATAL!$B170&amp;"","")</f>
        <v/>
      </c>
      <c r="D470" s="78" t="str">
        <f aca="false">IF(AND(ISNUMBER(NATAL!$C170),NATAL!$D170="FOLGA"),NATAL!$C170,"")</f>
        <v/>
      </c>
      <c r="E470" s="0" t="str">
        <f aca="false">IF(AND(ISNUMBER(NATAL!$C170),NATAL!$D170="FOLGA"),NATAL!$E170&amp;"","")</f>
        <v/>
      </c>
      <c r="F470" s="0" t="str">
        <f aca="false">IF(AND(ISNUMBER(NATAL!$C170),NATAL!$D170="FOLGA"),NATAL!$F170&amp;"","")</f>
        <v/>
      </c>
      <c r="G470" s="0" t="str">
        <f aca="true">IF(D470="","",IF(D470=TODAY(),D470+ROW()/100000,""))</f>
        <v/>
      </c>
      <c r="H470" s="0" t="str">
        <f aca="true">IF(D470="","",IF(AND(D470&gt;TODAY(),D470&lt;=TODAY()+7),D470+ROW()/100000,""))</f>
        <v/>
      </c>
      <c r="I470" s="0" t="str">
        <f aca="false">IF(D470="","",IF(D470=CALENDÁRIO!$L$4,ROW(),""))</f>
        <v/>
      </c>
      <c r="J470" s="0" t="str">
        <f aca="false">IF(D470="","",CHOOSE(WEEKDAY(D470),"Domingo","Segunda","Terça","Quarta","Quinta","Sexta","Sábado"))</f>
        <v/>
      </c>
    </row>
    <row r="471" customFormat="false" ht="15" hidden="false" customHeight="false" outlineLevel="0" collapsed="false">
      <c r="A471" s="0" t="str">
        <f aca="false">IF(AND(ISNUMBER(NATAL!$C171),NATAL!$D171="FOLGA"),"Folga Natal","")</f>
        <v/>
      </c>
      <c r="B471" s="0" t="str">
        <f aca="false">IF(AND(ISNUMBER(NATAL!$C171),NATAL!$D171="FOLGA"),NATAL!$A171&amp;"","")</f>
        <v/>
      </c>
      <c r="C471" s="0" t="str">
        <f aca="false">IF(AND(ISNUMBER(NATAL!$C171),NATAL!$D171="FOLGA"),NATAL!$B171&amp;"","")</f>
        <v/>
      </c>
      <c r="D471" s="78" t="str">
        <f aca="false">IF(AND(ISNUMBER(NATAL!$C171),NATAL!$D171="FOLGA"),NATAL!$C171,"")</f>
        <v/>
      </c>
      <c r="E471" s="0" t="str">
        <f aca="false">IF(AND(ISNUMBER(NATAL!$C171),NATAL!$D171="FOLGA"),NATAL!$E171&amp;"","")</f>
        <v/>
      </c>
      <c r="F471" s="0" t="str">
        <f aca="false">IF(AND(ISNUMBER(NATAL!$C171),NATAL!$D171="FOLGA"),NATAL!$F171&amp;"","")</f>
        <v/>
      </c>
      <c r="G471" s="0" t="str">
        <f aca="true">IF(D471="","",IF(D471=TODAY(),D471+ROW()/100000,""))</f>
        <v/>
      </c>
      <c r="H471" s="0" t="str">
        <f aca="true">IF(D471="","",IF(AND(D471&gt;TODAY(),D471&lt;=TODAY()+7),D471+ROW()/100000,""))</f>
        <v/>
      </c>
      <c r="I471" s="0" t="str">
        <f aca="false">IF(D471="","",IF(D471=CALENDÁRIO!$L$4,ROW(),""))</f>
        <v/>
      </c>
      <c r="J471" s="0" t="str">
        <f aca="false">IF(D471="","",CHOOSE(WEEKDAY(D471),"Domingo","Segunda","Terça","Quarta","Quinta","Sexta","Sábado"))</f>
        <v/>
      </c>
    </row>
    <row r="472" customFormat="false" ht="15" hidden="false" customHeight="false" outlineLevel="0" collapsed="false">
      <c r="A472" s="0" t="str">
        <f aca="false">IF(AND(ISNUMBER(NATAL!$C172),NATAL!$D172="FOLGA"),"Folga Natal","")</f>
        <v/>
      </c>
      <c r="B472" s="0" t="str">
        <f aca="false">IF(AND(ISNUMBER(NATAL!$C172),NATAL!$D172="FOLGA"),NATAL!$A172&amp;"","")</f>
        <v/>
      </c>
      <c r="C472" s="0" t="str">
        <f aca="false">IF(AND(ISNUMBER(NATAL!$C172),NATAL!$D172="FOLGA"),NATAL!$B172&amp;"","")</f>
        <v/>
      </c>
      <c r="D472" s="78" t="str">
        <f aca="false">IF(AND(ISNUMBER(NATAL!$C172),NATAL!$D172="FOLGA"),NATAL!$C172,"")</f>
        <v/>
      </c>
      <c r="E472" s="0" t="str">
        <f aca="false">IF(AND(ISNUMBER(NATAL!$C172),NATAL!$D172="FOLGA"),NATAL!$E172&amp;"","")</f>
        <v/>
      </c>
      <c r="F472" s="0" t="str">
        <f aca="false">IF(AND(ISNUMBER(NATAL!$C172),NATAL!$D172="FOLGA"),NATAL!$F172&amp;"","")</f>
        <v/>
      </c>
      <c r="G472" s="0" t="str">
        <f aca="true">IF(D472="","",IF(D472=TODAY(),D472+ROW()/100000,""))</f>
        <v/>
      </c>
      <c r="H472" s="0" t="str">
        <f aca="true">IF(D472="","",IF(AND(D472&gt;TODAY(),D472&lt;=TODAY()+7),D472+ROW()/100000,""))</f>
        <v/>
      </c>
      <c r="I472" s="0" t="str">
        <f aca="false">IF(D472="","",IF(D472=CALENDÁRIO!$L$4,ROW(),""))</f>
        <v/>
      </c>
      <c r="J472" s="0" t="str">
        <f aca="false">IF(D472="","",CHOOSE(WEEKDAY(D472),"Domingo","Segunda","Terça","Quarta","Quinta","Sexta","Sábado"))</f>
        <v/>
      </c>
    </row>
    <row r="473" customFormat="false" ht="15" hidden="false" customHeight="false" outlineLevel="0" collapsed="false">
      <c r="A473" s="0" t="str">
        <f aca="false">IF(AND(ISNUMBER(NATAL!$C173),NATAL!$D173="FOLGA"),"Folga Natal","")</f>
        <v/>
      </c>
      <c r="B473" s="0" t="str">
        <f aca="false">IF(AND(ISNUMBER(NATAL!$C173),NATAL!$D173="FOLGA"),NATAL!$A173&amp;"","")</f>
        <v/>
      </c>
      <c r="C473" s="0" t="str">
        <f aca="false">IF(AND(ISNUMBER(NATAL!$C173),NATAL!$D173="FOLGA"),NATAL!$B173&amp;"","")</f>
        <v/>
      </c>
      <c r="D473" s="78" t="str">
        <f aca="false">IF(AND(ISNUMBER(NATAL!$C173),NATAL!$D173="FOLGA"),NATAL!$C173,"")</f>
        <v/>
      </c>
      <c r="E473" s="0" t="str">
        <f aca="false">IF(AND(ISNUMBER(NATAL!$C173),NATAL!$D173="FOLGA"),NATAL!$E173&amp;"","")</f>
        <v/>
      </c>
      <c r="F473" s="0" t="str">
        <f aca="false">IF(AND(ISNUMBER(NATAL!$C173),NATAL!$D173="FOLGA"),NATAL!$F173&amp;"","")</f>
        <v/>
      </c>
      <c r="G473" s="0" t="str">
        <f aca="true">IF(D473="","",IF(D473=TODAY(),D473+ROW()/100000,""))</f>
        <v/>
      </c>
      <c r="H473" s="0" t="str">
        <f aca="true">IF(D473="","",IF(AND(D473&gt;TODAY(),D473&lt;=TODAY()+7),D473+ROW()/100000,""))</f>
        <v/>
      </c>
      <c r="I473" s="0" t="str">
        <f aca="false">IF(D473="","",IF(D473=CALENDÁRIO!$L$4,ROW(),""))</f>
        <v/>
      </c>
      <c r="J473" s="0" t="str">
        <f aca="false">IF(D473="","",CHOOSE(WEEKDAY(D473),"Domingo","Segunda","Terça","Quarta","Quinta","Sexta","Sábado"))</f>
        <v/>
      </c>
    </row>
    <row r="474" customFormat="false" ht="15" hidden="false" customHeight="false" outlineLevel="0" collapsed="false">
      <c r="A474" s="0" t="str">
        <f aca="false">IF(AND(ISNUMBER(NATAL!$C174),NATAL!$D174="FOLGA"),"Folga Natal","")</f>
        <v/>
      </c>
      <c r="B474" s="0" t="str">
        <f aca="false">IF(AND(ISNUMBER(NATAL!$C174),NATAL!$D174="FOLGA"),NATAL!$A174&amp;"","")</f>
        <v/>
      </c>
      <c r="C474" s="0" t="str">
        <f aca="false">IF(AND(ISNUMBER(NATAL!$C174),NATAL!$D174="FOLGA"),NATAL!$B174&amp;"","")</f>
        <v/>
      </c>
      <c r="D474" s="78" t="str">
        <f aca="false">IF(AND(ISNUMBER(NATAL!$C174),NATAL!$D174="FOLGA"),NATAL!$C174,"")</f>
        <v/>
      </c>
      <c r="E474" s="0" t="str">
        <f aca="false">IF(AND(ISNUMBER(NATAL!$C174),NATAL!$D174="FOLGA"),NATAL!$E174&amp;"","")</f>
        <v/>
      </c>
      <c r="F474" s="0" t="str">
        <f aca="false">IF(AND(ISNUMBER(NATAL!$C174),NATAL!$D174="FOLGA"),NATAL!$F174&amp;"","")</f>
        <v/>
      </c>
      <c r="G474" s="0" t="str">
        <f aca="true">IF(D474="","",IF(D474=TODAY(),D474+ROW()/100000,""))</f>
        <v/>
      </c>
      <c r="H474" s="0" t="str">
        <f aca="true">IF(D474="","",IF(AND(D474&gt;TODAY(),D474&lt;=TODAY()+7),D474+ROW()/100000,""))</f>
        <v/>
      </c>
      <c r="I474" s="0" t="str">
        <f aca="false">IF(D474="","",IF(D474=CALENDÁRIO!$L$4,ROW(),""))</f>
        <v/>
      </c>
      <c r="J474" s="0" t="str">
        <f aca="false">IF(D474="","",CHOOSE(WEEKDAY(D474),"Domingo","Segunda","Terça","Quarta","Quinta","Sexta","Sábado"))</f>
        <v/>
      </c>
    </row>
    <row r="475" customFormat="false" ht="15" hidden="false" customHeight="false" outlineLevel="0" collapsed="false">
      <c r="A475" s="0" t="str">
        <f aca="false">IF(AND(ISNUMBER(NATAL!$C175),NATAL!$D175="FOLGA"),"Folga Natal","")</f>
        <v/>
      </c>
      <c r="B475" s="0" t="str">
        <f aca="false">IF(AND(ISNUMBER(NATAL!$C175),NATAL!$D175="FOLGA"),NATAL!$A175&amp;"","")</f>
        <v/>
      </c>
      <c r="C475" s="0" t="str">
        <f aca="false">IF(AND(ISNUMBER(NATAL!$C175),NATAL!$D175="FOLGA"),NATAL!$B175&amp;"","")</f>
        <v/>
      </c>
      <c r="D475" s="78" t="str">
        <f aca="false">IF(AND(ISNUMBER(NATAL!$C175),NATAL!$D175="FOLGA"),NATAL!$C175,"")</f>
        <v/>
      </c>
      <c r="E475" s="0" t="str">
        <f aca="false">IF(AND(ISNUMBER(NATAL!$C175),NATAL!$D175="FOLGA"),NATAL!$E175&amp;"","")</f>
        <v/>
      </c>
      <c r="F475" s="0" t="str">
        <f aca="false">IF(AND(ISNUMBER(NATAL!$C175),NATAL!$D175="FOLGA"),NATAL!$F175&amp;"","")</f>
        <v/>
      </c>
      <c r="G475" s="0" t="str">
        <f aca="true">IF(D475="","",IF(D475=TODAY(),D475+ROW()/100000,""))</f>
        <v/>
      </c>
      <c r="H475" s="0" t="str">
        <f aca="true">IF(D475="","",IF(AND(D475&gt;TODAY(),D475&lt;=TODAY()+7),D475+ROW()/100000,""))</f>
        <v/>
      </c>
      <c r="I475" s="0" t="str">
        <f aca="false">IF(D475="","",IF(D475=CALENDÁRIO!$L$4,ROW(),""))</f>
        <v/>
      </c>
      <c r="J475" s="0" t="str">
        <f aca="false">IF(D475="","",CHOOSE(WEEKDAY(D475),"Domingo","Segunda","Terça","Quarta","Quinta","Sexta","Sábado"))</f>
        <v/>
      </c>
    </row>
    <row r="476" customFormat="false" ht="15" hidden="false" customHeight="false" outlineLevel="0" collapsed="false">
      <c r="A476" s="0" t="str">
        <f aca="false">IF(AND(ISNUMBER(NATAL!$C176),NATAL!$D176="FOLGA"),"Folga Natal","")</f>
        <v/>
      </c>
      <c r="B476" s="0" t="str">
        <f aca="false">IF(AND(ISNUMBER(NATAL!$C176),NATAL!$D176="FOLGA"),NATAL!$A176&amp;"","")</f>
        <v/>
      </c>
      <c r="C476" s="0" t="str">
        <f aca="false">IF(AND(ISNUMBER(NATAL!$C176),NATAL!$D176="FOLGA"),NATAL!$B176&amp;"","")</f>
        <v/>
      </c>
      <c r="D476" s="78" t="str">
        <f aca="false">IF(AND(ISNUMBER(NATAL!$C176),NATAL!$D176="FOLGA"),NATAL!$C176,"")</f>
        <v/>
      </c>
      <c r="E476" s="0" t="str">
        <f aca="false">IF(AND(ISNUMBER(NATAL!$C176),NATAL!$D176="FOLGA"),NATAL!$E176&amp;"","")</f>
        <v/>
      </c>
      <c r="F476" s="0" t="str">
        <f aca="false">IF(AND(ISNUMBER(NATAL!$C176),NATAL!$D176="FOLGA"),NATAL!$F176&amp;"","")</f>
        <v/>
      </c>
      <c r="G476" s="0" t="str">
        <f aca="true">IF(D476="","",IF(D476=TODAY(),D476+ROW()/100000,""))</f>
        <v/>
      </c>
      <c r="H476" s="0" t="str">
        <f aca="true">IF(D476="","",IF(AND(D476&gt;TODAY(),D476&lt;=TODAY()+7),D476+ROW()/100000,""))</f>
        <v/>
      </c>
      <c r="I476" s="0" t="str">
        <f aca="false">IF(D476="","",IF(D476=CALENDÁRIO!$L$4,ROW(),""))</f>
        <v/>
      </c>
      <c r="J476" s="0" t="str">
        <f aca="false">IF(D476="","",CHOOSE(WEEKDAY(D476),"Domingo","Segunda","Terça","Quarta","Quinta","Sexta","Sábado"))</f>
        <v/>
      </c>
    </row>
    <row r="477" customFormat="false" ht="15" hidden="false" customHeight="false" outlineLevel="0" collapsed="false">
      <c r="A477" s="0" t="str">
        <f aca="false">IF(AND(ISNUMBER(NATAL!$C177),NATAL!$D177="FOLGA"),"Folga Natal","")</f>
        <v/>
      </c>
      <c r="B477" s="0" t="str">
        <f aca="false">IF(AND(ISNUMBER(NATAL!$C177),NATAL!$D177="FOLGA"),NATAL!$A177&amp;"","")</f>
        <v/>
      </c>
      <c r="C477" s="0" t="str">
        <f aca="false">IF(AND(ISNUMBER(NATAL!$C177),NATAL!$D177="FOLGA"),NATAL!$B177&amp;"","")</f>
        <v/>
      </c>
      <c r="D477" s="78" t="str">
        <f aca="false">IF(AND(ISNUMBER(NATAL!$C177),NATAL!$D177="FOLGA"),NATAL!$C177,"")</f>
        <v/>
      </c>
      <c r="E477" s="0" t="str">
        <f aca="false">IF(AND(ISNUMBER(NATAL!$C177),NATAL!$D177="FOLGA"),NATAL!$E177&amp;"","")</f>
        <v/>
      </c>
      <c r="F477" s="0" t="str">
        <f aca="false">IF(AND(ISNUMBER(NATAL!$C177),NATAL!$D177="FOLGA"),NATAL!$F177&amp;"","")</f>
        <v/>
      </c>
      <c r="G477" s="0" t="str">
        <f aca="true">IF(D477="","",IF(D477=TODAY(),D477+ROW()/100000,""))</f>
        <v/>
      </c>
      <c r="H477" s="0" t="str">
        <f aca="true">IF(D477="","",IF(AND(D477&gt;TODAY(),D477&lt;=TODAY()+7),D477+ROW()/100000,""))</f>
        <v/>
      </c>
      <c r="I477" s="0" t="str">
        <f aca="false">IF(D477="","",IF(D477=CALENDÁRIO!$L$4,ROW(),""))</f>
        <v/>
      </c>
      <c r="J477" s="0" t="str">
        <f aca="false">IF(D477="","",CHOOSE(WEEKDAY(D477),"Domingo","Segunda","Terça","Quarta","Quinta","Sexta","Sábado"))</f>
        <v/>
      </c>
    </row>
    <row r="478" customFormat="false" ht="15" hidden="false" customHeight="false" outlineLevel="0" collapsed="false">
      <c r="A478" s="0" t="str">
        <f aca="false">IF(AND(ISNUMBER(NATAL!$C178),NATAL!$D178="FOLGA"),"Folga Natal","")</f>
        <v/>
      </c>
      <c r="B478" s="0" t="str">
        <f aca="false">IF(AND(ISNUMBER(NATAL!$C178),NATAL!$D178="FOLGA"),NATAL!$A178&amp;"","")</f>
        <v/>
      </c>
      <c r="C478" s="0" t="str">
        <f aca="false">IF(AND(ISNUMBER(NATAL!$C178),NATAL!$D178="FOLGA"),NATAL!$B178&amp;"","")</f>
        <v/>
      </c>
      <c r="D478" s="78" t="str">
        <f aca="false">IF(AND(ISNUMBER(NATAL!$C178),NATAL!$D178="FOLGA"),NATAL!$C178,"")</f>
        <v/>
      </c>
      <c r="E478" s="0" t="str">
        <f aca="false">IF(AND(ISNUMBER(NATAL!$C178),NATAL!$D178="FOLGA"),NATAL!$E178&amp;"","")</f>
        <v/>
      </c>
      <c r="F478" s="0" t="str">
        <f aca="false">IF(AND(ISNUMBER(NATAL!$C178),NATAL!$D178="FOLGA"),NATAL!$F178&amp;"","")</f>
        <v/>
      </c>
      <c r="G478" s="0" t="str">
        <f aca="true">IF(D478="","",IF(D478=TODAY(),D478+ROW()/100000,""))</f>
        <v/>
      </c>
      <c r="H478" s="0" t="str">
        <f aca="true">IF(D478="","",IF(AND(D478&gt;TODAY(),D478&lt;=TODAY()+7),D478+ROW()/100000,""))</f>
        <v/>
      </c>
      <c r="I478" s="0" t="str">
        <f aca="false">IF(D478="","",IF(D478=CALENDÁRIO!$L$4,ROW(),""))</f>
        <v/>
      </c>
      <c r="J478" s="0" t="str">
        <f aca="false">IF(D478="","",CHOOSE(WEEKDAY(D478),"Domingo","Segunda","Terça","Quarta","Quinta","Sexta","Sábado"))</f>
        <v/>
      </c>
    </row>
    <row r="479" customFormat="false" ht="15" hidden="false" customHeight="false" outlineLevel="0" collapsed="false">
      <c r="A479" s="0" t="str">
        <f aca="false">IF(AND(ISNUMBER(NATAL!$C179),NATAL!$D179="FOLGA"),"Folga Natal","")</f>
        <v/>
      </c>
      <c r="B479" s="0" t="str">
        <f aca="false">IF(AND(ISNUMBER(NATAL!$C179),NATAL!$D179="FOLGA"),NATAL!$A179&amp;"","")</f>
        <v/>
      </c>
      <c r="C479" s="0" t="str">
        <f aca="false">IF(AND(ISNUMBER(NATAL!$C179),NATAL!$D179="FOLGA"),NATAL!$B179&amp;"","")</f>
        <v/>
      </c>
      <c r="D479" s="78" t="str">
        <f aca="false">IF(AND(ISNUMBER(NATAL!$C179),NATAL!$D179="FOLGA"),NATAL!$C179,"")</f>
        <v/>
      </c>
      <c r="E479" s="0" t="str">
        <f aca="false">IF(AND(ISNUMBER(NATAL!$C179),NATAL!$D179="FOLGA"),NATAL!$E179&amp;"","")</f>
        <v/>
      </c>
      <c r="F479" s="0" t="str">
        <f aca="false">IF(AND(ISNUMBER(NATAL!$C179),NATAL!$D179="FOLGA"),NATAL!$F179&amp;"","")</f>
        <v/>
      </c>
      <c r="G479" s="0" t="str">
        <f aca="true">IF(D479="","",IF(D479=TODAY(),D479+ROW()/100000,""))</f>
        <v/>
      </c>
      <c r="H479" s="0" t="str">
        <f aca="true">IF(D479="","",IF(AND(D479&gt;TODAY(),D479&lt;=TODAY()+7),D479+ROW()/100000,""))</f>
        <v/>
      </c>
      <c r="I479" s="0" t="str">
        <f aca="false">IF(D479="","",IF(D479=CALENDÁRIO!$L$4,ROW(),""))</f>
        <v/>
      </c>
      <c r="J479" s="0" t="str">
        <f aca="false">IF(D479="","",CHOOSE(WEEKDAY(D479),"Domingo","Segunda","Terça","Quarta","Quinta","Sexta","Sábado"))</f>
        <v/>
      </c>
    </row>
    <row r="480" customFormat="false" ht="15" hidden="false" customHeight="false" outlineLevel="0" collapsed="false">
      <c r="A480" s="0" t="str">
        <f aca="false">IF(AND(ISNUMBER(NATAL!$C180),NATAL!$D180="FOLGA"),"Folga Natal","")</f>
        <v/>
      </c>
      <c r="B480" s="0" t="str">
        <f aca="false">IF(AND(ISNUMBER(NATAL!$C180),NATAL!$D180="FOLGA"),NATAL!$A180&amp;"","")</f>
        <v/>
      </c>
      <c r="C480" s="0" t="str">
        <f aca="false">IF(AND(ISNUMBER(NATAL!$C180),NATAL!$D180="FOLGA"),NATAL!$B180&amp;"","")</f>
        <v/>
      </c>
      <c r="D480" s="78" t="str">
        <f aca="false">IF(AND(ISNUMBER(NATAL!$C180),NATAL!$D180="FOLGA"),NATAL!$C180,"")</f>
        <v/>
      </c>
      <c r="E480" s="0" t="str">
        <f aca="false">IF(AND(ISNUMBER(NATAL!$C180),NATAL!$D180="FOLGA"),NATAL!$E180&amp;"","")</f>
        <v/>
      </c>
      <c r="F480" s="0" t="str">
        <f aca="false">IF(AND(ISNUMBER(NATAL!$C180),NATAL!$D180="FOLGA"),NATAL!$F180&amp;"","")</f>
        <v/>
      </c>
      <c r="G480" s="0" t="str">
        <f aca="true">IF(D480="","",IF(D480=TODAY(),D480+ROW()/100000,""))</f>
        <v/>
      </c>
      <c r="H480" s="0" t="str">
        <f aca="true">IF(D480="","",IF(AND(D480&gt;TODAY(),D480&lt;=TODAY()+7),D480+ROW()/100000,""))</f>
        <v/>
      </c>
      <c r="I480" s="0" t="str">
        <f aca="false">IF(D480="","",IF(D480=CALENDÁRIO!$L$4,ROW(),""))</f>
        <v/>
      </c>
      <c r="J480" s="0" t="str">
        <f aca="false">IF(D480="","",CHOOSE(WEEKDAY(D480),"Domingo","Segunda","Terça","Quarta","Quinta","Sexta","Sábado"))</f>
        <v/>
      </c>
    </row>
    <row r="481" customFormat="false" ht="15" hidden="false" customHeight="false" outlineLevel="0" collapsed="false">
      <c r="A481" s="0" t="str">
        <f aca="false">IF(AND(ISNUMBER(NATAL!$C181),NATAL!$D181="FOLGA"),"Folga Natal","")</f>
        <v/>
      </c>
      <c r="B481" s="0" t="str">
        <f aca="false">IF(AND(ISNUMBER(NATAL!$C181),NATAL!$D181="FOLGA"),NATAL!$A181&amp;"","")</f>
        <v/>
      </c>
      <c r="C481" s="0" t="str">
        <f aca="false">IF(AND(ISNUMBER(NATAL!$C181),NATAL!$D181="FOLGA"),NATAL!$B181&amp;"","")</f>
        <v/>
      </c>
      <c r="D481" s="78" t="str">
        <f aca="false">IF(AND(ISNUMBER(NATAL!$C181),NATAL!$D181="FOLGA"),NATAL!$C181,"")</f>
        <v/>
      </c>
      <c r="E481" s="0" t="str">
        <f aca="false">IF(AND(ISNUMBER(NATAL!$C181),NATAL!$D181="FOLGA"),NATAL!$E181&amp;"","")</f>
        <v/>
      </c>
      <c r="F481" s="0" t="str">
        <f aca="false">IF(AND(ISNUMBER(NATAL!$C181),NATAL!$D181="FOLGA"),NATAL!$F181&amp;"","")</f>
        <v/>
      </c>
      <c r="G481" s="0" t="str">
        <f aca="true">IF(D481="","",IF(D481=TODAY(),D481+ROW()/100000,""))</f>
        <v/>
      </c>
      <c r="H481" s="0" t="str">
        <f aca="true">IF(D481="","",IF(AND(D481&gt;TODAY(),D481&lt;=TODAY()+7),D481+ROW()/100000,""))</f>
        <v/>
      </c>
      <c r="I481" s="0" t="str">
        <f aca="false">IF(D481="","",IF(D481=CALENDÁRIO!$L$4,ROW(),""))</f>
        <v/>
      </c>
      <c r="J481" s="0" t="str">
        <f aca="false">IF(D481="","",CHOOSE(WEEKDAY(D481),"Domingo","Segunda","Terça","Quarta","Quinta","Sexta","Sábado"))</f>
        <v/>
      </c>
    </row>
    <row r="482" customFormat="false" ht="15" hidden="false" customHeight="false" outlineLevel="0" collapsed="false">
      <c r="A482" s="0" t="str">
        <f aca="false">IF(AND(ISNUMBER(NATAL!$C182),NATAL!$D182="FOLGA"),"Folga Natal","")</f>
        <v/>
      </c>
      <c r="B482" s="0" t="str">
        <f aca="false">IF(AND(ISNUMBER(NATAL!$C182),NATAL!$D182="FOLGA"),NATAL!$A182&amp;"","")</f>
        <v/>
      </c>
      <c r="C482" s="0" t="str">
        <f aca="false">IF(AND(ISNUMBER(NATAL!$C182),NATAL!$D182="FOLGA"),NATAL!$B182&amp;"","")</f>
        <v/>
      </c>
      <c r="D482" s="78" t="str">
        <f aca="false">IF(AND(ISNUMBER(NATAL!$C182),NATAL!$D182="FOLGA"),NATAL!$C182,"")</f>
        <v/>
      </c>
      <c r="E482" s="0" t="str">
        <f aca="false">IF(AND(ISNUMBER(NATAL!$C182),NATAL!$D182="FOLGA"),NATAL!$E182&amp;"","")</f>
        <v/>
      </c>
      <c r="F482" s="0" t="str">
        <f aca="false">IF(AND(ISNUMBER(NATAL!$C182),NATAL!$D182="FOLGA"),NATAL!$F182&amp;"","")</f>
        <v/>
      </c>
      <c r="G482" s="0" t="str">
        <f aca="true">IF(D482="","",IF(D482=TODAY(),D482+ROW()/100000,""))</f>
        <v/>
      </c>
      <c r="H482" s="0" t="str">
        <f aca="true">IF(D482="","",IF(AND(D482&gt;TODAY(),D482&lt;=TODAY()+7),D482+ROW()/100000,""))</f>
        <v/>
      </c>
      <c r="I482" s="0" t="str">
        <f aca="false">IF(D482="","",IF(D482=CALENDÁRIO!$L$4,ROW(),""))</f>
        <v/>
      </c>
      <c r="J482" s="0" t="str">
        <f aca="false">IF(D482="","",CHOOSE(WEEKDAY(D482),"Domingo","Segunda","Terça","Quarta","Quinta","Sexta","Sábado"))</f>
        <v/>
      </c>
    </row>
    <row r="483" customFormat="false" ht="15" hidden="false" customHeight="false" outlineLevel="0" collapsed="false">
      <c r="A483" s="0" t="str">
        <f aca="false">IF(AND(ISNUMBER(NATAL!$C183),NATAL!$D183="FOLGA"),"Folga Natal","")</f>
        <v/>
      </c>
      <c r="B483" s="0" t="str">
        <f aca="false">IF(AND(ISNUMBER(NATAL!$C183),NATAL!$D183="FOLGA"),NATAL!$A183&amp;"","")</f>
        <v/>
      </c>
      <c r="C483" s="0" t="str">
        <f aca="false">IF(AND(ISNUMBER(NATAL!$C183),NATAL!$D183="FOLGA"),NATAL!$B183&amp;"","")</f>
        <v/>
      </c>
      <c r="D483" s="78" t="str">
        <f aca="false">IF(AND(ISNUMBER(NATAL!$C183),NATAL!$D183="FOLGA"),NATAL!$C183,"")</f>
        <v/>
      </c>
      <c r="E483" s="0" t="str">
        <f aca="false">IF(AND(ISNUMBER(NATAL!$C183),NATAL!$D183="FOLGA"),NATAL!$E183&amp;"","")</f>
        <v/>
      </c>
      <c r="F483" s="0" t="str">
        <f aca="false">IF(AND(ISNUMBER(NATAL!$C183),NATAL!$D183="FOLGA"),NATAL!$F183&amp;"","")</f>
        <v/>
      </c>
      <c r="G483" s="0" t="str">
        <f aca="true">IF(D483="","",IF(D483=TODAY(),D483+ROW()/100000,""))</f>
        <v/>
      </c>
      <c r="H483" s="0" t="str">
        <f aca="true">IF(D483="","",IF(AND(D483&gt;TODAY(),D483&lt;=TODAY()+7),D483+ROW()/100000,""))</f>
        <v/>
      </c>
      <c r="I483" s="0" t="str">
        <f aca="false">IF(D483="","",IF(D483=CALENDÁRIO!$L$4,ROW(),""))</f>
        <v/>
      </c>
      <c r="J483" s="0" t="str">
        <f aca="false">IF(D483="","",CHOOSE(WEEKDAY(D483),"Domingo","Segunda","Terça","Quarta","Quinta","Sexta","Sábado"))</f>
        <v/>
      </c>
    </row>
    <row r="484" customFormat="false" ht="15" hidden="false" customHeight="false" outlineLevel="0" collapsed="false">
      <c r="A484" s="0" t="str">
        <f aca="false">IF(AND(ISNUMBER(NATAL!$C184),NATAL!$D184="FOLGA"),"Folga Natal","")</f>
        <v/>
      </c>
      <c r="B484" s="0" t="str">
        <f aca="false">IF(AND(ISNUMBER(NATAL!$C184),NATAL!$D184="FOLGA"),NATAL!$A184&amp;"","")</f>
        <v/>
      </c>
      <c r="C484" s="0" t="str">
        <f aca="false">IF(AND(ISNUMBER(NATAL!$C184),NATAL!$D184="FOLGA"),NATAL!$B184&amp;"","")</f>
        <v/>
      </c>
      <c r="D484" s="78" t="str">
        <f aca="false">IF(AND(ISNUMBER(NATAL!$C184),NATAL!$D184="FOLGA"),NATAL!$C184,"")</f>
        <v/>
      </c>
      <c r="E484" s="0" t="str">
        <f aca="false">IF(AND(ISNUMBER(NATAL!$C184),NATAL!$D184="FOLGA"),NATAL!$E184&amp;"","")</f>
        <v/>
      </c>
      <c r="F484" s="0" t="str">
        <f aca="false">IF(AND(ISNUMBER(NATAL!$C184),NATAL!$D184="FOLGA"),NATAL!$F184&amp;"","")</f>
        <v/>
      </c>
      <c r="G484" s="0" t="str">
        <f aca="true">IF(D484="","",IF(D484=TODAY(),D484+ROW()/100000,""))</f>
        <v/>
      </c>
      <c r="H484" s="0" t="str">
        <f aca="true">IF(D484="","",IF(AND(D484&gt;TODAY(),D484&lt;=TODAY()+7),D484+ROW()/100000,""))</f>
        <v/>
      </c>
      <c r="I484" s="0" t="str">
        <f aca="false">IF(D484="","",IF(D484=CALENDÁRIO!$L$4,ROW(),""))</f>
        <v/>
      </c>
      <c r="J484" s="0" t="str">
        <f aca="false">IF(D484="","",CHOOSE(WEEKDAY(D484),"Domingo","Segunda","Terça","Quarta","Quinta","Sexta","Sábado"))</f>
        <v/>
      </c>
    </row>
    <row r="485" customFormat="false" ht="15" hidden="false" customHeight="false" outlineLevel="0" collapsed="false">
      <c r="A485" s="0" t="str">
        <f aca="false">IF(AND(ISNUMBER(NATAL!$C185),NATAL!$D185="FOLGA"),"Folga Natal","")</f>
        <v/>
      </c>
      <c r="B485" s="0" t="str">
        <f aca="false">IF(AND(ISNUMBER(NATAL!$C185),NATAL!$D185="FOLGA"),NATAL!$A185&amp;"","")</f>
        <v/>
      </c>
      <c r="C485" s="0" t="str">
        <f aca="false">IF(AND(ISNUMBER(NATAL!$C185),NATAL!$D185="FOLGA"),NATAL!$B185&amp;"","")</f>
        <v/>
      </c>
      <c r="D485" s="78" t="str">
        <f aca="false">IF(AND(ISNUMBER(NATAL!$C185),NATAL!$D185="FOLGA"),NATAL!$C185,"")</f>
        <v/>
      </c>
      <c r="E485" s="0" t="str">
        <f aca="false">IF(AND(ISNUMBER(NATAL!$C185),NATAL!$D185="FOLGA"),NATAL!$E185&amp;"","")</f>
        <v/>
      </c>
      <c r="F485" s="0" t="str">
        <f aca="false">IF(AND(ISNUMBER(NATAL!$C185),NATAL!$D185="FOLGA"),NATAL!$F185&amp;"","")</f>
        <v/>
      </c>
      <c r="G485" s="0" t="str">
        <f aca="true">IF(D485="","",IF(D485=TODAY(),D485+ROW()/100000,""))</f>
        <v/>
      </c>
      <c r="H485" s="0" t="str">
        <f aca="true">IF(D485="","",IF(AND(D485&gt;TODAY(),D485&lt;=TODAY()+7),D485+ROW()/100000,""))</f>
        <v/>
      </c>
      <c r="I485" s="0" t="str">
        <f aca="false">IF(D485="","",IF(D485=CALENDÁRIO!$L$4,ROW(),""))</f>
        <v/>
      </c>
      <c r="J485" s="0" t="str">
        <f aca="false">IF(D485="","",CHOOSE(WEEKDAY(D485),"Domingo","Segunda","Terça","Quarta","Quinta","Sexta","Sábado"))</f>
        <v/>
      </c>
    </row>
    <row r="486" customFormat="false" ht="15" hidden="false" customHeight="false" outlineLevel="0" collapsed="false">
      <c r="A486" s="0" t="str">
        <f aca="false">IF(AND(ISNUMBER(NATAL!$C186),NATAL!$D186="FOLGA"),"Folga Natal","")</f>
        <v/>
      </c>
      <c r="B486" s="0" t="str">
        <f aca="false">IF(AND(ISNUMBER(NATAL!$C186),NATAL!$D186="FOLGA"),NATAL!$A186&amp;"","")</f>
        <v/>
      </c>
      <c r="C486" s="0" t="str">
        <f aca="false">IF(AND(ISNUMBER(NATAL!$C186),NATAL!$D186="FOLGA"),NATAL!$B186&amp;"","")</f>
        <v/>
      </c>
      <c r="D486" s="78" t="str">
        <f aca="false">IF(AND(ISNUMBER(NATAL!$C186),NATAL!$D186="FOLGA"),NATAL!$C186,"")</f>
        <v/>
      </c>
      <c r="E486" s="0" t="str">
        <f aca="false">IF(AND(ISNUMBER(NATAL!$C186),NATAL!$D186="FOLGA"),NATAL!$E186&amp;"","")</f>
        <v/>
      </c>
      <c r="F486" s="0" t="str">
        <f aca="false">IF(AND(ISNUMBER(NATAL!$C186),NATAL!$D186="FOLGA"),NATAL!$F186&amp;"","")</f>
        <v/>
      </c>
      <c r="G486" s="0" t="str">
        <f aca="true">IF(D486="","",IF(D486=TODAY(),D486+ROW()/100000,""))</f>
        <v/>
      </c>
      <c r="H486" s="0" t="str">
        <f aca="true">IF(D486="","",IF(AND(D486&gt;TODAY(),D486&lt;=TODAY()+7),D486+ROW()/100000,""))</f>
        <v/>
      </c>
      <c r="I486" s="0" t="str">
        <f aca="false">IF(D486="","",IF(D486=CALENDÁRIO!$L$4,ROW(),""))</f>
        <v/>
      </c>
      <c r="J486" s="0" t="str">
        <f aca="false">IF(D486="","",CHOOSE(WEEKDAY(D486),"Domingo","Segunda","Terça","Quarta","Quinta","Sexta","Sábado"))</f>
        <v/>
      </c>
    </row>
    <row r="487" customFormat="false" ht="15" hidden="false" customHeight="false" outlineLevel="0" collapsed="false">
      <c r="A487" s="0" t="str">
        <f aca="false">IF(AND(ISNUMBER(NATAL!$C187),NATAL!$D187="FOLGA"),"Folga Natal","")</f>
        <v/>
      </c>
      <c r="B487" s="0" t="str">
        <f aca="false">IF(AND(ISNUMBER(NATAL!$C187),NATAL!$D187="FOLGA"),NATAL!$A187&amp;"","")</f>
        <v/>
      </c>
      <c r="C487" s="0" t="str">
        <f aca="false">IF(AND(ISNUMBER(NATAL!$C187),NATAL!$D187="FOLGA"),NATAL!$B187&amp;"","")</f>
        <v/>
      </c>
      <c r="D487" s="78" t="str">
        <f aca="false">IF(AND(ISNUMBER(NATAL!$C187),NATAL!$D187="FOLGA"),NATAL!$C187,"")</f>
        <v/>
      </c>
      <c r="E487" s="0" t="str">
        <f aca="false">IF(AND(ISNUMBER(NATAL!$C187),NATAL!$D187="FOLGA"),NATAL!$E187&amp;"","")</f>
        <v/>
      </c>
      <c r="F487" s="0" t="str">
        <f aca="false">IF(AND(ISNUMBER(NATAL!$C187),NATAL!$D187="FOLGA"),NATAL!$F187&amp;"","")</f>
        <v/>
      </c>
      <c r="G487" s="0" t="str">
        <f aca="true">IF(D487="","",IF(D487=TODAY(),D487+ROW()/100000,""))</f>
        <v/>
      </c>
      <c r="H487" s="0" t="str">
        <f aca="true">IF(D487="","",IF(AND(D487&gt;TODAY(),D487&lt;=TODAY()+7),D487+ROW()/100000,""))</f>
        <v/>
      </c>
      <c r="I487" s="0" t="str">
        <f aca="false">IF(D487="","",IF(D487=CALENDÁRIO!$L$4,ROW(),""))</f>
        <v/>
      </c>
      <c r="J487" s="0" t="str">
        <f aca="false">IF(D487="","",CHOOSE(WEEKDAY(D487),"Domingo","Segunda","Terça","Quarta","Quinta","Sexta","Sábado"))</f>
        <v/>
      </c>
    </row>
    <row r="488" customFormat="false" ht="15" hidden="false" customHeight="false" outlineLevel="0" collapsed="false">
      <c r="A488" s="0" t="str">
        <f aca="false">IF(AND(ISNUMBER(NATAL!$C188),NATAL!$D188="FOLGA"),"Folga Natal","")</f>
        <v/>
      </c>
      <c r="B488" s="0" t="str">
        <f aca="false">IF(AND(ISNUMBER(NATAL!$C188),NATAL!$D188="FOLGA"),NATAL!$A188&amp;"","")</f>
        <v/>
      </c>
      <c r="C488" s="0" t="str">
        <f aca="false">IF(AND(ISNUMBER(NATAL!$C188),NATAL!$D188="FOLGA"),NATAL!$B188&amp;"","")</f>
        <v/>
      </c>
      <c r="D488" s="78" t="str">
        <f aca="false">IF(AND(ISNUMBER(NATAL!$C188),NATAL!$D188="FOLGA"),NATAL!$C188,"")</f>
        <v/>
      </c>
      <c r="E488" s="0" t="str">
        <f aca="false">IF(AND(ISNUMBER(NATAL!$C188),NATAL!$D188="FOLGA"),NATAL!$E188&amp;"","")</f>
        <v/>
      </c>
      <c r="F488" s="0" t="str">
        <f aca="false">IF(AND(ISNUMBER(NATAL!$C188),NATAL!$D188="FOLGA"),NATAL!$F188&amp;"","")</f>
        <v/>
      </c>
      <c r="G488" s="0" t="str">
        <f aca="true">IF(D488="","",IF(D488=TODAY(),D488+ROW()/100000,""))</f>
        <v/>
      </c>
      <c r="H488" s="0" t="str">
        <f aca="true">IF(D488="","",IF(AND(D488&gt;TODAY(),D488&lt;=TODAY()+7),D488+ROW()/100000,""))</f>
        <v/>
      </c>
      <c r="I488" s="0" t="str">
        <f aca="false">IF(D488="","",IF(D488=CALENDÁRIO!$L$4,ROW(),""))</f>
        <v/>
      </c>
      <c r="J488" s="0" t="str">
        <f aca="false">IF(D488="","",CHOOSE(WEEKDAY(D488),"Domingo","Segunda","Terça","Quarta","Quinta","Sexta","Sábado"))</f>
        <v/>
      </c>
    </row>
    <row r="489" customFormat="false" ht="15" hidden="false" customHeight="false" outlineLevel="0" collapsed="false">
      <c r="A489" s="0" t="str">
        <f aca="false">IF(AND(ISNUMBER(NATAL!$C189),NATAL!$D189="FOLGA"),"Folga Natal","")</f>
        <v/>
      </c>
      <c r="B489" s="0" t="str">
        <f aca="false">IF(AND(ISNUMBER(NATAL!$C189),NATAL!$D189="FOLGA"),NATAL!$A189&amp;"","")</f>
        <v/>
      </c>
      <c r="C489" s="0" t="str">
        <f aca="false">IF(AND(ISNUMBER(NATAL!$C189),NATAL!$D189="FOLGA"),NATAL!$B189&amp;"","")</f>
        <v/>
      </c>
      <c r="D489" s="78" t="str">
        <f aca="false">IF(AND(ISNUMBER(NATAL!$C189),NATAL!$D189="FOLGA"),NATAL!$C189,"")</f>
        <v/>
      </c>
      <c r="E489" s="0" t="str">
        <f aca="false">IF(AND(ISNUMBER(NATAL!$C189),NATAL!$D189="FOLGA"),NATAL!$E189&amp;"","")</f>
        <v/>
      </c>
      <c r="F489" s="0" t="str">
        <f aca="false">IF(AND(ISNUMBER(NATAL!$C189),NATAL!$D189="FOLGA"),NATAL!$F189&amp;"","")</f>
        <v/>
      </c>
      <c r="G489" s="0" t="str">
        <f aca="true">IF(D489="","",IF(D489=TODAY(),D489+ROW()/100000,""))</f>
        <v/>
      </c>
      <c r="H489" s="0" t="str">
        <f aca="true">IF(D489="","",IF(AND(D489&gt;TODAY(),D489&lt;=TODAY()+7),D489+ROW()/100000,""))</f>
        <v/>
      </c>
      <c r="I489" s="0" t="str">
        <f aca="false">IF(D489="","",IF(D489=CALENDÁRIO!$L$4,ROW(),""))</f>
        <v/>
      </c>
      <c r="J489" s="0" t="str">
        <f aca="false">IF(D489="","",CHOOSE(WEEKDAY(D489),"Domingo","Segunda","Terça","Quarta","Quinta","Sexta","Sábado"))</f>
        <v/>
      </c>
    </row>
    <row r="490" customFormat="false" ht="15" hidden="false" customHeight="false" outlineLevel="0" collapsed="false">
      <c r="A490" s="0" t="str">
        <f aca="false">IF(AND(ISNUMBER(NATAL!$C190),NATAL!$D190="FOLGA"),"Folga Natal","")</f>
        <v/>
      </c>
      <c r="B490" s="0" t="str">
        <f aca="false">IF(AND(ISNUMBER(NATAL!$C190),NATAL!$D190="FOLGA"),NATAL!$A190&amp;"","")</f>
        <v/>
      </c>
      <c r="C490" s="0" t="str">
        <f aca="false">IF(AND(ISNUMBER(NATAL!$C190),NATAL!$D190="FOLGA"),NATAL!$B190&amp;"","")</f>
        <v/>
      </c>
      <c r="D490" s="78" t="str">
        <f aca="false">IF(AND(ISNUMBER(NATAL!$C190),NATAL!$D190="FOLGA"),NATAL!$C190,"")</f>
        <v/>
      </c>
      <c r="E490" s="0" t="str">
        <f aca="false">IF(AND(ISNUMBER(NATAL!$C190),NATAL!$D190="FOLGA"),NATAL!$E190&amp;"","")</f>
        <v/>
      </c>
      <c r="F490" s="0" t="str">
        <f aca="false">IF(AND(ISNUMBER(NATAL!$C190),NATAL!$D190="FOLGA"),NATAL!$F190&amp;"","")</f>
        <v/>
      </c>
      <c r="G490" s="0" t="str">
        <f aca="true">IF(D490="","",IF(D490=TODAY(),D490+ROW()/100000,""))</f>
        <v/>
      </c>
      <c r="H490" s="0" t="str">
        <f aca="true">IF(D490="","",IF(AND(D490&gt;TODAY(),D490&lt;=TODAY()+7),D490+ROW()/100000,""))</f>
        <v/>
      </c>
      <c r="I490" s="0" t="str">
        <f aca="false">IF(D490="","",IF(D490=CALENDÁRIO!$L$4,ROW(),""))</f>
        <v/>
      </c>
      <c r="J490" s="0" t="str">
        <f aca="false">IF(D490="","",CHOOSE(WEEKDAY(D490),"Domingo","Segunda","Terça","Quarta","Quinta","Sexta","Sábado"))</f>
        <v/>
      </c>
    </row>
    <row r="491" customFormat="false" ht="15" hidden="false" customHeight="false" outlineLevel="0" collapsed="false">
      <c r="A491" s="0" t="str">
        <f aca="false">IF(AND(ISNUMBER(NATAL!$C191),NATAL!$D191="FOLGA"),"Folga Natal","")</f>
        <v/>
      </c>
      <c r="B491" s="0" t="str">
        <f aca="false">IF(AND(ISNUMBER(NATAL!$C191),NATAL!$D191="FOLGA"),NATAL!$A191&amp;"","")</f>
        <v/>
      </c>
      <c r="C491" s="0" t="str">
        <f aca="false">IF(AND(ISNUMBER(NATAL!$C191),NATAL!$D191="FOLGA"),NATAL!$B191&amp;"","")</f>
        <v/>
      </c>
      <c r="D491" s="78" t="str">
        <f aca="false">IF(AND(ISNUMBER(NATAL!$C191),NATAL!$D191="FOLGA"),NATAL!$C191,"")</f>
        <v/>
      </c>
      <c r="E491" s="0" t="str">
        <f aca="false">IF(AND(ISNUMBER(NATAL!$C191),NATAL!$D191="FOLGA"),NATAL!$E191&amp;"","")</f>
        <v/>
      </c>
      <c r="F491" s="0" t="str">
        <f aca="false">IF(AND(ISNUMBER(NATAL!$C191),NATAL!$D191="FOLGA"),NATAL!$F191&amp;"","")</f>
        <v/>
      </c>
      <c r="G491" s="0" t="str">
        <f aca="true">IF(D491="","",IF(D491=TODAY(),D491+ROW()/100000,""))</f>
        <v/>
      </c>
      <c r="H491" s="0" t="str">
        <f aca="true">IF(D491="","",IF(AND(D491&gt;TODAY(),D491&lt;=TODAY()+7),D491+ROW()/100000,""))</f>
        <v/>
      </c>
      <c r="I491" s="0" t="str">
        <f aca="false">IF(D491="","",IF(D491=CALENDÁRIO!$L$4,ROW(),""))</f>
        <v/>
      </c>
      <c r="J491" s="0" t="str">
        <f aca="false">IF(D491="","",CHOOSE(WEEKDAY(D491),"Domingo","Segunda","Terça","Quarta","Quinta","Sexta","Sábado"))</f>
        <v/>
      </c>
    </row>
    <row r="492" customFormat="false" ht="15" hidden="false" customHeight="false" outlineLevel="0" collapsed="false">
      <c r="A492" s="0" t="str">
        <f aca="false">IF(AND(ISNUMBER(NATAL!$C192),NATAL!$D192="FOLGA"),"Folga Natal","")</f>
        <v/>
      </c>
      <c r="B492" s="0" t="str">
        <f aca="false">IF(AND(ISNUMBER(NATAL!$C192),NATAL!$D192="FOLGA"),NATAL!$A192&amp;"","")</f>
        <v/>
      </c>
      <c r="C492" s="0" t="str">
        <f aca="false">IF(AND(ISNUMBER(NATAL!$C192),NATAL!$D192="FOLGA"),NATAL!$B192&amp;"","")</f>
        <v/>
      </c>
      <c r="D492" s="78" t="str">
        <f aca="false">IF(AND(ISNUMBER(NATAL!$C192),NATAL!$D192="FOLGA"),NATAL!$C192,"")</f>
        <v/>
      </c>
      <c r="E492" s="0" t="str">
        <f aca="false">IF(AND(ISNUMBER(NATAL!$C192),NATAL!$D192="FOLGA"),NATAL!$E192&amp;"","")</f>
        <v/>
      </c>
      <c r="F492" s="0" t="str">
        <f aca="false">IF(AND(ISNUMBER(NATAL!$C192),NATAL!$D192="FOLGA"),NATAL!$F192&amp;"","")</f>
        <v/>
      </c>
      <c r="G492" s="0" t="str">
        <f aca="true">IF(D492="","",IF(D492=TODAY(),D492+ROW()/100000,""))</f>
        <v/>
      </c>
      <c r="H492" s="0" t="str">
        <f aca="true">IF(D492="","",IF(AND(D492&gt;TODAY(),D492&lt;=TODAY()+7),D492+ROW()/100000,""))</f>
        <v/>
      </c>
      <c r="I492" s="0" t="str">
        <f aca="false">IF(D492="","",IF(D492=CALENDÁRIO!$L$4,ROW(),""))</f>
        <v/>
      </c>
      <c r="J492" s="0" t="str">
        <f aca="false">IF(D492="","",CHOOSE(WEEKDAY(D492),"Domingo","Segunda","Terça","Quarta","Quinta","Sexta","Sábado"))</f>
        <v/>
      </c>
    </row>
    <row r="493" customFormat="false" ht="15" hidden="false" customHeight="false" outlineLevel="0" collapsed="false">
      <c r="A493" s="0" t="str">
        <f aca="false">IF(AND(ISNUMBER(NATAL!$C193),NATAL!$D193="FOLGA"),"Folga Natal","")</f>
        <v/>
      </c>
      <c r="B493" s="0" t="str">
        <f aca="false">IF(AND(ISNUMBER(NATAL!$C193),NATAL!$D193="FOLGA"),NATAL!$A193&amp;"","")</f>
        <v/>
      </c>
      <c r="C493" s="0" t="str">
        <f aca="false">IF(AND(ISNUMBER(NATAL!$C193),NATAL!$D193="FOLGA"),NATAL!$B193&amp;"","")</f>
        <v/>
      </c>
      <c r="D493" s="78" t="str">
        <f aca="false">IF(AND(ISNUMBER(NATAL!$C193),NATAL!$D193="FOLGA"),NATAL!$C193,"")</f>
        <v/>
      </c>
      <c r="E493" s="0" t="str">
        <f aca="false">IF(AND(ISNUMBER(NATAL!$C193),NATAL!$D193="FOLGA"),NATAL!$E193&amp;"","")</f>
        <v/>
      </c>
      <c r="F493" s="0" t="str">
        <f aca="false">IF(AND(ISNUMBER(NATAL!$C193),NATAL!$D193="FOLGA"),NATAL!$F193&amp;"","")</f>
        <v/>
      </c>
      <c r="G493" s="0" t="str">
        <f aca="true">IF(D493="","",IF(D493=TODAY(),D493+ROW()/100000,""))</f>
        <v/>
      </c>
      <c r="H493" s="0" t="str">
        <f aca="true">IF(D493="","",IF(AND(D493&gt;TODAY(),D493&lt;=TODAY()+7),D493+ROW()/100000,""))</f>
        <v/>
      </c>
      <c r="I493" s="0" t="str">
        <f aca="false">IF(D493="","",IF(D493=CALENDÁRIO!$L$4,ROW(),""))</f>
        <v/>
      </c>
      <c r="J493" s="0" t="str">
        <f aca="false">IF(D493="","",CHOOSE(WEEKDAY(D493),"Domingo","Segunda","Terça","Quarta","Quinta","Sexta","Sábado"))</f>
        <v/>
      </c>
    </row>
    <row r="494" customFormat="false" ht="15" hidden="false" customHeight="false" outlineLevel="0" collapsed="false">
      <c r="A494" s="0" t="str">
        <f aca="false">IF(AND(ISNUMBER(NATAL!$C194),NATAL!$D194="FOLGA"),"Folga Natal","")</f>
        <v/>
      </c>
      <c r="B494" s="0" t="str">
        <f aca="false">IF(AND(ISNUMBER(NATAL!$C194),NATAL!$D194="FOLGA"),NATAL!$A194&amp;"","")</f>
        <v/>
      </c>
      <c r="C494" s="0" t="str">
        <f aca="false">IF(AND(ISNUMBER(NATAL!$C194),NATAL!$D194="FOLGA"),NATAL!$B194&amp;"","")</f>
        <v/>
      </c>
      <c r="D494" s="78" t="str">
        <f aca="false">IF(AND(ISNUMBER(NATAL!$C194),NATAL!$D194="FOLGA"),NATAL!$C194,"")</f>
        <v/>
      </c>
      <c r="E494" s="0" t="str">
        <f aca="false">IF(AND(ISNUMBER(NATAL!$C194),NATAL!$D194="FOLGA"),NATAL!$E194&amp;"","")</f>
        <v/>
      </c>
      <c r="F494" s="0" t="str">
        <f aca="false">IF(AND(ISNUMBER(NATAL!$C194),NATAL!$D194="FOLGA"),NATAL!$F194&amp;"","")</f>
        <v/>
      </c>
      <c r="G494" s="0" t="str">
        <f aca="true">IF(D494="","",IF(D494=TODAY(),D494+ROW()/100000,""))</f>
        <v/>
      </c>
      <c r="H494" s="0" t="str">
        <f aca="true">IF(D494="","",IF(AND(D494&gt;TODAY(),D494&lt;=TODAY()+7),D494+ROW()/100000,""))</f>
        <v/>
      </c>
      <c r="I494" s="0" t="str">
        <f aca="false">IF(D494="","",IF(D494=CALENDÁRIO!$L$4,ROW(),""))</f>
        <v/>
      </c>
      <c r="J494" s="0" t="str">
        <f aca="false">IF(D494="","",CHOOSE(WEEKDAY(D494),"Domingo","Segunda","Terça","Quarta","Quinta","Sexta","Sábado"))</f>
        <v/>
      </c>
    </row>
    <row r="495" customFormat="false" ht="15" hidden="false" customHeight="false" outlineLevel="0" collapsed="false">
      <c r="A495" s="0" t="str">
        <f aca="false">IF(AND(ISNUMBER(NATAL!$C195),NATAL!$D195="FOLGA"),"Folga Natal","")</f>
        <v/>
      </c>
      <c r="B495" s="0" t="str">
        <f aca="false">IF(AND(ISNUMBER(NATAL!$C195),NATAL!$D195="FOLGA"),NATAL!$A195&amp;"","")</f>
        <v/>
      </c>
      <c r="C495" s="0" t="str">
        <f aca="false">IF(AND(ISNUMBER(NATAL!$C195),NATAL!$D195="FOLGA"),NATAL!$B195&amp;"","")</f>
        <v/>
      </c>
      <c r="D495" s="78" t="str">
        <f aca="false">IF(AND(ISNUMBER(NATAL!$C195),NATAL!$D195="FOLGA"),NATAL!$C195,"")</f>
        <v/>
      </c>
      <c r="E495" s="0" t="str">
        <f aca="false">IF(AND(ISNUMBER(NATAL!$C195),NATAL!$D195="FOLGA"),NATAL!$E195&amp;"","")</f>
        <v/>
      </c>
      <c r="F495" s="0" t="str">
        <f aca="false">IF(AND(ISNUMBER(NATAL!$C195),NATAL!$D195="FOLGA"),NATAL!$F195&amp;"","")</f>
        <v/>
      </c>
      <c r="G495" s="0" t="str">
        <f aca="true">IF(D495="","",IF(D495=TODAY(),D495+ROW()/100000,""))</f>
        <v/>
      </c>
      <c r="H495" s="0" t="str">
        <f aca="true">IF(D495="","",IF(AND(D495&gt;TODAY(),D495&lt;=TODAY()+7),D495+ROW()/100000,""))</f>
        <v/>
      </c>
      <c r="I495" s="0" t="str">
        <f aca="false">IF(D495="","",IF(D495=CALENDÁRIO!$L$4,ROW(),""))</f>
        <v/>
      </c>
      <c r="J495" s="0" t="str">
        <f aca="false">IF(D495="","",CHOOSE(WEEKDAY(D495),"Domingo","Segunda","Terça","Quarta","Quinta","Sexta","Sábado"))</f>
        <v/>
      </c>
    </row>
    <row r="496" customFormat="false" ht="15" hidden="false" customHeight="false" outlineLevel="0" collapsed="false">
      <c r="A496" s="0" t="str">
        <f aca="false">IF(AND(ISNUMBER(NATAL!$C196),NATAL!$D196="FOLGA"),"Folga Natal","")</f>
        <v/>
      </c>
      <c r="B496" s="0" t="str">
        <f aca="false">IF(AND(ISNUMBER(NATAL!$C196),NATAL!$D196="FOLGA"),NATAL!$A196&amp;"","")</f>
        <v/>
      </c>
      <c r="C496" s="0" t="str">
        <f aca="false">IF(AND(ISNUMBER(NATAL!$C196),NATAL!$D196="FOLGA"),NATAL!$B196&amp;"","")</f>
        <v/>
      </c>
      <c r="D496" s="78" t="str">
        <f aca="false">IF(AND(ISNUMBER(NATAL!$C196),NATAL!$D196="FOLGA"),NATAL!$C196,"")</f>
        <v/>
      </c>
      <c r="E496" s="0" t="str">
        <f aca="false">IF(AND(ISNUMBER(NATAL!$C196),NATAL!$D196="FOLGA"),NATAL!$E196&amp;"","")</f>
        <v/>
      </c>
      <c r="F496" s="0" t="str">
        <f aca="false">IF(AND(ISNUMBER(NATAL!$C196),NATAL!$D196="FOLGA"),NATAL!$F196&amp;"","")</f>
        <v/>
      </c>
      <c r="G496" s="0" t="str">
        <f aca="true">IF(D496="","",IF(D496=TODAY(),D496+ROW()/100000,""))</f>
        <v/>
      </c>
      <c r="H496" s="0" t="str">
        <f aca="true">IF(D496="","",IF(AND(D496&gt;TODAY(),D496&lt;=TODAY()+7),D496+ROW()/100000,""))</f>
        <v/>
      </c>
      <c r="I496" s="0" t="str">
        <f aca="false">IF(D496="","",IF(D496=CALENDÁRIO!$L$4,ROW(),""))</f>
        <v/>
      </c>
      <c r="J496" s="0" t="str">
        <f aca="false">IF(D496="","",CHOOSE(WEEKDAY(D496),"Domingo","Segunda","Terça","Quarta","Quinta","Sexta","Sábado"))</f>
        <v/>
      </c>
    </row>
    <row r="497" customFormat="false" ht="15" hidden="false" customHeight="false" outlineLevel="0" collapsed="false">
      <c r="A497" s="0" t="str">
        <f aca="false">IF(AND(ISNUMBER(NATAL!$C197),NATAL!$D197="FOLGA"),"Folga Natal","")</f>
        <v/>
      </c>
      <c r="B497" s="0" t="str">
        <f aca="false">IF(AND(ISNUMBER(NATAL!$C197),NATAL!$D197="FOLGA"),NATAL!$A197&amp;"","")</f>
        <v/>
      </c>
      <c r="C497" s="0" t="str">
        <f aca="false">IF(AND(ISNUMBER(NATAL!$C197),NATAL!$D197="FOLGA"),NATAL!$B197&amp;"","")</f>
        <v/>
      </c>
      <c r="D497" s="78" t="str">
        <f aca="false">IF(AND(ISNUMBER(NATAL!$C197),NATAL!$D197="FOLGA"),NATAL!$C197,"")</f>
        <v/>
      </c>
      <c r="E497" s="0" t="str">
        <f aca="false">IF(AND(ISNUMBER(NATAL!$C197),NATAL!$D197="FOLGA"),NATAL!$E197&amp;"","")</f>
        <v/>
      </c>
      <c r="F497" s="0" t="str">
        <f aca="false">IF(AND(ISNUMBER(NATAL!$C197),NATAL!$D197="FOLGA"),NATAL!$F197&amp;"","")</f>
        <v/>
      </c>
      <c r="G497" s="0" t="str">
        <f aca="true">IF(D497="","",IF(D497=TODAY(),D497+ROW()/100000,""))</f>
        <v/>
      </c>
      <c r="H497" s="0" t="str">
        <f aca="true">IF(D497="","",IF(AND(D497&gt;TODAY(),D497&lt;=TODAY()+7),D497+ROW()/100000,""))</f>
        <v/>
      </c>
      <c r="I497" s="0" t="str">
        <f aca="false">IF(D497="","",IF(D497=CALENDÁRIO!$L$4,ROW(),""))</f>
        <v/>
      </c>
      <c r="J497" s="0" t="str">
        <f aca="false">IF(D497="","",CHOOSE(WEEKDAY(D497),"Domingo","Segunda","Terça","Quarta","Quinta","Sexta","Sábado"))</f>
        <v/>
      </c>
    </row>
    <row r="498" customFormat="false" ht="15" hidden="false" customHeight="false" outlineLevel="0" collapsed="false">
      <c r="A498" s="0" t="str">
        <f aca="false">IF(AND(ISNUMBER(NATAL!$C198),NATAL!$D198="FOLGA"),"Folga Natal","")</f>
        <v/>
      </c>
      <c r="B498" s="0" t="str">
        <f aca="false">IF(AND(ISNUMBER(NATAL!$C198),NATAL!$D198="FOLGA"),NATAL!$A198&amp;"","")</f>
        <v/>
      </c>
      <c r="C498" s="0" t="str">
        <f aca="false">IF(AND(ISNUMBER(NATAL!$C198),NATAL!$D198="FOLGA"),NATAL!$B198&amp;"","")</f>
        <v/>
      </c>
      <c r="D498" s="78" t="str">
        <f aca="false">IF(AND(ISNUMBER(NATAL!$C198),NATAL!$D198="FOLGA"),NATAL!$C198,"")</f>
        <v/>
      </c>
      <c r="E498" s="0" t="str">
        <f aca="false">IF(AND(ISNUMBER(NATAL!$C198),NATAL!$D198="FOLGA"),NATAL!$E198&amp;"","")</f>
        <v/>
      </c>
      <c r="F498" s="0" t="str">
        <f aca="false">IF(AND(ISNUMBER(NATAL!$C198),NATAL!$D198="FOLGA"),NATAL!$F198&amp;"","")</f>
        <v/>
      </c>
      <c r="G498" s="0" t="str">
        <f aca="true">IF(D498="","",IF(D498=TODAY(),D498+ROW()/100000,""))</f>
        <v/>
      </c>
      <c r="H498" s="0" t="str">
        <f aca="true">IF(D498="","",IF(AND(D498&gt;TODAY(),D498&lt;=TODAY()+7),D498+ROW()/100000,""))</f>
        <v/>
      </c>
      <c r="I498" s="0" t="str">
        <f aca="false">IF(D498="","",IF(D498=CALENDÁRIO!$L$4,ROW(),""))</f>
        <v/>
      </c>
      <c r="J498" s="0" t="str">
        <f aca="false">IF(D498="","",CHOOSE(WEEKDAY(D498),"Domingo","Segunda","Terça","Quarta","Quinta","Sexta","Sábado"))</f>
        <v/>
      </c>
    </row>
    <row r="499" customFormat="false" ht="15" hidden="false" customHeight="false" outlineLevel="0" collapsed="false">
      <c r="A499" s="0" t="str">
        <f aca="false">IF(AND(ISNUMBER(NATAL!$C199),NATAL!$D199="FOLGA"),"Folga Natal","")</f>
        <v/>
      </c>
      <c r="B499" s="0" t="str">
        <f aca="false">IF(AND(ISNUMBER(NATAL!$C199),NATAL!$D199="FOLGA"),NATAL!$A199&amp;"","")</f>
        <v/>
      </c>
      <c r="C499" s="0" t="str">
        <f aca="false">IF(AND(ISNUMBER(NATAL!$C199),NATAL!$D199="FOLGA"),NATAL!$B199&amp;"","")</f>
        <v/>
      </c>
      <c r="D499" s="78" t="str">
        <f aca="false">IF(AND(ISNUMBER(NATAL!$C199),NATAL!$D199="FOLGA"),NATAL!$C199,"")</f>
        <v/>
      </c>
      <c r="E499" s="0" t="str">
        <f aca="false">IF(AND(ISNUMBER(NATAL!$C199),NATAL!$D199="FOLGA"),NATAL!$E199&amp;"","")</f>
        <v/>
      </c>
      <c r="F499" s="0" t="str">
        <f aca="false">IF(AND(ISNUMBER(NATAL!$C199),NATAL!$D199="FOLGA"),NATAL!$F199&amp;"","")</f>
        <v/>
      </c>
      <c r="G499" s="0" t="str">
        <f aca="true">IF(D499="","",IF(D499=TODAY(),D499+ROW()/100000,""))</f>
        <v/>
      </c>
      <c r="H499" s="0" t="str">
        <f aca="true">IF(D499="","",IF(AND(D499&gt;TODAY(),D499&lt;=TODAY()+7),D499+ROW()/100000,""))</f>
        <v/>
      </c>
      <c r="I499" s="0" t="str">
        <f aca="false">IF(D499="","",IF(D499=CALENDÁRIO!$L$4,ROW(),""))</f>
        <v/>
      </c>
      <c r="J499" s="0" t="str">
        <f aca="false">IF(D499="","",CHOOSE(WEEKDAY(D499),"Domingo","Segunda","Terça","Quarta","Quinta","Sexta","Sábado"))</f>
        <v/>
      </c>
    </row>
    <row r="500" customFormat="false" ht="15" hidden="false" customHeight="false" outlineLevel="0" collapsed="false">
      <c r="A500" s="0" t="str">
        <f aca="false">IF(AND(ISNUMBER(NATAL!$C200),NATAL!$D200="FOLGA"),"Folga Natal","")</f>
        <v/>
      </c>
      <c r="B500" s="0" t="str">
        <f aca="false">IF(AND(ISNUMBER(NATAL!$C200),NATAL!$D200="FOLGA"),NATAL!$A200&amp;"","")</f>
        <v/>
      </c>
      <c r="C500" s="0" t="str">
        <f aca="false">IF(AND(ISNUMBER(NATAL!$C200),NATAL!$D200="FOLGA"),NATAL!$B200&amp;"","")</f>
        <v/>
      </c>
      <c r="D500" s="78" t="str">
        <f aca="false">IF(AND(ISNUMBER(NATAL!$C200),NATAL!$D200="FOLGA"),NATAL!$C200,"")</f>
        <v/>
      </c>
      <c r="E500" s="0" t="str">
        <f aca="false">IF(AND(ISNUMBER(NATAL!$C200),NATAL!$D200="FOLGA"),NATAL!$E200&amp;"","")</f>
        <v/>
      </c>
      <c r="F500" s="0" t="str">
        <f aca="false">IF(AND(ISNUMBER(NATAL!$C200),NATAL!$D200="FOLGA"),NATAL!$F200&amp;"","")</f>
        <v/>
      </c>
      <c r="G500" s="0" t="str">
        <f aca="true">IF(D500="","",IF(D500=TODAY(),D500+ROW()/100000,""))</f>
        <v/>
      </c>
      <c r="H500" s="0" t="str">
        <f aca="true">IF(D500="","",IF(AND(D500&gt;TODAY(),D500&lt;=TODAY()+7),D500+ROW()/100000,""))</f>
        <v/>
      </c>
      <c r="I500" s="0" t="str">
        <f aca="false">IF(D500="","",IF(D500=CALENDÁRIO!$L$4,ROW(),""))</f>
        <v/>
      </c>
      <c r="J500" s="0" t="str">
        <f aca="false">IF(D500="","",CHOOSE(WEEKDAY(D500),"Domingo","Segunda","Terça","Quarta","Quinta","Sexta","Sábado"))</f>
        <v/>
      </c>
    </row>
    <row r="501" customFormat="false" ht="15" hidden="false" customHeight="false" outlineLevel="0" collapsed="false">
      <c r="A501" s="0" t="str">
        <f aca="false">IF(AND(ISNUMBER(NATAL!$C201),NATAL!$D201="FOLGA"),"Folga Natal","")</f>
        <v/>
      </c>
      <c r="B501" s="0" t="str">
        <f aca="false">IF(AND(ISNUMBER(NATAL!$C201),NATAL!$D201="FOLGA"),NATAL!$A201&amp;"","")</f>
        <v/>
      </c>
      <c r="C501" s="0" t="str">
        <f aca="false">IF(AND(ISNUMBER(NATAL!$C201),NATAL!$D201="FOLGA"),NATAL!$B201&amp;"","")</f>
        <v/>
      </c>
      <c r="D501" s="78" t="str">
        <f aca="false">IF(AND(ISNUMBER(NATAL!$C201),NATAL!$D201="FOLGA"),NATAL!$C201,"")</f>
        <v/>
      </c>
      <c r="E501" s="0" t="str">
        <f aca="false">IF(AND(ISNUMBER(NATAL!$C201),NATAL!$D201="FOLGA"),NATAL!$E201&amp;"","")</f>
        <v/>
      </c>
      <c r="F501" s="0" t="str">
        <f aca="false">IF(AND(ISNUMBER(NATAL!$C201),NATAL!$D201="FOLGA"),NATAL!$F201&amp;"","")</f>
        <v/>
      </c>
      <c r="G501" s="0" t="str">
        <f aca="true">IF(D501="","",IF(D501=TODAY(),D501+ROW()/100000,""))</f>
        <v/>
      </c>
      <c r="H501" s="0" t="str">
        <f aca="true">IF(D501="","",IF(AND(D501&gt;TODAY(),D501&lt;=TODAY()+7),D501+ROW()/100000,""))</f>
        <v/>
      </c>
      <c r="I501" s="0" t="str">
        <f aca="false">IF(D501="","",IF(D501=CALENDÁRIO!$L$4,ROW(),""))</f>
        <v/>
      </c>
      <c r="J501" s="0" t="str">
        <f aca="false">IF(D501="","",CHOOSE(WEEKDAY(D501),"Domingo","Segunda","Terça","Quarta","Quinta","Sexta","Sábado"))</f>
        <v/>
      </c>
    </row>
    <row r="502" customFormat="false" ht="15" hidden="false" customHeight="false" outlineLevel="0" collapsed="false">
      <c r="A502" s="0" t="str">
        <f aca="false">IF(AND(ISNUMBER(NATAL!$C202),NATAL!$D202="FOLGA"),"Folga Natal","")</f>
        <v/>
      </c>
      <c r="B502" s="0" t="str">
        <f aca="false">IF(AND(ISNUMBER(NATAL!$C202),NATAL!$D202="FOLGA"),NATAL!$A202&amp;"","")</f>
        <v/>
      </c>
      <c r="C502" s="0" t="str">
        <f aca="false">IF(AND(ISNUMBER(NATAL!$C202),NATAL!$D202="FOLGA"),NATAL!$B202&amp;"","")</f>
        <v/>
      </c>
      <c r="D502" s="78" t="str">
        <f aca="false">IF(AND(ISNUMBER(NATAL!$C202),NATAL!$D202="FOLGA"),NATAL!$C202,"")</f>
        <v/>
      </c>
      <c r="E502" s="0" t="str">
        <f aca="false">IF(AND(ISNUMBER(NATAL!$C202),NATAL!$D202="FOLGA"),NATAL!$E202&amp;"","")</f>
        <v/>
      </c>
      <c r="F502" s="0" t="str">
        <f aca="false">IF(AND(ISNUMBER(NATAL!$C202),NATAL!$D202="FOLGA"),NATAL!$F202&amp;"","")</f>
        <v/>
      </c>
      <c r="G502" s="0" t="str">
        <f aca="true">IF(D502="","",IF(D502=TODAY(),D502+ROW()/100000,""))</f>
        <v/>
      </c>
      <c r="H502" s="0" t="str">
        <f aca="true">IF(D502="","",IF(AND(D502&gt;TODAY(),D502&lt;=TODAY()+7),D502+ROW()/100000,""))</f>
        <v/>
      </c>
      <c r="I502" s="0" t="str">
        <f aca="false">IF(D502="","",IF(D502=CALENDÁRIO!$L$4,ROW(),""))</f>
        <v/>
      </c>
      <c r="J502" s="0" t="str">
        <f aca="false">IF(D502="","",CHOOSE(WEEKDAY(D502),"Domingo","Segunda","Terça","Quarta","Quinta","Sexta","Sábado"))</f>
        <v/>
      </c>
    </row>
    <row r="503" customFormat="false" ht="15" hidden="false" customHeight="false" outlineLevel="0" collapsed="false">
      <c r="A503" s="0" t="str">
        <f aca="false">IF(AND(ISNUMBER(NATAL!$C203),NATAL!$D203="FOLGA"),"Folga Natal","")</f>
        <v/>
      </c>
      <c r="B503" s="0" t="str">
        <f aca="false">IF(AND(ISNUMBER(NATAL!$C203),NATAL!$D203="FOLGA"),NATAL!$A203&amp;"","")</f>
        <v/>
      </c>
      <c r="C503" s="0" t="str">
        <f aca="false">IF(AND(ISNUMBER(NATAL!$C203),NATAL!$D203="FOLGA"),NATAL!$B203&amp;"","")</f>
        <v/>
      </c>
      <c r="D503" s="78" t="str">
        <f aca="false">IF(AND(ISNUMBER(NATAL!$C203),NATAL!$D203="FOLGA"),NATAL!$C203,"")</f>
        <v/>
      </c>
      <c r="E503" s="0" t="str">
        <f aca="false">IF(AND(ISNUMBER(NATAL!$C203),NATAL!$D203="FOLGA"),NATAL!$E203&amp;"","")</f>
        <v/>
      </c>
      <c r="F503" s="0" t="str">
        <f aca="false">IF(AND(ISNUMBER(NATAL!$C203),NATAL!$D203="FOLGA"),NATAL!$F203&amp;"","")</f>
        <v/>
      </c>
      <c r="G503" s="0" t="str">
        <f aca="true">IF(D503="","",IF(D503=TODAY(),D503+ROW()/100000,""))</f>
        <v/>
      </c>
      <c r="H503" s="0" t="str">
        <f aca="true">IF(D503="","",IF(AND(D503&gt;TODAY(),D503&lt;=TODAY()+7),D503+ROW()/100000,""))</f>
        <v/>
      </c>
      <c r="I503" s="0" t="str">
        <f aca="false">IF(D503="","",IF(D503=CALENDÁRIO!$L$4,ROW(),""))</f>
        <v/>
      </c>
      <c r="J503" s="0" t="str">
        <f aca="false">IF(D503="","",CHOOSE(WEEKDAY(D503),"Domingo","Segunda","Terça","Quarta","Quinta","Sexta","Sábado"))</f>
        <v/>
      </c>
    </row>
    <row r="504" customFormat="false" ht="15" hidden="false" customHeight="false" outlineLevel="0" collapsed="false">
      <c r="A504" s="0" t="str">
        <f aca="false">IF(AND(ISNUMBER(NATAL!$C204),NATAL!$D204="FOLGA"),"Folga Natal","")</f>
        <v/>
      </c>
      <c r="B504" s="0" t="str">
        <f aca="false">IF(AND(ISNUMBER(NATAL!$C204),NATAL!$D204="FOLGA"),NATAL!$A204&amp;"","")</f>
        <v/>
      </c>
      <c r="C504" s="0" t="str">
        <f aca="false">IF(AND(ISNUMBER(NATAL!$C204),NATAL!$D204="FOLGA"),NATAL!$B204&amp;"","")</f>
        <v/>
      </c>
      <c r="D504" s="78" t="str">
        <f aca="false">IF(AND(ISNUMBER(NATAL!$C204),NATAL!$D204="FOLGA"),NATAL!$C204,"")</f>
        <v/>
      </c>
      <c r="E504" s="0" t="str">
        <f aca="false">IF(AND(ISNUMBER(NATAL!$C204),NATAL!$D204="FOLGA"),NATAL!$E204&amp;"","")</f>
        <v/>
      </c>
      <c r="F504" s="0" t="str">
        <f aca="false">IF(AND(ISNUMBER(NATAL!$C204),NATAL!$D204="FOLGA"),NATAL!$F204&amp;"","")</f>
        <v/>
      </c>
      <c r="G504" s="0" t="str">
        <f aca="true">IF(D504="","",IF(D504=TODAY(),D504+ROW()/100000,""))</f>
        <v/>
      </c>
      <c r="H504" s="0" t="str">
        <f aca="true">IF(D504="","",IF(AND(D504&gt;TODAY(),D504&lt;=TODAY()+7),D504+ROW()/100000,""))</f>
        <v/>
      </c>
      <c r="I504" s="0" t="str">
        <f aca="false">IF(D504="","",IF(D504=CALENDÁRIO!$L$4,ROW(),""))</f>
        <v/>
      </c>
      <c r="J504" s="0" t="str">
        <f aca="false">IF(D504="","",CHOOSE(WEEKDAY(D504),"Domingo","Segunda","Terça","Quarta","Quinta","Sexta","Sábado"))</f>
        <v/>
      </c>
    </row>
    <row r="505" customFormat="false" ht="15" hidden="false" customHeight="false" outlineLevel="0" collapsed="false">
      <c r="A505" s="0" t="str">
        <f aca="false">IF(AND(ISNUMBER(NATAL!$C205),NATAL!$D205="FOLGA"),"Folga Natal","")</f>
        <v/>
      </c>
      <c r="B505" s="0" t="str">
        <f aca="false">IF(AND(ISNUMBER(NATAL!$C205),NATAL!$D205="FOLGA"),NATAL!$A205&amp;"","")</f>
        <v/>
      </c>
      <c r="C505" s="0" t="str">
        <f aca="false">IF(AND(ISNUMBER(NATAL!$C205),NATAL!$D205="FOLGA"),NATAL!$B205&amp;"","")</f>
        <v/>
      </c>
      <c r="D505" s="78" t="str">
        <f aca="false">IF(AND(ISNUMBER(NATAL!$C205),NATAL!$D205="FOLGA"),NATAL!$C205,"")</f>
        <v/>
      </c>
      <c r="E505" s="0" t="str">
        <f aca="false">IF(AND(ISNUMBER(NATAL!$C205),NATAL!$D205="FOLGA"),NATAL!$E205&amp;"","")</f>
        <v/>
      </c>
      <c r="F505" s="0" t="str">
        <f aca="false">IF(AND(ISNUMBER(NATAL!$C205),NATAL!$D205="FOLGA"),NATAL!$F205&amp;"","")</f>
        <v/>
      </c>
      <c r="G505" s="0" t="str">
        <f aca="true">IF(D505="","",IF(D505=TODAY(),D505+ROW()/100000,""))</f>
        <v/>
      </c>
      <c r="H505" s="0" t="str">
        <f aca="true">IF(D505="","",IF(AND(D505&gt;TODAY(),D505&lt;=TODAY()+7),D505+ROW()/100000,""))</f>
        <v/>
      </c>
      <c r="I505" s="0" t="str">
        <f aca="false">IF(D505="","",IF(D505=CALENDÁRIO!$L$4,ROW(),""))</f>
        <v/>
      </c>
      <c r="J505" s="0" t="str">
        <f aca="false">IF(D505="","",CHOOSE(WEEKDAY(D505),"Domingo","Segunda","Terça","Quarta","Quinta","Sexta","Sábado"))</f>
        <v/>
      </c>
    </row>
    <row r="506" customFormat="false" ht="15" hidden="false" customHeight="false" outlineLevel="0" collapsed="false">
      <c r="A506" s="0" t="str">
        <f aca="false">IF(AND(ISNUMBER(NATAL!$C206),NATAL!$D206="FOLGA"),"Folga Natal","")</f>
        <v/>
      </c>
      <c r="B506" s="0" t="str">
        <f aca="false">IF(AND(ISNUMBER(NATAL!$C206),NATAL!$D206="FOLGA"),NATAL!$A206&amp;"","")</f>
        <v/>
      </c>
      <c r="C506" s="0" t="str">
        <f aca="false">IF(AND(ISNUMBER(NATAL!$C206),NATAL!$D206="FOLGA"),NATAL!$B206&amp;"","")</f>
        <v/>
      </c>
      <c r="D506" s="78" t="str">
        <f aca="false">IF(AND(ISNUMBER(NATAL!$C206),NATAL!$D206="FOLGA"),NATAL!$C206,"")</f>
        <v/>
      </c>
      <c r="E506" s="0" t="str">
        <f aca="false">IF(AND(ISNUMBER(NATAL!$C206),NATAL!$D206="FOLGA"),NATAL!$E206&amp;"","")</f>
        <v/>
      </c>
      <c r="F506" s="0" t="str">
        <f aca="false">IF(AND(ISNUMBER(NATAL!$C206),NATAL!$D206="FOLGA"),NATAL!$F206&amp;"","")</f>
        <v/>
      </c>
      <c r="G506" s="0" t="str">
        <f aca="true">IF(D506="","",IF(D506=TODAY(),D506+ROW()/100000,""))</f>
        <v/>
      </c>
      <c r="H506" s="0" t="str">
        <f aca="true">IF(D506="","",IF(AND(D506&gt;TODAY(),D506&lt;=TODAY()+7),D506+ROW()/100000,""))</f>
        <v/>
      </c>
      <c r="I506" s="0" t="str">
        <f aca="false">IF(D506="","",IF(D506=CALENDÁRIO!$L$4,ROW(),""))</f>
        <v/>
      </c>
      <c r="J506" s="0" t="str">
        <f aca="false">IF(D506="","",CHOOSE(WEEKDAY(D506),"Domingo","Segunda","Terça","Quarta","Quinta","Sexta","Sábado"))</f>
        <v/>
      </c>
    </row>
    <row r="507" customFormat="false" ht="15" hidden="false" customHeight="false" outlineLevel="0" collapsed="false">
      <c r="A507" s="0" t="str">
        <f aca="false">IF(AND(ISNUMBER(NATAL!$C207),NATAL!$D207="FOLGA"),"Folga Natal","")</f>
        <v/>
      </c>
      <c r="B507" s="0" t="str">
        <f aca="false">IF(AND(ISNUMBER(NATAL!$C207),NATAL!$D207="FOLGA"),NATAL!$A207&amp;"","")</f>
        <v/>
      </c>
      <c r="C507" s="0" t="str">
        <f aca="false">IF(AND(ISNUMBER(NATAL!$C207),NATAL!$D207="FOLGA"),NATAL!$B207&amp;"","")</f>
        <v/>
      </c>
      <c r="D507" s="78" t="str">
        <f aca="false">IF(AND(ISNUMBER(NATAL!$C207),NATAL!$D207="FOLGA"),NATAL!$C207,"")</f>
        <v/>
      </c>
      <c r="E507" s="0" t="str">
        <f aca="false">IF(AND(ISNUMBER(NATAL!$C207),NATAL!$D207="FOLGA"),NATAL!$E207&amp;"","")</f>
        <v/>
      </c>
      <c r="F507" s="0" t="str">
        <f aca="false">IF(AND(ISNUMBER(NATAL!$C207),NATAL!$D207="FOLGA"),NATAL!$F207&amp;"","")</f>
        <v/>
      </c>
      <c r="G507" s="0" t="str">
        <f aca="true">IF(D507="","",IF(D507=TODAY(),D507+ROW()/100000,""))</f>
        <v/>
      </c>
      <c r="H507" s="0" t="str">
        <f aca="true">IF(D507="","",IF(AND(D507&gt;TODAY(),D507&lt;=TODAY()+7),D507+ROW()/100000,""))</f>
        <v/>
      </c>
      <c r="I507" s="0" t="str">
        <f aca="false">IF(D507="","",IF(D507=CALENDÁRIO!$L$4,ROW(),""))</f>
        <v/>
      </c>
      <c r="J507" s="0" t="str">
        <f aca="false">IF(D507="","",CHOOSE(WEEKDAY(D507),"Domingo","Segunda","Terça","Quarta","Quinta","Sexta","Sábado"))</f>
        <v/>
      </c>
    </row>
    <row r="508" customFormat="false" ht="15" hidden="false" customHeight="false" outlineLevel="0" collapsed="false">
      <c r="A508" s="0" t="str">
        <f aca="false">IF(AND(ISNUMBER(NATAL!$C208),NATAL!$D208="FOLGA"),"Folga Natal","")</f>
        <v/>
      </c>
      <c r="B508" s="0" t="str">
        <f aca="false">IF(AND(ISNUMBER(NATAL!$C208),NATAL!$D208="FOLGA"),NATAL!$A208&amp;"","")</f>
        <v/>
      </c>
      <c r="C508" s="0" t="str">
        <f aca="false">IF(AND(ISNUMBER(NATAL!$C208),NATAL!$D208="FOLGA"),NATAL!$B208&amp;"","")</f>
        <v/>
      </c>
      <c r="D508" s="78" t="str">
        <f aca="false">IF(AND(ISNUMBER(NATAL!$C208),NATAL!$D208="FOLGA"),NATAL!$C208,"")</f>
        <v/>
      </c>
      <c r="E508" s="0" t="str">
        <f aca="false">IF(AND(ISNUMBER(NATAL!$C208),NATAL!$D208="FOLGA"),NATAL!$E208&amp;"","")</f>
        <v/>
      </c>
      <c r="F508" s="0" t="str">
        <f aca="false">IF(AND(ISNUMBER(NATAL!$C208),NATAL!$D208="FOLGA"),NATAL!$F208&amp;"","")</f>
        <v/>
      </c>
      <c r="G508" s="0" t="str">
        <f aca="true">IF(D508="","",IF(D508=TODAY(),D508+ROW()/100000,""))</f>
        <v/>
      </c>
      <c r="H508" s="0" t="str">
        <f aca="true">IF(D508="","",IF(AND(D508&gt;TODAY(),D508&lt;=TODAY()+7),D508+ROW()/100000,""))</f>
        <v/>
      </c>
      <c r="I508" s="0" t="str">
        <f aca="false">IF(D508="","",IF(D508=CALENDÁRIO!$L$4,ROW(),""))</f>
        <v/>
      </c>
      <c r="J508" s="0" t="str">
        <f aca="false">IF(D508="","",CHOOSE(WEEKDAY(D508),"Domingo","Segunda","Terça","Quarta","Quinta","Sexta","Sábado"))</f>
        <v/>
      </c>
    </row>
    <row r="509" customFormat="false" ht="15" hidden="false" customHeight="false" outlineLevel="0" collapsed="false">
      <c r="A509" s="0" t="str">
        <f aca="false">IF(AND(ISNUMBER(NATAL!$C209),NATAL!$D209="FOLGA"),"Folga Natal","")</f>
        <v/>
      </c>
      <c r="B509" s="0" t="str">
        <f aca="false">IF(AND(ISNUMBER(NATAL!$C209),NATAL!$D209="FOLGA"),NATAL!$A209&amp;"","")</f>
        <v/>
      </c>
      <c r="C509" s="0" t="str">
        <f aca="false">IF(AND(ISNUMBER(NATAL!$C209),NATAL!$D209="FOLGA"),NATAL!$B209&amp;"","")</f>
        <v/>
      </c>
      <c r="D509" s="78" t="str">
        <f aca="false">IF(AND(ISNUMBER(NATAL!$C209),NATAL!$D209="FOLGA"),NATAL!$C209,"")</f>
        <v/>
      </c>
      <c r="E509" s="0" t="str">
        <f aca="false">IF(AND(ISNUMBER(NATAL!$C209),NATAL!$D209="FOLGA"),NATAL!$E209&amp;"","")</f>
        <v/>
      </c>
      <c r="F509" s="0" t="str">
        <f aca="false">IF(AND(ISNUMBER(NATAL!$C209),NATAL!$D209="FOLGA"),NATAL!$F209&amp;"","")</f>
        <v/>
      </c>
      <c r="G509" s="0" t="str">
        <f aca="true">IF(D509="","",IF(D509=TODAY(),D509+ROW()/100000,""))</f>
        <v/>
      </c>
      <c r="H509" s="0" t="str">
        <f aca="true">IF(D509="","",IF(AND(D509&gt;TODAY(),D509&lt;=TODAY()+7),D509+ROW()/100000,""))</f>
        <v/>
      </c>
      <c r="I509" s="0" t="str">
        <f aca="false">IF(D509="","",IF(D509=CALENDÁRIO!$L$4,ROW(),""))</f>
        <v/>
      </c>
      <c r="J509" s="0" t="str">
        <f aca="false">IF(D509="","",CHOOSE(WEEKDAY(D509),"Domingo","Segunda","Terça","Quarta","Quinta","Sexta","Sábado"))</f>
        <v/>
      </c>
    </row>
    <row r="510" customFormat="false" ht="15" hidden="false" customHeight="false" outlineLevel="0" collapsed="false">
      <c r="A510" s="0" t="str">
        <f aca="false">IF(AND(ISNUMBER(NATAL!$C210),NATAL!$D210="FOLGA"),"Folga Natal","")</f>
        <v/>
      </c>
      <c r="B510" s="0" t="str">
        <f aca="false">IF(AND(ISNUMBER(NATAL!$C210),NATAL!$D210="FOLGA"),NATAL!$A210&amp;"","")</f>
        <v/>
      </c>
      <c r="C510" s="0" t="str">
        <f aca="false">IF(AND(ISNUMBER(NATAL!$C210),NATAL!$D210="FOLGA"),NATAL!$B210&amp;"","")</f>
        <v/>
      </c>
      <c r="D510" s="78" t="str">
        <f aca="false">IF(AND(ISNUMBER(NATAL!$C210),NATAL!$D210="FOLGA"),NATAL!$C210,"")</f>
        <v/>
      </c>
      <c r="E510" s="0" t="str">
        <f aca="false">IF(AND(ISNUMBER(NATAL!$C210),NATAL!$D210="FOLGA"),NATAL!$E210&amp;"","")</f>
        <v/>
      </c>
      <c r="F510" s="0" t="str">
        <f aca="false">IF(AND(ISNUMBER(NATAL!$C210),NATAL!$D210="FOLGA"),NATAL!$F210&amp;"","")</f>
        <v/>
      </c>
      <c r="G510" s="0" t="str">
        <f aca="true">IF(D510="","",IF(D510=TODAY(),D510+ROW()/100000,""))</f>
        <v/>
      </c>
      <c r="H510" s="0" t="str">
        <f aca="true">IF(D510="","",IF(AND(D510&gt;TODAY(),D510&lt;=TODAY()+7),D510+ROW()/100000,""))</f>
        <v/>
      </c>
      <c r="I510" s="0" t="str">
        <f aca="false">IF(D510="","",IF(D510=CALENDÁRIO!$L$4,ROW(),""))</f>
        <v/>
      </c>
      <c r="J510" s="0" t="str">
        <f aca="false">IF(D510="","",CHOOSE(WEEKDAY(D510),"Domingo","Segunda","Terça","Quarta","Quinta","Sexta","Sábado"))</f>
        <v/>
      </c>
    </row>
    <row r="511" customFormat="false" ht="15" hidden="false" customHeight="false" outlineLevel="0" collapsed="false">
      <c r="A511" s="0" t="str">
        <f aca="false">IF(AND(ISNUMBER(NATAL!$C211),NATAL!$D211="FOLGA"),"Folga Natal","")</f>
        <v/>
      </c>
      <c r="B511" s="0" t="str">
        <f aca="false">IF(AND(ISNUMBER(NATAL!$C211),NATAL!$D211="FOLGA"),NATAL!$A211&amp;"","")</f>
        <v/>
      </c>
      <c r="C511" s="0" t="str">
        <f aca="false">IF(AND(ISNUMBER(NATAL!$C211),NATAL!$D211="FOLGA"),NATAL!$B211&amp;"","")</f>
        <v/>
      </c>
      <c r="D511" s="78" t="str">
        <f aca="false">IF(AND(ISNUMBER(NATAL!$C211),NATAL!$D211="FOLGA"),NATAL!$C211,"")</f>
        <v/>
      </c>
      <c r="E511" s="0" t="str">
        <f aca="false">IF(AND(ISNUMBER(NATAL!$C211),NATAL!$D211="FOLGA"),NATAL!$E211&amp;"","")</f>
        <v/>
      </c>
      <c r="F511" s="0" t="str">
        <f aca="false">IF(AND(ISNUMBER(NATAL!$C211),NATAL!$D211="FOLGA"),NATAL!$F211&amp;"","")</f>
        <v/>
      </c>
      <c r="G511" s="0" t="str">
        <f aca="true">IF(D511="","",IF(D511=TODAY(),D511+ROW()/100000,""))</f>
        <v/>
      </c>
      <c r="H511" s="0" t="str">
        <f aca="true">IF(D511="","",IF(AND(D511&gt;TODAY(),D511&lt;=TODAY()+7),D511+ROW()/100000,""))</f>
        <v/>
      </c>
      <c r="I511" s="0" t="str">
        <f aca="false">IF(D511="","",IF(D511=CALENDÁRIO!$L$4,ROW(),""))</f>
        <v/>
      </c>
      <c r="J511" s="0" t="str">
        <f aca="false">IF(D511="","",CHOOSE(WEEKDAY(D511),"Domingo","Segunda","Terça","Quarta","Quinta","Sexta","Sábado"))</f>
        <v/>
      </c>
    </row>
    <row r="512" customFormat="false" ht="15" hidden="false" customHeight="false" outlineLevel="0" collapsed="false">
      <c r="A512" s="0" t="str">
        <f aca="false">IF(AND(ISNUMBER(NATAL!$C212),NATAL!$D212="FOLGA"),"Folga Natal","")</f>
        <v/>
      </c>
      <c r="B512" s="0" t="str">
        <f aca="false">IF(AND(ISNUMBER(NATAL!$C212),NATAL!$D212="FOLGA"),NATAL!$A212&amp;"","")</f>
        <v/>
      </c>
      <c r="C512" s="0" t="str">
        <f aca="false">IF(AND(ISNUMBER(NATAL!$C212),NATAL!$D212="FOLGA"),NATAL!$B212&amp;"","")</f>
        <v/>
      </c>
      <c r="D512" s="78" t="str">
        <f aca="false">IF(AND(ISNUMBER(NATAL!$C212),NATAL!$D212="FOLGA"),NATAL!$C212,"")</f>
        <v/>
      </c>
      <c r="E512" s="0" t="str">
        <f aca="false">IF(AND(ISNUMBER(NATAL!$C212),NATAL!$D212="FOLGA"),NATAL!$E212&amp;"","")</f>
        <v/>
      </c>
      <c r="F512" s="0" t="str">
        <f aca="false">IF(AND(ISNUMBER(NATAL!$C212),NATAL!$D212="FOLGA"),NATAL!$F212&amp;"","")</f>
        <v/>
      </c>
      <c r="G512" s="0" t="str">
        <f aca="true">IF(D512="","",IF(D512=TODAY(),D512+ROW()/100000,""))</f>
        <v/>
      </c>
      <c r="H512" s="0" t="str">
        <f aca="true">IF(D512="","",IF(AND(D512&gt;TODAY(),D512&lt;=TODAY()+7),D512+ROW()/100000,""))</f>
        <v/>
      </c>
      <c r="I512" s="0" t="str">
        <f aca="false">IF(D512="","",IF(D512=CALENDÁRIO!$L$4,ROW(),""))</f>
        <v/>
      </c>
      <c r="J512" s="0" t="str">
        <f aca="false">IF(D512="","",CHOOSE(WEEKDAY(D512),"Domingo","Segunda","Terça","Quarta","Quinta","Sexta","Sábado"))</f>
        <v/>
      </c>
    </row>
    <row r="513" customFormat="false" ht="15" hidden="false" customHeight="false" outlineLevel="0" collapsed="false">
      <c r="A513" s="0" t="str">
        <f aca="false">IF(AND(ISNUMBER(NATAL!$C213),NATAL!$D213="FOLGA"),"Folga Natal","")</f>
        <v/>
      </c>
      <c r="B513" s="0" t="str">
        <f aca="false">IF(AND(ISNUMBER(NATAL!$C213),NATAL!$D213="FOLGA"),NATAL!$A213&amp;"","")</f>
        <v/>
      </c>
      <c r="C513" s="0" t="str">
        <f aca="false">IF(AND(ISNUMBER(NATAL!$C213),NATAL!$D213="FOLGA"),NATAL!$B213&amp;"","")</f>
        <v/>
      </c>
      <c r="D513" s="78" t="str">
        <f aca="false">IF(AND(ISNUMBER(NATAL!$C213),NATAL!$D213="FOLGA"),NATAL!$C213,"")</f>
        <v/>
      </c>
      <c r="E513" s="0" t="str">
        <f aca="false">IF(AND(ISNUMBER(NATAL!$C213),NATAL!$D213="FOLGA"),NATAL!$E213&amp;"","")</f>
        <v/>
      </c>
      <c r="F513" s="0" t="str">
        <f aca="false">IF(AND(ISNUMBER(NATAL!$C213),NATAL!$D213="FOLGA"),NATAL!$F213&amp;"","")</f>
        <v/>
      </c>
      <c r="G513" s="0" t="str">
        <f aca="true">IF(D513="","",IF(D513=TODAY(),D513+ROW()/100000,""))</f>
        <v/>
      </c>
      <c r="H513" s="0" t="str">
        <f aca="true">IF(D513="","",IF(AND(D513&gt;TODAY(),D513&lt;=TODAY()+7),D513+ROW()/100000,""))</f>
        <v/>
      </c>
      <c r="I513" s="0" t="str">
        <f aca="false">IF(D513="","",IF(D513=CALENDÁRIO!$L$4,ROW(),""))</f>
        <v/>
      </c>
      <c r="J513" s="0" t="str">
        <f aca="false">IF(D513="","",CHOOSE(WEEKDAY(D513),"Domingo","Segunda","Terça","Quarta","Quinta","Sexta","Sábado"))</f>
        <v/>
      </c>
    </row>
    <row r="514" customFormat="false" ht="15" hidden="false" customHeight="false" outlineLevel="0" collapsed="false">
      <c r="A514" s="0" t="str">
        <f aca="false">IF(AND(ISNUMBER(NATAL!$C214),NATAL!$D214="FOLGA"),"Folga Natal","")</f>
        <v/>
      </c>
      <c r="B514" s="0" t="str">
        <f aca="false">IF(AND(ISNUMBER(NATAL!$C214),NATAL!$D214="FOLGA"),NATAL!$A214&amp;"","")</f>
        <v/>
      </c>
      <c r="C514" s="0" t="str">
        <f aca="false">IF(AND(ISNUMBER(NATAL!$C214),NATAL!$D214="FOLGA"),NATAL!$B214&amp;"","")</f>
        <v/>
      </c>
      <c r="D514" s="78" t="str">
        <f aca="false">IF(AND(ISNUMBER(NATAL!$C214),NATAL!$D214="FOLGA"),NATAL!$C214,"")</f>
        <v/>
      </c>
      <c r="E514" s="0" t="str">
        <f aca="false">IF(AND(ISNUMBER(NATAL!$C214),NATAL!$D214="FOLGA"),NATAL!$E214&amp;"","")</f>
        <v/>
      </c>
      <c r="F514" s="0" t="str">
        <f aca="false">IF(AND(ISNUMBER(NATAL!$C214),NATAL!$D214="FOLGA"),NATAL!$F214&amp;"","")</f>
        <v/>
      </c>
      <c r="G514" s="0" t="str">
        <f aca="true">IF(D514="","",IF(D514=TODAY(),D514+ROW()/100000,""))</f>
        <v/>
      </c>
      <c r="H514" s="0" t="str">
        <f aca="true">IF(D514="","",IF(AND(D514&gt;TODAY(),D514&lt;=TODAY()+7),D514+ROW()/100000,""))</f>
        <v/>
      </c>
      <c r="I514" s="0" t="str">
        <f aca="false">IF(D514="","",IF(D514=CALENDÁRIO!$L$4,ROW(),""))</f>
        <v/>
      </c>
      <c r="J514" s="0" t="str">
        <f aca="false">IF(D514="","",CHOOSE(WEEKDAY(D514),"Domingo","Segunda","Terça","Quarta","Quinta","Sexta","Sábado"))</f>
        <v/>
      </c>
    </row>
    <row r="515" customFormat="false" ht="15" hidden="false" customHeight="false" outlineLevel="0" collapsed="false">
      <c r="A515" s="0" t="str">
        <f aca="false">IF(AND(ISNUMBER(NATAL!$C215),NATAL!$D215="FOLGA"),"Folga Natal","")</f>
        <v/>
      </c>
      <c r="B515" s="0" t="str">
        <f aca="false">IF(AND(ISNUMBER(NATAL!$C215),NATAL!$D215="FOLGA"),NATAL!$A215&amp;"","")</f>
        <v/>
      </c>
      <c r="C515" s="0" t="str">
        <f aca="false">IF(AND(ISNUMBER(NATAL!$C215),NATAL!$D215="FOLGA"),NATAL!$B215&amp;"","")</f>
        <v/>
      </c>
      <c r="D515" s="78" t="str">
        <f aca="false">IF(AND(ISNUMBER(NATAL!$C215),NATAL!$D215="FOLGA"),NATAL!$C215,"")</f>
        <v/>
      </c>
      <c r="E515" s="0" t="str">
        <f aca="false">IF(AND(ISNUMBER(NATAL!$C215),NATAL!$D215="FOLGA"),NATAL!$E215&amp;"","")</f>
        <v/>
      </c>
      <c r="F515" s="0" t="str">
        <f aca="false">IF(AND(ISNUMBER(NATAL!$C215),NATAL!$D215="FOLGA"),NATAL!$F215&amp;"","")</f>
        <v/>
      </c>
      <c r="G515" s="0" t="str">
        <f aca="true">IF(D515="","",IF(D515=TODAY(),D515+ROW()/100000,""))</f>
        <v/>
      </c>
      <c r="H515" s="0" t="str">
        <f aca="true">IF(D515="","",IF(AND(D515&gt;TODAY(),D515&lt;=TODAY()+7),D515+ROW()/100000,""))</f>
        <v/>
      </c>
      <c r="I515" s="0" t="str">
        <f aca="false">IF(D515="","",IF(D515=CALENDÁRIO!$L$4,ROW(),""))</f>
        <v/>
      </c>
      <c r="J515" s="0" t="str">
        <f aca="false">IF(D515="","",CHOOSE(WEEKDAY(D515),"Domingo","Segunda","Terça","Quarta","Quinta","Sexta","Sábado"))</f>
        <v/>
      </c>
    </row>
    <row r="516" customFormat="false" ht="15" hidden="false" customHeight="false" outlineLevel="0" collapsed="false">
      <c r="A516" s="0" t="str">
        <f aca="false">IF(AND(ISNUMBER(NATAL!$C216),NATAL!$D216="FOLGA"),"Folga Natal","")</f>
        <v/>
      </c>
      <c r="B516" s="0" t="str">
        <f aca="false">IF(AND(ISNUMBER(NATAL!$C216),NATAL!$D216="FOLGA"),NATAL!$A216&amp;"","")</f>
        <v/>
      </c>
      <c r="C516" s="0" t="str">
        <f aca="false">IF(AND(ISNUMBER(NATAL!$C216),NATAL!$D216="FOLGA"),NATAL!$B216&amp;"","")</f>
        <v/>
      </c>
      <c r="D516" s="78" t="str">
        <f aca="false">IF(AND(ISNUMBER(NATAL!$C216),NATAL!$D216="FOLGA"),NATAL!$C216,"")</f>
        <v/>
      </c>
      <c r="E516" s="0" t="str">
        <f aca="false">IF(AND(ISNUMBER(NATAL!$C216),NATAL!$D216="FOLGA"),NATAL!$E216&amp;"","")</f>
        <v/>
      </c>
      <c r="F516" s="0" t="str">
        <f aca="false">IF(AND(ISNUMBER(NATAL!$C216),NATAL!$D216="FOLGA"),NATAL!$F216&amp;"","")</f>
        <v/>
      </c>
      <c r="G516" s="0" t="str">
        <f aca="true">IF(D516="","",IF(D516=TODAY(),D516+ROW()/100000,""))</f>
        <v/>
      </c>
      <c r="H516" s="0" t="str">
        <f aca="true">IF(D516="","",IF(AND(D516&gt;TODAY(),D516&lt;=TODAY()+7),D516+ROW()/100000,""))</f>
        <v/>
      </c>
      <c r="I516" s="0" t="str">
        <f aca="false">IF(D516="","",IF(D516=CALENDÁRIO!$L$4,ROW(),""))</f>
        <v/>
      </c>
      <c r="J516" s="0" t="str">
        <f aca="false">IF(D516="","",CHOOSE(WEEKDAY(D516),"Domingo","Segunda","Terça","Quarta","Quinta","Sexta","Sábado"))</f>
        <v/>
      </c>
    </row>
    <row r="517" customFormat="false" ht="15" hidden="false" customHeight="false" outlineLevel="0" collapsed="false">
      <c r="A517" s="0" t="str">
        <f aca="false">IF(AND(ISNUMBER(NATAL!$C217),NATAL!$D217="FOLGA"),"Folga Natal","")</f>
        <v/>
      </c>
      <c r="B517" s="0" t="str">
        <f aca="false">IF(AND(ISNUMBER(NATAL!$C217),NATAL!$D217="FOLGA"),NATAL!$A217&amp;"","")</f>
        <v/>
      </c>
      <c r="C517" s="0" t="str">
        <f aca="false">IF(AND(ISNUMBER(NATAL!$C217),NATAL!$D217="FOLGA"),NATAL!$B217&amp;"","")</f>
        <v/>
      </c>
      <c r="D517" s="78" t="str">
        <f aca="false">IF(AND(ISNUMBER(NATAL!$C217),NATAL!$D217="FOLGA"),NATAL!$C217,"")</f>
        <v/>
      </c>
      <c r="E517" s="0" t="str">
        <f aca="false">IF(AND(ISNUMBER(NATAL!$C217),NATAL!$D217="FOLGA"),NATAL!$E217&amp;"","")</f>
        <v/>
      </c>
      <c r="F517" s="0" t="str">
        <f aca="false">IF(AND(ISNUMBER(NATAL!$C217),NATAL!$D217="FOLGA"),NATAL!$F217&amp;"","")</f>
        <v/>
      </c>
      <c r="G517" s="0" t="str">
        <f aca="true">IF(D517="","",IF(D517=TODAY(),D517+ROW()/100000,""))</f>
        <v/>
      </c>
      <c r="H517" s="0" t="str">
        <f aca="true">IF(D517="","",IF(AND(D517&gt;TODAY(),D517&lt;=TODAY()+7),D517+ROW()/100000,""))</f>
        <v/>
      </c>
      <c r="I517" s="0" t="str">
        <f aca="false">IF(D517="","",IF(D517=CALENDÁRIO!$L$4,ROW(),""))</f>
        <v/>
      </c>
      <c r="J517" s="0" t="str">
        <f aca="false">IF(D517="","",CHOOSE(WEEKDAY(D517),"Domingo","Segunda","Terça","Quarta","Quinta","Sexta","Sábado"))</f>
        <v/>
      </c>
    </row>
    <row r="518" customFormat="false" ht="15" hidden="false" customHeight="false" outlineLevel="0" collapsed="false">
      <c r="A518" s="0" t="str">
        <f aca="false">IF(AND(ISNUMBER(NATAL!$C218),NATAL!$D218="FOLGA"),"Folga Natal","")</f>
        <v/>
      </c>
      <c r="B518" s="0" t="str">
        <f aca="false">IF(AND(ISNUMBER(NATAL!$C218),NATAL!$D218="FOLGA"),NATAL!$A218&amp;"","")</f>
        <v/>
      </c>
      <c r="C518" s="0" t="str">
        <f aca="false">IF(AND(ISNUMBER(NATAL!$C218),NATAL!$D218="FOLGA"),NATAL!$B218&amp;"","")</f>
        <v/>
      </c>
      <c r="D518" s="78" t="str">
        <f aca="false">IF(AND(ISNUMBER(NATAL!$C218),NATAL!$D218="FOLGA"),NATAL!$C218,"")</f>
        <v/>
      </c>
      <c r="E518" s="0" t="str">
        <f aca="false">IF(AND(ISNUMBER(NATAL!$C218),NATAL!$D218="FOLGA"),NATAL!$E218&amp;"","")</f>
        <v/>
      </c>
      <c r="F518" s="0" t="str">
        <f aca="false">IF(AND(ISNUMBER(NATAL!$C218),NATAL!$D218="FOLGA"),NATAL!$F218&amp;"","")</f>
        <v/>
      </c>
      <c r="G518" s="0" t="str">
        <f aca="true">IF(D518="","",IF(D518=TODAY(),D518+ROW()/100000,""))</f>
        <v/>
      </c>
      <c r="H518" s="0" t="str">
        <f aca="true">IF(D518="","",IF(AND(D518&gt;TODAY(),D518&lt;=TODAY()+7),D518+ROW()/100000,""))</f>
        <v/>
      </c>
      <c r="I518" s="0" t="str">
        <f aca="false">IF(D518="","",IF(D518=CALENDÁRIO!$L$4,ROW(),""))</f>
        <v/>
      </c>
      <c r="J518" s="0" t="str">
        <f aca="false">IF(D518="","",CHOOSE(WEEKDAY(D518),"Domingo","Segunda","Terça","Quarta","Quinta","Sexta","Sábado"))</f>
        <v/>
      </c>
    </row>
    <row r="519" customFormat="false" ht="15" hidden="false" customHeight="false" outlineLevel="0" collapsed="false">
      <c r="A519" s="0" t="str">
        <f aca="false">IF(AND(ISNUMBER(NATAL!$C219),NATAL!$D219="FOLGA"),"Folga Natal","")</f>
        <v/>
      </c>
      <c r="B519" s="0" t="str">
        <f aca="false">IF(AND(ISNUMBER(NATAL!$C219),NATAL!$D219="FOLGA"),NATAL!$A219&amp;"","")</f>
        <v/>
      </c>
      <c r="C519" s="0" t="str">
        <f aca="false">IF(AND(ISNUMBER(NATAL!$C219),NATAL!$D219="FOLGA"),NATAL!$B219&amp;"","")</f>
        <v/>
      </c>
      <c r="D519" s="78" t="str">
        <f aca="false">IF(AND(ISNUMBER(NATAL!$C219),NATAL!$D219="FOLGA"),NATAL!$C219,"")</f>
        <v/>
      </c>
      <c r="E519" s="0" t="str">
        <f aca="false">IF(AND(ISNUMBER(NATAL!$C219),NATAL!$D219="FOLGA"),NATAL!$E219&amp;"","")</f>
        <v/>
      </c>
      <c r="F519" s="0" t="str">
        <f aca="false">IF(AND(ISNUMBER(NATAL!$C219),NATAL!$D219="FOLGA"),NATAL!$F219&amp;"","")</f>
        <v/>
      </c>
      <c r="G519" s="0" t="str">
        <f aca="true">IF(D519="","",IF(D519=TODAY(),D519+ROW()/100000,""))</f>
        <v/>
      </c>
      <c r="H519" s="0" t="str">
        <f aca="true">IF(D519="","",IF(AND(D519&gt;TODAY(),D519&lt;=TODAY()+7),D519+ROW()/100000,""))</f>
        <v/>
      </c>
      <c r="I519" s="0" t="str">
        <f aca="false">IF(D519="","",IF(D519=CALENDÁRIO!$L$4,ROW(),""))</f>
        <v/>
      </c>
      <c r="J519" s="0" t="str">
        <f aca="false">IF(D519="","",CHOOSE(WEEKDAY(D519),"Domingo","Segunda","Terça","Quarta","Quinta","Sexta","Sábado"))</f>
        <v/>
      </c>
    </row>
    <row r="520" customFormat="false" ht="15" hidden="false" customHeight="false" outlineLevel="0" collapsed="false">
      <c r="A520" s="0" t="str">
        <f aca="false">IF(AND(ISNUMBER(NATAL!$C220),NATAL!$D220="FOLGA"),"Folga Natal","")</f>
        <v/>
      </c>
      <c r="B520" s="0" t="str">
        <f aca="false">IF(AND(ISNUMBER(NATAL!$C220),NATAL!$D220="FOLGA"),NATAL!$A220&amp;"","")</f>
        <v/>
      </c>
      <c r="C520" s="0" t="str">
        <f aca="false">IF(AND(ISNUMBER(NATAL!$C220),NATAL!$D220="FOLGA"),NATAL!$B220&amp;"","")</f>
        <v/>
      </c>
      <c r="D520" s="78" t="str">
        <f aca="false">IF(AND(ISNUMBER(NATAL!$C220),NATAL!$D220="FOLGA"),NATAL!$C220,"")</f>
        <v/>
      </c>
      <c r="E520" s="0" t="str">
        <f aca="false">IF(AND(ISNUMBER(NATAL!$C220),NATAL!$D220="FOLGA"),NATAL!$E220&amp;"","")</f>
        <v/>
      </c>
      <c r="F520" s="0" t="str">
        <f aca="false">IF(AND(ISNUMBER(NATAL!$C220),NATAL!$D220="FOLGA"),NATAL!$F220&amp;"","")</f>
        <v/>
      </c>
      <c r="G520" s="0" t="str">
        <f aca="true">IF(D520="","",IF(D520=TODAY(),D520+ROW()/100000,""))</f>
        <v/>
      </c>
      <c r="H520" s="0" t="str">
        <f aca="true">IF(D520="","",IF(AND(D520&gt;TODAY(),D520&lt;=TODAY()+7),D520+ROW()/100000,""))</f>
        <v/>
      </c>
      <c r="I520" s="0" t="str">
        <f aca="false">IF(D520="","",IF(D520=CALENDÁRIO!$L$4,ROW(),""))</f>
        <v/>
      </c>
      <c r="J520" s="0" t="str">
        <f aca="false">IF(D520="","",CHOOSE(WEEKDAY(D520),"Domingo","Segunda","Terça","Quarta","Quinta","Sexta","Sábado"))</f>
        <v/>
      </c>
    </row>
    <row r="521" customFormat="false" ht="15" hidden="false" customHeight="false" outlineLevel="0" collapsed="false">
      <c r="A521" s="0" t="str">
        <f aca="false">IF(AND(ISNUMBER(NATAL!$C221),NATAL!$D221="FOLGA"),"Folga Natal","")</f>
        <v/>
      </c>
      <c r="B521" s="0" t="str">
        <f aca="false">IF(AND(ISNUMBER(NATAL!$C221),NATAL!$D221="FOLGA"),NATAL!$A221&amp;"","")</f>
        <v/>
      </c>
      <c r="C521" s="0" t="str">
        <f aca="false">IF(AND(ISNUMBER(NATAL!$C221),NATAL!$D221="FOLGA"),NATAL!$B221&amp;"","")</f>
        <v/>
      </c>
      <c r="D521" s="78" t="str">
        <f aca="false">IF(AND(ISNUMBER(NATAL!$C221),NATAL!$D221="FOLGA"),NATAL!$C221,"")</f>
        <v/>
      </c>
      <c r="E521" s="0" t="str">
        <f aca="false">IF(AND(ISNUMBER(NATAL!$C221),NATAL!$D221="FOLGA"),NATAL!$E221&amp;"","")</f>
        <v/>
      </c>
      <c r="F521" s="0" t="str">
        <f aca="false">IF(AND(ISNUMBER(NATAL!$C221),NATAL!$D221="FOLGA"),NATAL!$F221&amp;"","")</f>
        <v/>
      </c>
      <c r="G521" s="0" t="str">
        <f aca="true">IF(D521="","",IF(D521=TODAY(),D521+ROW()/100000,""))</f>
        <v/>
      </c>
      <c r="H521" s="0" t="str">
        <f aca="true">IF(D521="","",IF(AND(D521&gt;TODAY(),D521&lt;=TODAY()+7),D521+ROW()/100000,""))</f>
        <v/>
      </c>
      <c r="I521" s="0" t="str">
        <f aca="false">IF(D521="","",IF(D521=CALENDÁRIO!$L$4,ROW(),""))</f>
        <v/>
      </c>
      <c r="J521" s="0" t="str">
        <f aca="false">IF(D521="","",CHOOSE(WEEKDAY(D521),"Domingo","Segunda","Terça","Quarta","Quinta","Sexta","Sábado"))</f>
        <v/>
      </c>
    </row>
    <row r="522" customFormat="false" ht="15" hidden="false" customHeight="false" outlineLevel="0" collapsed="false">
      <c r="A522" s="0" t="str">
        <f aca="false">IF(AND(ISNUMBER(NATAL!$C222),NATAL!$D222="FOLGA"),"Folga Natal","")</f>
        <v/>
      </c>
      <c r="B522" s="0" t="str">
        <f aca="false">IF(AND(ISNUMBER(NATAL!$C222),NATAL!$D222="FOLGA"),NATAL!$A222&amp;"","")</f>
        <v/>
      </c>
      <c r="C522" s="0" t="str">
        <f aca="false">IF(AND(ISNUMBER(NATAL!$C222),NATAL!$D222="FOLGA"),NATAL!$B222&amp;"","")</f>
        <v/>
      </c>
      <c r="D522" s="78" t="str">
        <f aca="false">IF(AND(ISNUMBER(NATAL!$C222),NATAL!$D222="FOLGA"),NATAL!$C222,"")</f>
        <v/>
      </c>
      <c r="E522" s="0" t="str">
        <f aca="false">IF(AND(ISNUMBER(NATAL!$C222),NATAL!$D222="FOLGA"),NATAL!$E222&amp;"","")</f>
        <v/>
      </c>
      <c r="F522" s="0" t="str">
        <f aca="false">IF(AND(ISNUMBER(NATAL!$C222),NATAL!$D222="FOLGA"),NATAL!$F222&amp;"","")</f>
        <v/>
      </c>
      <c r="G522" s="0" t="str">
        <f aca="true">IF(D522="","",IF(D522=TODAY(),D522+ROW()/100000,""))</f>
        <v/>
      </c>
      <c r="H522" s="0" t="str">
        <f aca="true">IF(D522="","",IF(AND(D522&gt;TODAY(),D522&lt;=TODAY()+7),D522+ROW()/100000,""))</f>
        <v/>
      </c>
      <c r="I522" s="0" t="str">
        <f aca="false">IF(D522="","",IF(D522=CALENDÁRIO!$L$4,ROW(),""))</f>
        <v/>
      </c>
      <c r="J522" s="0" t="str">
        <f aca="false">IF(D522="","",CHOOSE(WEEKDAY(D522),"Domingo","Segunda","Terça","Quarta","Quinta","Sexta","Sábado"))</f>
        <v/>
      </c>
    </row>
    <row r="523" customFormat="false" ht="15" hidden="false" customHeight="false" outlineLevel="0" collapsed="false">
      <c r="A523" s="0" t="str">
        <f aca="false">IF(AND(ISNUMBER(NATAL!$C223),NATAL!$D223="FOLGA"),"Folga Natal","")</f>
        <v/>
      </c>
      <c r="B523" s="0" t="str">
        <f aca="false">IF(AND(ISNUMBER(NATAL!$C223),NATAL!$D223="FOLGA"),NATAL!$A223&amp;"","")</f>
        <v/>
      </c>
      <c r="C523" s="0" t="str">
        <f aca="false">IF(AND(ISNUMBER(NATAL!$C223),NATAL!$D223="FOLGA"),NATAL!$B223&amp;"","")</f>
        <v/>
      </c>
      <c r="D523" s="78" t="str">
        <f aca="false">IF(AND(ISNUMBER(NATAL!$C223),NATAL!$D223="FOLGA"),NATAL!$C223,"")</f>
        <v/>
      </c>
      <c r="E523" s="0" t="str">
        <f aca="false">IF(AND(ISNUMBER(NATAL!$C223),NATAL!$D223="FOLGA"),NATAL!$E223&amp;"","")</f>
        <v/>
      </c>
      <c r="F523" s="0" t="str">
        <f aca="false">IF(AND(ISNUMBER(NATAL!$C223),NATAL!$D223="FOLGA"),NATAL!$F223&amp;"","")</f>
        <v/>
      </c>
      <c r="G523" s="0" t="str">
        <f aca="true">IF(D523="","",IF(D523=TODAY(),D523+ROW()/100000,""))</f>
        <v/>
      </c>
      <c r="H523" s="0" t="str">
        <f aca="true">IF(D523="","",IF(AND(D523&gt;TODAY(),D523&lt;=TODAY()+7),D523+ROW()/100000,""))</f>
        <v/>
      </c>
      <c r="I523" s="0" t="str">
        <f aca="false">IF(D523="","",IF(D523=CALENDÁRIO!$L$4,ROW(),""))</f>
        <v/>
      </c>
      <c r="J523" s="0" t="str">
        <f aca="false">IF(D523="","",CHOOSE(WEEKDAY(D523),"Domingo","Segunda","Terça","Quarta","Quinta","Sexta","Sábado"))</f>
        <v/>
      </c>
    </row>
    <row r="524" customFormat="false" ht="15" hidden="false" customHeight="false" outlineLevel="0" collapsed="false">
      <c r="A524" s="0" t="str">
        <f aca="false">IF(AND(ISNUMBER(NATAL!$C224),NATAL!$D224="FOLGA"),"Folga Natal","")</f>
        <v/>
      </c>
      <c r="B524" s="0" t="str">
        <f aca="false">IF(AND(ISNUMBER(NATAL!$C224),NATAL!$D224="FOLGA"),NATAL!$A224&amp;"","")</f>
        <v/>
      </c>
      <c r="C524" s="0" t="str">
        <f aca="false">IF(AND(ISNUMBER(NATAL!$C224),NATAL!$D224="FOLGA"),NATAL!$B224&amp;"","")</f>
        <v/>
      </c>
      <c r="D524" s="78" t="str">
        <f aca="false">IF(AND(ISNUMBER(NATAL!$C224),NATAL!$D224="FOLGA"),NATAL!$C224,"")</f>
        <v/>
      </c>
      <c r="E524" s="0" t="str">
        <f aca="false">IF(AND(ISNUMBER(NATAL!$C224),NATAL!$D224="FOLGA"),NATAL!$E224&amp;"","")</f>
        <v/>
      </c>
      <c r="F524" s="0" t="str">
        <f aca="false">IF(AND(ISNUMBER(NATAL!$C224),NATAL!$D224="FOLGA"),NATAL!$F224&amp;"","")</f>
        <v/>
      </c>
      <c r="G524" s="0" t="str">
        <f aca="true">IF(D524="","",IF(D524=TODAY(),D524+ROW()/100000,""))</f>
        <v/>
      </c>
      <c r="H524" s="0" t="str">
        <f aca="true">IF(D524="","",IF(AND(D524&gt;TODAY(),D524&lt;=TODAY()+7),D524+ROW()/100000,""))</f>
        <v/>
      </c>
      <c r="I524" s="0" t="str">
        <f aca="false">IF(D524="","",IF(D524=CALENDÁRIO!$L$4,ROW(),""))</f>
        <v/>
      </c>
      <c r="J524" s="0" t="str">
        <f aca="false">IF(D524="","",CHOOSE(WEEKDAY(D524),"Domingo","Segunda","Terça","Quarta","Quinta","Sexta","Sábado"))</f>
        <v/>
      </c>
    </row>
    <row r="525" customFormat="false" ht="15" hidden="false" customHeight="false" outlineLevel="0" collapsed="false">
      <c r="A525" s="0" t="str">
        <f aca="false">IF(AND(ISNUMBER(NATAL!$C225),NATAL!$D225="FOLGA"),"Folga Natal","")</f>
        <v/>
      </c>
      <c r="B525" s="0" t="str">
        <f aca="false">IF(AND(ISNUMBER(NATAL!$C225),NATAL!$D225="FOLGA"),NATAL!$A225&amp;"","")</f>
        <v/>
      </c>
      <c r="C525" s="0" t="str">
        <f aca="false">IF(AND(ISNUMBER(NATAL!$C225),NATAL!$D225="FOLGA"),NATAL!$B225&amp;"","")</f>
        <v/>
      </c>
      <c r="D525" s="78" t="str">
        <f aca="false">IF(AND(ISNUMBER(NATAL!$C225),NATAL!$D225="FOLGA"),NATAL!$C225,"")</f>
        <v/>
      </c>
      <c r="E525" s="0" t="str">
        <f aca="false">IF(AND(ISNUMBER(NATAL!$C225),NATAL!$D225="FOLGA"),NATAL!$E225&amp;"","")</f>
        <v/>
      </c>
      <c r="F525" s="0" t="str">
        <f aca="false">IF(AND(ISNUMBER(NATAL!$C225),NATAL!$D225="FOLGA"),NATAL!$F225&amp;"","")</f>
        <v/>
      </c>
      <c r="G525" s="0" t="str">
        <f aca="true">IF(D525="","",IF(D525=TODAY(),D525+ROW()/100000,""))</f>
        <v/>
      </c>
      <c r="H525" s="0" t="str">
        <f aca="true">IF(D525="","",IF(AND(D525&gt;TODAY(),D525&lt;=TODAY()+7),D525+ROW()/100000,""))</f>
        <v/>
      </c>
      <c r="I525" s="0" t="str">
        <f aca="false">IF(D525="","",IF(D525=CALENDÁRIO!$L$4,ROW(),""))</f>
        <v/>
      </c>
      <c r="J525" s="0" t="str">
        <f aca="false">IF(D525="","",CHOOSE(WEEKDAY(D525),"Domingo","Segunda","Terça","Quarta","Quinta","Sexta","Sábado"))</f>
        <v/>
      </c>
    </row>
    <row r="526" customFormat="false" ht="15" hidden="false" customHeight="false" outlineLevel="0" collapsed="false">
      <c r="A526" s="0" t="str">
        <f aca="false">IF(AND(ISNUMBER(NATAL!$C226),NATAL!$D226="FOLGA"),"Folga Natal","")</f>
        <v/>
      </c>
      <c r="B526" s="0" t="str">
        <f aca="false">IF(AND(ISNUMBER(NATAL!$C226),NATAL!$D226="FOLGA"),NATAL!$A226&amp;"","")</f>
        <v/>
      </c>
      <c r="C526" s="0" t="str">
        <f aca="false">IF(AND(ISNUMBER(NATAL!$C226),NATAL!$D226="FOLGA"),NATAL!$B226&amp;"","")</f>
        <v/>
      </c>
      <c r="D526" s="78" t="str">
        <f aca="false">IF(AND(ISNUMBER(NATAL!$C226),NATAL!$D226="FOLGA"),NATAL!$C226,"")</f>
        <v/>
      </c>
      <c r="E526" s="0" t="str">
        <f aca="false">IF(AND(ISNUMBER(NATAL!$C226),NATAL!$D226="FOLGA"),NATAL!$E226&amp;"","")</f>
        <v/>
      </c>
      <c r="F526" s="0" t="str">
        <f aca="false">IF(AND(ISNUMBER(NATAL!$C226),NATAL!$D226="FOLGA"),NATAL!$F226&amp;"","")</f>
        <v/>
      </c>
      <c r="G526" s="0" t="str">
        <f aca="true">IF(D526="","",IF(D526=TODAY(),D526+ROW()/100000,""))</f>
        <v/>
      </c>
      <c r="H526" s="0" t="str">
        <f aca="true">IF(D526="","",IF(AND(D526&gt;TODAY(),D526&lt;=TODAY()+7),D526+ROW()/100000,""))</f>
        <v/>
      </c>
      <c r="I526" s="0" t="str">
        <f aca="false">IF(D526="","",IF(D526=CALENDÁRIO!$L$4,ROW(),""))</f>
        <v/>
      </c>
      <c r="J526" s="0" t="str">
        <f aca="false">IF(D526="","",CHOOSE(WEEKDAY(D526),"Domingo","Segunda","Terça","Quarta","Quinta","Sexta","Sábado"))</f>
        <v/>
      </c>
    </row>
    <row r="527" customFormat="false" ht="15" hidden="false" customHeight="false" outlineLevel="0" collapsed="false">
      <c r="A527" s="0" t="str">
        <f aca="false">IF(AND(ISNUMBER(NATAL!$C227),NATAL!$D227="FOLGA"),"Folga Natal","")</f>
        <v/>
      </c>
      <c r="B527" s="0" t="str">
        <f aca="false">IF(AND(ISNUMBER(NATAL!$C227),NATAL!$D227="FOLGA"),NATAL!$A227&amp;"","")</f>
        <v/>
      </c>
      <c r="C527" s="0" t="str">
        <f aca="false">IF(AND(ISNUMBER(NATAL!$C227),NATAL!$D227="FOLGA"),NATAL!$B227&amp;"","")</f>
        <v/>
      </c>
      <c r="D527" s="78" t="str">
        <f aca="false">IF(AND(ISNUMBER(NATAL!$C227),NATAL!$D227="FOLGA"),NATAL!$C227,"")</f>
        <v/>
      </c>
      <c r="E527" s="0" t="str">
        <f aca="false">IF(AND(ISNUMBER(NATAL!$C227),NATAL!$D227="FOLGA"),NATAL!$E227&amp;"","")</f>
        <v/>
      </c>
      <c r="F527" s="0" t="str">
        <f aca="false">IF(AND(ISNUMBER(NATAL!$C227),NATAL!$D227="FOLGA"),NATAL!$F227&amp;"","")</f>
        <v/>
      </c>
      <c r="G527" s="0" t="str">
        <f aca="true">IF(D527="","",IF(D527=TODAY(),D527+ROW()/100000,""))</f>
        <v/>
      </c>
      <c r="H527" s="0" t="str">
        <f aca="true">IF(D527="","",IF(AND(D527&gt;TODAY(),D527&lt;=TODAY()+7),D527+ROW()/100000,""))</f>
        <v/>
      </c>
      <c r="I527" s="0" t="str">
        <f aca="false">IF(D527="","",IF(D527=CALENDÁRIO!$L$4,ROW(),""))</f>
        <v/>
      </c>
      <c r="J527" s="0" t="str">
        <f aca="false">IF(D527="","",CHOOSE(WEEKDAY(D527),"Domingo","Segunda","Terça","Quarta","Quinta","Sexta","Sábado"))</f>
        <v/>
      </c>
    </row>
    <row r="528" customFormat="false" ht="15" hidden="false" customHeight="false" outlineLevel="0" collapsed="false">
      <c r="A528" s="0" t="str">
        <f aca="false">IF(AND(ISNUMBER(NATAL!$C228),NATAL!$D228="FOLGA"),"Folga Natal","")</f>
        <v/>
      </c>
      <c r="B528" s="0" t="str">
        <f aca="false">IF(AND(ISNUMBER(NATAL!$C228),NATAL!$D228="FOLGA"),NATAL!$A228&amp;"","")</f>
        <v/>
      </c>
      <c r="C528" s="0" t="str">
        <f aca="false">IF(AND(ISNUMBER(NATAL!$C228),NATAL!$D228="FOLGA"),NATAL!$B228&amp;"","")</f>
        <v/>
      </c>
      <c r="D528" s="78" t="str">
        <f aca="false">IF(AND(ISNUMBER(NATAL!$C228),NATAL!$D228="FOLGA"),NATAL!$C228,"")</f>
        <v/>
      </c>
      <c r="E528" s="0" t="str">
        <f aca="false">IF(AND(ISNUMBER(NATAL!$C228),NATAL!$D228="FOLGA"),NATAL!$E228&amp;"","")</f>
        <v/>
      </c>
      <c r="F528" s="0" t="str">
        <f aca="false">IF(AND(ISNUMBER(NATAL!$C228),NATAL!$D228="FOLGA"),NATAL!$F228&amp;"","")</f>
        <v/>
      </c>
      <c r="G528" s="0" t="str">
        <f aca="true">IF(D528="","",IF(D528=TODAY(),D528+ROW()/100000,""))</f>
        <v/>
      </c>
      <c r="H528" s="0" t="str">
        <f aca="true">IF(D528="","",IF(AND(D528&gt;TODAY(),D528&lt;=TODAY()+7),D528+ROW()/100000,""))</f>
        <v/>
      </c>
      <c r="I528" s="0" t="str">
        <f aca="false">IF(D528="","",IF(D528=CALENDÁRIO!$L$4,ROW(),""))</f>
        <v/>
      </c>
      <c r="J528" s="0" t="str">
        <f aca="false">IF(D528="","",CHOOSE(WEEKDAY(D528),"Domingo","Segunda","Terça","Quarta","Quinta","Sexta","Sábado"))</f>
        <v/>
      </c>
    </row>
    <row r="529" customFormat="false" ht="15" hidden="false" customHeight="false" outlineLevel="0" collapsed="false">
      <c r="A529" s="0" t="str">
        <f aca="false">IF(AND(ISNUMBER(NATAL!$C229),NATAL!$D229="FOLGA"),"Folga Natal","")</f>
        <v/>
      </c>
      <c r="B529" s="0" t="str">
        <f aca="false">IF(AND(ISNUMBER(NATAL!$C229),NATAL!$D229="FOLGA"),NATAL!$A229&amp;"","")</f>
        <v/>
      </c>
      <c r="C529" s="0" t="str">
        <f aca="false">IF(AND(ISNUMBER(NATAL!$C229),NATAL!$D229="FOLGA"),NATAL!$B229&amp;"","")</f>
        <v/>
      </c>
      <c r="D529" s="78" t="str">
        <f aca="false">IF(AND(ISNUMBER(NATAL!$C229),NATAL!$D229="FOLGA"),NATAL!$C229,"")</f>
        <v/>
      </c>
      <c r="E529" s="0" t="str">
        <f aca="false">IF(AND(ISNUMBER(NATAL!$C229),NATAL!$D229="FOLGA"),NATAL!$E229&amp;"","")</f>
        <v/>
      </c>
      <c r="F529" s="0" t="str">
        <f aca="false">IF(AND(ISNUMBER(NATAL!$C229),NATAL!$D229="FOLGA"),NATAL!$F229&amp;"","")</f>
        <v/>
      </c>
      <c r="G529" s="0" t="str">
        <f aca="true">IF(D529="","",IF(D529=TODAY(),D529+ROW()/100000,""))</f>
        <v/>
      </c>
      <c r="H529" s="0" t="str">
        <f aca="true">IF(D529="","",IF(AND(D529&gt;TODAY(),D529&lt;=TODAY()+7),D529+ROW()/100000,""))</f>
        <v/>
      </c>
      <c r="I529" s="0" t="str">
        <f aca="false">IF(D529="","",IF(D529=CALENDÁRIO!$L$4,ROW(),""))</f>
        <v/>
      </c>
      <c r="J529" s="0" t="str">
        <f aca="false">IF(D529="","",CHOOSE(WEEKDAY(D529),"Domingo","Segunda","Terça","Quarta","Quinta","Sexta","Sábado"))</f>
        <v/>
      </c>
    </row>
    <row r="530" customFormat="false" ht="15" hidden="false" customHeight="false" outlineLevel="0" collapsed="false">
      <c r="A530" s="0" t="str">
        <f aca="false">IF(AND(ISNUMBER(NATAL!$C230),NATAL!$D230="FOLGA"),"Folga Natal","")</f>
        <v/>
      </c>
      <c r="B530" s="0" t="str">
        <f aca="false">IF(AND(ISNUMBER(NATAL!$C230),NATAL!$D230="FOLGA"),NATAL!$A230&amp;"","")</f>
        <v/>
      </c>
      <c r="C530" s="0" t="str">
        <f aca="false">IF(AND(ISNUMBER(NATAL!$C230),NATAL!$D230="FOLGA"),NATAL!$B230&amp;"","")</f>
        <v/>
      </c>
      <c r="D530" s="78" t="str">
        <f aca="false">IF(AND(ISNUMBER(NATAL!$C230),NATAL!$D230="FOLGA"),NATAL!$C230,"")</f>
        <v/>
      </c>
      <c r="E530" s="0" t="str">
        <f aca="false">IF(AND(ISNUMBER(NATAL!$C230),NATAL!$D230="FOLGA"),NATAL!$E230&amp;"","")</f>
        <v/>
      </c>
      <c r="F530" s="0" t="str">
        <f aca="false">IF(AND(ISNUMBER(NATAL!$C230),NATAL!$D230="FOLGA"),NATAL!$F230&amp;"","")</f>
        <v/>
      </c>
      <c r="G530" s="0" t="str">
        <f aca="true">IF(D530="","",IF(D530=TODAY(),D530+ROW()/100000,""))</f>
        <v/>
      </c>
      <c r="H530" s="0" t="str">
        <f aca="true">IF(D530="","",IF(AND(D530&gt;TODAY(),D530&lt;=TODAY()+7),D530+ROW()/100000,""))</f>
        <v/>
      </c>
      <c r="I530" s="0" t="str">
        <f aca="false">IF(D530="","",IF(D530=CALENDÁRIO!$L$4,ROW(),""))</f>
        <v/>
      </c>
      <c r="J530" s="0" t="str">
        <f aca="false">IF(D530="","",CHOOSE(WEEKDAY(D530),"Domingo","Segunda","Terça","Quarta","Quinta","Sexta","Sábado"))</f>
        <v/>
      </c>
    </row>
    <row r="531" customFormat="false" ht="15" hidden="false" customHeight="false" outlineLevel="0" collapsed="false">
      <c r="A531" s="0" t="str">
        <f aca="false">IF(AND(ISNUMBER(NATAL!$C231),NATAL!$D231="FOLGA"),"Folga Natal","")</f>
        <v/>
      </c>
      <c r="B531" s="0" t="str">
        <f aca="false">IF(AND(ISNUMBER(NATAL!$C231),NATAL!$D231="FOLGA"),NATAL!$A231&amp;"","")</f>
        <v/>
      </c>
      <c r="C531" s="0" t="str">
        <f aca="false">IF(AND(ISNUMBER(NATAL!$C231),NATAL!$D231="FOLGA"),NATAL!$B231&amp;"","")</f>
        <v/>
      </c>
      <c r="D531" s="78" t="str">
        <f aca="false">IF(AND(ISNUMBER(NATAL!$C231),NATAL!$D231="FOLGA"),NATAL!$C231,"")</f>
        <v/>
      </c>
      <c r="E531" s="0" t="str">
        <f aca="false">IF(AND(ISNUMBER(NATAL!$C231),NATAL!$D231="FOLGA"),NATAL!$E231&amp;"","")</f>
        <v/>
      </c>
      <c r="F531" s="0" t="str">
        <f aca="false">IF(AND(ISNUMBER(NATAL!$C231),NATAL!$D231="FOLGA"),NATAL!$F231&amp;"","")</f>
        <v/>
      </c>
      <c r="G531" s="0" t="str">
        <f aca="true">IF(D531="","",IF(D531=TODAY(),D531+ROW()/100000,""))</f>
        <v/>
      </c>
      <c r="H531" s="0" t="str">
        <f aca="true">IF(D531="","",IF(AND(D531&gt;TODAY(),D531&lt;=TODAY()+7),D531+ROW()/100000,""))</f>
        <v/>
      </c>
      <c r="I531" s="0" t="str">
        <f aca="false">IF(D531="","",IF(D531=CALENDÁRIO!$L$4,ROW(),""))</f>
        <v/>
      </c>
      <c r="J531" s="0" t="str">
        <f aca="false">IF(D531="","",CHOOSE(WEEKDAY(D531),"Domingo","Segunda","Terça","Quarta","Quinta","Sexta","Sábado"))</f>
        <v/>
      </c>
    </row>
    <row r="532" customFormat="false" ht="15" hidden="false" customHeight="false" outlineLevel="0" collapsed="false">
      <c r="A532" s="0" t="str">
        <f aca="false">IF(AND(ISNUMBER(NATAL!$C232),NATAL!$D232="FOLGA"),"Folga Natal","")</f>
        <v/>
      </c>
      <c r="B532" s="0" t="str">
        <f aca="false">IF(AND(ISNUMBER(NATAL!$C232),NATAL!$D232="FOLGA"),NATAL!$A232&amp;"","")</f>
        <v/>
      </c>
      <c r="C532" s="0" t="str">
        <f aca="false">IF(AND(ISNUMBER(NATAL!$C232),NATAL!$D232="FOLGA"),NATAL!$B232&amp;"","")</f>
        <v/>
      </c>
      <c r="D532" s="78" t="str">
        <f aca="false">IF(AND(ISNUMBER(NATAL!$C232),NATAL!$D232="FOLGA"),NATAL!$C232,"")</f>
        <v/>
      </c>
      <c r="E532" s="0" t="str">
        <f aca="false">IF(AND(ISNUMBER(NATAL!$C232),NATAL!$D232="FOLGA"),NATAL!$E232&amp;"","")</f>
        <v/>
      </c>
      <c r="F532" s="0" t="str">
        <f aca="false">IF(AND(ISNUMBER(NATAL!$C232),NATAL!$D232="FOLGA"),NATAL!$F232&amp;"","")</f>
        <v/>
      </c>
      <c r="G532" s="0" t="str">
        <f aca="true">IF(D532="","",IF(D532=TODAY(),D532+ROW()/100000,""))</f>
        <v/>
      </c>
      <c r="H532" s="0" t="str">
        <f aca="true">IF(D532="","",IF(AND(D532&gt;TODAY(),D532&lt;=TODAY()+7),D532+ROW()/100000,""))</f>
        <v/>
      </c>
      <c r="I532" s="0" t="str">
        <f aca="false">IF(D532="","",IF(D532=CALENDÁRIO!$L$4,ROW(),""))</f>
        <v/>
      </c>
      <c r="J532" s="0" t="str">
        <f aca="false">IF(D532="","",CHOOSE(WEEKDAY(D532),"Domingo","Segunda","Terça","Quarta","Quinta","Sexta","Sábado"))</f>
        <v/>
      </c>
    </row>
    <row r="533" customFormat="false" ht="15" hidden="false" customHeight="false" outlineLevel="0" collapsed="false">
      <c r="A533" s="0" t="str">
        <f aca="false">IF(AND(ISNUMBER(NATAL!$C233),NATAL!$D233="FOLGA"),"Folga Natal","")</f>
        <v/>
      </c>
      <c r="B533" s="0" t="str">
        <f aca="false">IF(AND(ISNUMBER(NATAL!$C233),NATAL!$D233="FOLGA"),NATAL!$A233&amp;"","")</f>
        <v/>
      </c>
      <c r="C533" s="0" t="str">
        <f aca="false">IF(AND(ISNUMBER(NATAL!$C233),NATAL!$D233="FOLGA"),NATAL!$B233&amp;"","")</f>
        <v/>
      </c>
      <c r="D533" s="78" t="str">
        <f aca="false">IF(AND(ISNUMBER(NATAL!$C233),NATAL!$D233="FOLGA"),NATAL!$C233,"")</f>
        <v/>
      </c>
      <c r="E533" s="0" t="str">
        <f aca="false">IF(AND(ISNUMBER(NATAL!$C233),NATAL!$D233="FOLGA"),NATAL!$E233&amp;"","")</f>
        <v/>
      </c>
      <c r="F533" s="0" t="str">
        <f aca="false">IF(AND(ISNUMBER(NATAL!$C233),NATAL!$D233="FOLGA"),NATAL!$F233&amp;"","")</f>
        <v/>
      </c>
      <c r="G533" s="0" t="str">
        <f aca="true">IF(D533="","",IF(D533=TODAY(),D533+ROW()/100000,""))</f>
        <v/>
      </c>
      <c r="H533" s="0" t="str">
        <f aca="true">IF(D533="","",IF(AND(D533&gt;TODAY(),D533&lt;=TODAY()+7),D533+ROW()/100000,""))</f>
        <v/>
      </c>
      <c r="I533" s="0" t="str">
        <f aca="false">IF(D533="","",IF(D533=CALENDÁRIO!$L$4,ROW(),""))</f>
        <v/>
      </c>
      <c r="J533" s="0" t="str">
        <f aca="false">IF(D533="","",CHOOSE(WEEKDAY(D533),"Domingo","Segunda","Terça","Quarta","Quinta","Sexta","Sábado"))</f>
        <v/>
      </c>
    </row>
    <row r="534" customFormat="false" ht="15" hidden="false" customHeight="false" outlineLevel="0" collapsed="false">
      <c r="A534" s="0" t="str">
        <f aca="false">IF(AND(ISNUMBER(NATAL!$C234),NATAL!$D234="FOLGA"),"Folga Natal","")</f>
        <v/>
      </c>
      <c r="B534" s="0" t="str">
        <f aca="false">IF(AND(ISNUMBER(NATAL!$C234),NATAL!$D234="FOLGA"),NATAL!$A234&amp;"","")</f>
        <v/>
      </c>
      <c r="C534" s="0" t="str">
        <f aca="false">IF(AND(ISNUMBER(NATAL!$C234),NATAL!$D234="FOLGA"),NATAL!$B234&amp;"","")</f>
        <v/>
      </c>
      <c r="D534" s="78" t="str">
        <f aca="false">IF(AND(ISNUMBER(NATAL!$C234),NATAL!$D234="FOLGA"),NATAL!$C234,"")</f>
        <v/>
      </c>
      <c r="E534" s="0" t="str">
        <f aca="false">IF(AND(ISNUMBER(NATAL!$C234),NATAL!$D234="FOLGA"),NATAL!$E234&amp;"","")</f>
        <v/>
      </c>
      <c r="F534" s="0" t="str">
        <f aca="false">IF(AND(ISNUMBER(NATAL!$C234),NATAL!$D234="FOLGA"),NATAL!$F234&amp;"","")</f>
        <v/>
      </c>
      <c r="G534" s="0" t="str">
        <f aca="true">IF(D534="","",IF(D534=TODAY(),D534+ROW()/100000,""))</f>
        <v/>
      </c>
      <c r="H534" s="0" t="str">
        <f aca="true">IF(D534="","",IF(AND(D534&gt;TODAY(),D534&lt;=TODAY()+7),D534+ROW()/100000,""))</f>
        <v/>
      </c>
      <c r="I534" s="0" t="str">
        <f aca="false">IF(D534="","",IF(D534=CALENDÁRIO!$L$4,ROW(),""))</f>
        <v/>
      </c>
      <c r="J534" s="0" t="str">
        <f aca="false">IF(D534="","",CHOOSE(WEEKDAY(D534),"Domingo","Segunda","Terça","Quarta","Quinta","Sexta","Sábado"))</f>
        <v/>
      </c>
    </row>
    <row r="535" customFormat="false" ht="15" hidden="false" customHeight="false" outlineLevel="0" collapsed="false">
      <c r="A535" s="0" t="str">
        <f aca="false">IF(AND(ISNUMBER(NATAL!$C235),NATAL!$D235="FOLGA"),"Folga Natal","")</f>
        <v/>
      </c>
      <c r="B535" s="0" t="str">
        <f aca="false">IF(AND(ISNUMBER(NATAL!$C235),NATAL!$D235="FOLGA"),NATAL!$A235&amp;"","")</f>
        <v/>
      </c>
      <c r="C535" s="0" t="str">
        <f aca="false">IF(AND(ISNUMBER(NATAL!$C235),NATAL!$D235="FOLGA"),NATAL!$B235&amp;"","")</f>
        <v/>
      </c>
      <c r="D535" s="78" t="str">
        <f aca="false">IF(AND(ISNUMBER(NATAL!$C235),NATAL!$D235="FOLGA"),NATAL!$C235,"")</f>
        <v/>
      </c>
      <c r="E535" s="0" t="str">
        <f aca="false">IF(AND(ISNUMBER(NATAL!$C235),NATAL!$D235="FOLGA"),NATAL!$E235&amp;"","")</f>
        <v/>
      </c>
      <c r="F535" s="0" t="str">
        <f aca="false">IF(AND(ISNUMBER(NATAL!$C235),NATAL!$D235="FOLGA"),NATAL!$F235&amp;"","")</f>
        <v/>
      </c>
      <c r="G535" s="0" t="str">
        <f aca="true">IF(D535="","",IF(D535=TODAY(),D535+ROW()/100000,""))</f>
        <v/>
      </c>
      <c r="H535" s="0" t="str">
        <f aca="true">IF(D535="","",IF(AND(D535&gt;TODAY(),D535&lt;=TODAY()+7),D535+ROW()/100000,""))</f>
        <v/>
      </c>
      <c r="I535" s="0" t="str">
        <f aca="false">IF(D535="","",IF(D535=CALENDÁRIO!$L$4,ROW(),""))</f>
        <v/>
      </c>
      <c r="J535" s="0" t="str">
        <f aca="false">IF(D535="","",CHOOSE(WEEKDAY(D535),"Domingo","Segunda","Terça","Quarta","Quinta","Sexta","Sábado"))</f>
        <v/>
      </c>
    </row>
    <row r="536" customFormat="false" ht="15" hidden="false" customHeight="false" outlineLevel="0" collapsed="false">
      <c r="A536" s="0" t="str">
        <f aca="false">IF(AND(ISNUMBER(NATAL!$C236),NATAL!$D236="FOLGA"),"Folga Natal","")</f>
        <v/>
      </c>
      <c r="B536" s="0" t="str">
        <f aca="false">IF(AND(ISNUMBER(NATAL!$C236),NATAL!$D236="FOLGA"),NATAL!$A236&amp;"","")</f>
        <v/>
      </c>
      <c r="C536" s="0" t="str">
        <f aca="false">IF(AND(ISNUMBER(NATAL!$C236),NATAL!$D236="FOLGA"),NATAL!$B236&amp;"","")</f>
        <v/>
      </c>
      <c r="D536" s="78" t="str">
        <f aca="false">IF(AND(ISNUMBER(NATAL!$C236),NATAL!$D236="FOLGA"),NATAL!$C236,"")</f>
        <v/>
      </c>
      <c r="E536" s="0" t="str">
        <f aca="false">IF(AND(ISNUMBER(NATAL!$C236),NATAL!$D236="FOLGA"),NATAL!$E236&amp;"","")</f>
        <v/>
      </c>
      <c r="F536" s="0" t="str">
        <f aca="false">IF(AND(ISNUMBER(NATAL!$C236),NATAL!$D236="FOLGA"),NATAL!$F236&amp;"","")</f>
        <v/>
      </c>
      <c r="G536" s="0" t="str">
        <f aca="true">IF(D536="","",IF(D536=TODAY(),D536+ROW()/100000,""))</f>
        <v/>
      </c>
      <c r="H536" s="0" t="str">
        <f aca="true">IF(D536="","",IF(AND(D536&gt;TODAY(),D536&lt;=TODAY()+7),D536+ROW()/100000,""))</f>
        <v/>
      </c>
      <c r="I536" s="0" t="str">
        <f aca="false">IF(D536="","",IF(D536=CALENDÁRIO!$L$4,ROW(),""))</f>
        <v/>
      </c>
      <c r="J536" s="0" t="str">
        <f aca="false">IF(D536="","",CHOOSE(WEEKDAY(D536),"Domingo","Segunda","Terça","Quarta","Quinta","Sexta","Sábado"))</f>
        <v/>
      </c>
    </row>
    <row r="537" customFormat="false" ht="15" hidden="false" customHeight="false" outlineLevel="0" collapsed="false">
      <c r="A537" s="0" t="str">
        <f aca="false">IF(AND(ISNUMBER(NATAL!$C237),NATAL!$D237="FOLGA"),"Folga Natal","")</f>
        <v/>
      </c>
      <c r="B537" s="0" t="str">
        <f aca="false">IF(AND(ISNUMBER(NATAL!$C237),NATAL!$D237="FOLGA"),NATAL!$A237&amp;"","")</f>
        <v/>
      </c>
      <c r="C537" s="0" t="str">
        <f aca="false">IF(AND(ISNUMBER(NATAL!$C237),NATAL!$D237="FOLGA"),NATAL!$B237&amp;"","")</f>
        <v/>
      </c>
      <c r="D537" s="78" t="str">
        <f aca="false">IF(AND(ISNUMBER(NATAL!$C237),NATAL!$D237="FOLGA"),NATAL!$C237,"")</f>
        <v/>
      </c>
      <c r="E537" s="0" t="str">
        <f aca="false">IF(AND(ISNUMBER(NATAL!$C237),NATAL!$D237="FOLGA"),NATAL!$E237&amp;"","")</f>
        <v/>
      </c>
      <c r="F537" s="0" t="str">
        <f aca="false">IF(AND(ISNUMBER(NATAL!$C237),NATAL!$D237="FOLGA"),NATAL!$F237&amp;"","")</f>
        <v/>
      </c>
      <c r="G537" s="0" t="str">
        <f aca="true">IF(D537="","",IF(D537=TODAY(),D537+ROW()/100000,""))</f>
        <v/>
      </c>
      <c r="H537" s="0" t="str">
        <f aca="true">IF(D537="","",IF(AND(D537&gt;TODAY(),D537&lt;=TODAY()+7),D537+ROW()/100000,""))</f>
        <v/>
      </c>
      <c r="I537" s="0" t="str">
        <f aca="false">IF(D537="","",IF(D537=CALENDÁRIO!$L$4,ROW(),""))</f>
        <v/>
      </c>
      <c r="J537" s="0" t="str">
        <f aca="false">IF(D537="","",CHOOSE(WEEKDAY(D537),"Domingo","Segunda","Terça","Quarta","Quinta","Sexta","Sábado"))</f>
        <v/>
      </c>
    </row>
    <row r="538" customFormat="false" ht="15" hidden="false" customHeight="false" outlineLevel="0" collapsed="false">
      <c r="A538" s="0" t="str">
        <f aca="false">IF(AND(ISNUMBER(NATAL!$C238),NATAL!$D238="FOLGA"),"Folga Natal","")</f>
        <v/>
      </c>
      <c r="B538" s="0" t="str">
        <f aca="false">IF(AND(ISNUMBER(NATAL!$C238),NATAL!$D238="FOLGA"),NATAL!$A238&amp;"","")</f>
        <v/>
      </c>
      <c r="C538" s="0" t="str">
        <f aca="false">IF(AND(ISNUMBER(NATAL!$C238),NATAL!$D238="FOLGA"),NATAL!$B238&amp;"","")</f>
        <v/>
      </c>
      <c r="D538" s="78" t="str">
        <f aca="false">IF(AND(ISNUMBER(NATAL!$C238),NATAL!$D238="FOLGA"),NATAL!$C238,"")</f>
        <v/>
      </c>
      <c r="E538" s="0" t="str">
        <f aca="false">IF(AND(ISNUMBER(NATAL!$C238),NATAL!$D238="FOLGA"),NATAL!$E238&amp;"","")</f>
        <v/>
      </c>
      <c r="F538" s="0" t="str">
        <f aca="false">IF(AND(ISNUMBER(NATAL!$C238),NATAL!$D238="FOLGA"),NATAL!$F238&amp;"","")</f>
        <v/>
      </c>
      <c r="G538" s="0" t="str">
        <f aca="true">IF(D538="","",IF(D538=TODAY(),D538+ROW()/100000,""))</f>
        <v/>
      </c>
      <c r="H538" s="0" t="str">
        <f aca="true">IF(D538="","",IF(AND(D538&gt;TODAY(),D538&lt;=TODAY()+7),D538+ROW()/100000,""))</f>
        <v/>
      </c>
      <c r="I538" s="0" t="str">
        <f aca="false">IF(D538="","",IF(D538=CALENDÁRIO!$L$4,ROW(),""))</f>
        <v/>
      </c>
      <c r="J538" s="0" t="str">
        <f aca="false">IF(D538="","",CHOOSE(WEEKDAY(D538),"Domingo","Segunda","Terça","Quarta","Quinta","Sexta","Sábado"))</f>
        <v/>
      </c>
    </row>
    <row r="539" customFormat="false" ht="15" hidden="false" customHeight="false" outlineLevel="0" collapsed="false">
      <c r="A539" s="0" t="str">
        <f aca="false">IF(AND(ISNUMBER(NATAL!$C239),NATAL!$D239="FOLGA"),"Folga Natal","")</f>
        <v/>
      </c>
      <c r="B539" s="0" t="str">
        <f aca="false">IF(AND(ISNUMBER(NATAL!$C239),NATAL!$D239="FOLGA"),NATAL!$A239&amp;"","")</f>
        <v/>
      </c>
      <c r="C539" s="0" t="str">
        <f aca="false">IF(AND(ISNUMBER(NATAL!$C239),NATAL!$D239="FOLGA"),NATAL!$B239&amp;"","")</f>
        <v/>
      </c>
      <c r="D539" s="78" t="str">
        <f aca="false">IF(AND(ISNUMBER(NATAL!$C239),NATAL!$D239="FOLGA"),NATAL!$C239,"")</f>
        <v/>
      </c>
      <c r="E539" s="0" t="str">
        <f aca="false">IF(AND(ISNUMBER(NATAL!$C239),NATAL!$D239="FOLGA"),NATAL!$E239&amp;"","")</f>
        <v/>
      </c>
      <c r="F539" s="0" t="str">
        <f aca="false">IF(AND(ISNUMBER(NATAL!$C239),NATAL!$D239="FOLGA"),NATAL!$F239&amp;"","")</f>
        <v/>
      </c>
      <c r="G539" s="0" t="str">
        <f aca="true">IF(D539="","",IF(D539=TODAY(),D539+ROW()/100000,""))</f>
        <v/>
      </c>
      <c r="H539" s="0" t="str">
        <f aca="true">IF(D539="","",IF(AND(D539&gt;TODAY(),D539&lt;=TODAY()+7),D539+ROW()/100000,""))</f>
        <v/>
      </c>
      <c r="I539" s="0" t="str">
        <f aca="false">IF(D539="","",IF(D539=CALENDÁRIO!$L$4,ROW(),""))</f>
        <v/>
      </c>
      <c r="J539" s="0" t="str">
        <f aca="false">IF(D539="","",CHOOSE(WEEKDAY(D539),"Domingo","Segunda","Terça","Quarta","Quinta","Sexta","Sábado"))</f>
        <v/>
      </c>
    </row>
    <row r="540" customFormat="false" ht="15" hidden="false" customHeight="false" outlineLevel="0" collapsed="false">
      <c r="A540" s="0" t="str">
        <f aca="false">IF(AND(ISNUMBER(NATAL!$C240),NATAL!$D240="FOLGA"),"Folga Natal","")</f>
        <v/>
      </c>
      <c r="B540" s="0" t="str">
        <f aca="false">IF(AND(ISNUMBER(NATAL!$C240),NATAL!$D240="FOLGA"),NATAL!$A240&amp;"","")</f>
        <v/>
      </c>
      <c r="C540" s="0" t="str">
        <f aca="false">IF(AND(ISNUMBER(NATAL!$C240),NATAL!$D240="FOLGA"),NATAL!$B240&amp;"","")</f>
        <v/>
      </c>
      <c r="D540" s="78" t="str">
        <f aca="false">IF(AND(ISNUMBER(NATAL!$C240),NATAL!$D240="FOLGA"),NATAL!$C240,"")</f>
        <v/>
      </c>
      <c r="E540" s="0" t="str">
        <f aca="false">IF(AND(ISNUMBER(NATAL!$C240),NATAL!$D240="FOLGA"),NATAL!$E240&amp;"","")</f>
        <v/>
      </c>
      <c r="F540" s="0" t="str">
        <f aca="false">IF(AND(ISNUMBER(NATAL!$C240),NATAL!$D240="FOLGA"),NATAL!$F240&amp;"","")</f>
        <v/>
      </c>
      <c r="G540" s="0" t="str">
        <f aca="true">IF(D540="","",IF(D540=TODAY(),D540+ROW()/100000,""))</f>
        <v/>
      </c>
      <c r="H540" s="0" t="str">
        <f aca="true">IF(D540="","",IF(AND(D540&gt;TODAY(),D540&lt;=TODAY()+7),D540+ROW()/100000,""))</f>
        <v/>
      </c>
      <c r="I540" s="0" t="str">
        <f aca="false">IF(D540="","",IF(D540=CALENDÁRIO!$L$4,ROW(),""))</f>
        <v/>
      </c>
      <c r="J540" s="0" t="str">
        <f aca="false">IF(D540="","",CHOOSE(WEEKDAY(D540),"Domingo","Segunda","Terça","Quarta","Quinta","Sexta","Sábado"))</f>
        <v/>
      </c>
    </row>
    <row r="541" customFormat="false" ht="15" hidden="false" customHeight="false" outlineLevel="0" collapsed="false">
      <c r="A541" s="0" t="str">
        <f aca="false">IF(AND(ISNUMBER(NATAL!$C241),NATAL!$D241="FOLGA"),"Folga Natal","")</f>
        <v/>
      </c>
      <c r="B541" s="0" t="str">
        <f aca="false">IF(AND(ISNUMBER(NATAL!$C241),NATAL!$D241="FOLGA"),NATAL!$A241&amp;"","")</f>
        <v/>
      </c>
      <c r="C541" s="0" t="str">
        <f aca="false">IF(AND(ISNUMBER(NATAL!$C241),NATAL!$D241="FOLGA"),NATAL!$B241&amp;"","")</f>
        <v/>
      </c>
      <c r="D541" s="78" t="str">
        <f aca="false">IF(AND(ISNUMBER(NATAL!$C241),NATAL!$D241="FOLGA"),NATAL!$C241,"")</f>
        <v/>
      </c>
      <c r="E541" s="0" t="str">
        <f aca="false">IF(AND(ISNUMBER(NATAL!$C241),NATAL!$D241="FOLGA"),NATAL!$E241&amp;"","")</f>
        <v/>
      </c>
      <c r="F541" s="0" t="str">
        <f aca="false">IF(AND(ISNUMBER(NATAL!$C241),NATAL!$D241="FOLGA"),NATAL!$F241&amp;"","")</f>
        <v/>
      </c>
      <c r="G541" s="0" t="str">
        <f aca="true">IF(D541="","",IF(D541=TODAY(),D541+ROW()/100000,""))</f>
        <v/>
      </c>
      <c r="H541" s="0" t="str">
        <f aca="true">IF(D541="","",IF(AND(D541&gt;TODAY(),D541&lt;=TODAY()+7),D541+ROW()/100000,""))</f>
        <v/>
      </c>
      <c r="I541" s="0" t="str">
        <f aca="false">IF(D541="","",IF(D541=CALENDÁRIO!$L$4,ROW(),""))</f>
        <v/>
      </c>
      <c r="J541" s="0" t="str">
        <f aca="false">IF(D541="","",CHOOSE(WEEKDAY(D541),"Domingo","Segunda","Terça","Quarta","Quinta","Sexta","Sábado"))</f>
        <v/>
      </c>
    </row>
    <row r="542" customFormat="false" ht="15" hidden="false" customHeight="false" outlineLevel="0" collapsed="false">
      <c r="A542" s="0" t="str">
        <f aca="false">IF(AND(ISNUMBER(NATAL!$C242),NATAL!$D242="FOLGA"),"Folga Natal","")</f>
        <v/>
      </c>
      <c r="B542" s="0" t="str">
        <f aca="false">IF(AND(ISNUMBER(NATAL!$C242),NATAL!$D242="FOLGA"),NATAL!$A242&amp;"","")</f>
        <v/>
      </c>
      <c r="C542" s="0" t="str">
        <f aca="false">IF(AND(ISNUMBER(NATAL!$C242),NATAL!$D242="FOLGA"),NATAL!$B242&amp;"","")</f>
        <v/>
      </c>
      <c r="D542" s="78" t="str">
        <f aca="false">IF(AND(ISNUMBER(NATAL!$C242),NATAL!$D242="FOLGA"),NATAL!$C242,"")</f>
        <v/>
      </c>
      <c r="E542" s="0" t="str">
        <f aca="false">IF(AND(ISNUMBER(NATAL!$C242),NATAL!$D242="FOLGA"),NATAL!$E242&amp;"","")</f>
        <v/>
      </c>
      <c r="F542" s="0" t="str">
        <f aca="false">IF(AND(ISNUMBER(NATAL!$C242),NATAL!$D242="FOLGA"),NATAL!$F242&amp;"","")</f>
        <v/>
      </c>
      <c r="G542" s="0" t="str">
        <f aca="true">IF(D542="","",IF(D542=TODAY(),D542+ROW()/100000,""))</f>
        <v/>
      </c>
      <c r="H542" s="0" t="str">
        <f aca="true">IF(D542="","",IF(AND(D542&gt;TODAY(),D542&lt;=TODAY()+7),D542+ROW()/100000,""))</f>
        <v/>
      </c>
      <c r="I542" s="0" t="str">
        <f aca="false">IF(D542="","",IF(D542=CALENDÁRIO!$L$4,ROW(),""))</f>
        <v/>
      </c>
      <c r="J542" s="0" t="str">
        <f aca="false">IF(D542="","",CHOOSE(WEEKDAY(D542),"Domingo","Segunda","Terça","Quarta","Quinta","Sexta","Sábado"))</f>
        <v/>
      </c>
    </row>
    <row r="543" customFormat="false" ht="15" hidden="false" customHeight="false" outlineLevel="0" collapsed="false">
      <c r="A543" s="0" t="str">
        <f aca="false">IF(AND(ISNUMBER(NATAL!$C243),NATAL!$D243="FOLGA"),"Folga Natal","")</f>
        <v/>
      </c>
      <c r="B543" s="0" t="str">
        <f aca="false">IF(AND(ISNUMBER(NATAL!$C243),NATAL!$D243="FOLGA"),NATAL!$A243&amp;"","")</f>
        <v/>
      </c>
      <c r="C543" s="0" t="str">
        <f aca="false">IF(AND(ISNUMBER(NATAL!$C243),NATAL!$D243="FOLGA"),NATAL!$B243&amp;"","")</f>
        <v/>
      </c>
      <c r="D543" s="78" t="str">
        <f aca="false">IF(AND(ISNUMBER(NATAL!$C243),NATAL!$D243="FOLGA"),NATAL!$C243,"")</f>
        <v/>
      </c>
      <c r="E543" s="0" t="str">
        <f aca="false">IF(AND(ISNUMBER(NATAL!$C243),NATAL!$D243="FOLGA"),NATAL!$E243&amp;"","")</f>
        <v/>
      </c>
      <c r="F543" s="0" t="str">
        <f aca="false">IF(AND(ISNUMBER(NATAL!$C243),NATAL!$D243="FOLGA"),NATAL!$F243&amp;"","")</f>
        <v/>
      </c>
      <c r="G543" s="0" t="str">
        <f aca="true">IF(D543="","",IF(D543=TODAY(),D543+ROW()/100000,""))</f>
        <v/>
      </c>
      <c r="H543" s="0" t="str">
        <f aca="true">IF(D543="","",IF(AND(D543&gt;TODAY(),D543&lt;=TODAY()+7),D543+ROW()/100000,""))</f>
        <v/>
      </c>
      <c r="I543" s="0" t="str">
        <f aca="false">IF(D543="","",IF(D543=CALENDÁRIO!$L$4,ROW(),""))</f>
        <v/>
      </c>
      <c r="J543" s="0" t="str">
        <f aca="false">IF(D543="","",CHOOSE(WEEKDAY(D543),"Domingo","Segunda","Terça","Quarta","Quinta","Sexta","Sábado"))</f>
        <v/>
      </c>
    </row>
    <row r="544" customFormat="false" ht="15" hidden="false" customHeight="false" outlineLevel="0" collapsed="false">
      <c r="A544" s="0" t="str">
        <f aca="false">IF(AND(ISNUMBER(NATAL!$C244),NATAL!$D244="FOLGA"),"Folga Natal","")</f>
        <v/>
      </c>
      <c r="B544" s="0" t="str">
        <f aca="false">IF(AND(ISNUMBER(NATAL!$C244),NATAL!$D244="FOLGA"),NATAL!$A244&amp;"","")</f>
        <v/>
      </c>
      <c r="C544" s="0" t="str">
        <f aca="false">IF(AND(ISNUMBER(NATAL!$C244),NATAL!$D244="FOLGA"),NATAL!$B244&amp;"","")</f>
        <v/>
      </c>
      <c r="D544" s="78" t="str">
        <f aca="false">IF(AND(ISNUMBER(NATAL!$C244),NATAL!$D244="FOLGA"),NATAL!$C244,"")</f>
        <v/>
      </c>
      <c r="E544" s="0" t="str">
        <f aca="false">IF(AND(ISNUMBER(NATAL!$C244),NATAL!$D244="FOLGA"),NATAL!$E244&amp;"","")</f>
        <v/>
      </c>
      <c r="F544" s="0" t="str">
        <f aca="false">IF(AND(ISNUMBER(NATAL!$C244),NATAL!$D244="FOLGA"),NATAL!$F244&amp;"","")</f>
        <v/>
      </c>
      <c r="G544" s="0" t="str">
        <f aca="true">IF(D544="","",IF(D544=TODAY(),D544+ROW()/100000,""))</f>
        <v/>
      </c>
      <c r="H544" s="0" t="str">
        <f aca="true">IF(D544="","",IF(AND(D544&gt;TODAY(),D544&lt;=TODAY()+7),D544+ROW()/100000,""))</f>
        <v/>
      </c>
      <c r="I544" s="0" t="str">
        <f aca="false">IF(D544="","",IF(D544=CALENDÁRIO!$L$4,ROW(),""))</f>
        <v/>
      </c>
      <c r="J544" s="0" t="str">
        <f aca="false">IF(D544="","",CHOOSE(WEEKDAY(D544),"Domingo","Segunda","Terça","Quarta","Quinta","Sexta","Sábado"))</f>
        <v/>
      </c>
    </row>
    <row r="545" customFormat="false" ht="15" hidden="false" customHeight="false" outlineLevel="0" collapsed="false">
      <c r="A545" s="0" t="str">
        <f aca="false">IF(AND(ISNUMBER(NATAL!$C245),NATAL!$D245="FOLGA"),"Folga Natal","")</f>
        <v/>
      </c>
      <c r="B545" s="0" t="str">
        <f aca="false">IF(AND(ISNUMBER(NATAL!$C245),NATAL!$D245="FOLGA"),NATAL!$A245&amp;"","")</f>
        <v/>
      </c>
      <c r="C545" s="0" t="str">
        <f aca="false">IF(AND(ISNUMBER(NATAL!$C245),NATAL!$D245="FOLGA"),NATAL!$B245&amp;"","")</f>
        <v/>
      </c>
      <c r="D545" s="78" t="str">
        <f aca="false">IF(AND(ISNUMBER(NATAL!$C245),NATAL!$D245="FOLGA"),NATAL!$C245,"")</f>
        <v/>
      </c>
      <c r="E545" s="0" t="str">
        <f aca="false">IF(AND(ISNUMBER(NATAL!$C245),NATAL!$D245="FOLGA"),NATAL!$E245&amp;"","")</f>
        <v/>
      </c>
      <c r="F545" s="0" t="str">
        <f aca="false">IF(AND(ISNUMBER(NATAL!$C245),NATAL!$D245="FOLGA"),NATAL!$F245&amp;"","")</f>
        <v/>
      </c>
      <c r="G545" s="0" t="str">
        <f aca="true">IF(D545="","",IF(D545=TODAY(),D545+ROW()/100000,""))</f>
        <v/>
      </c>
      <c r="H545" s="0" t="str">
        <f aca="true">IF(D545="","",IF(AND(D545&gt;TODAY(),D545&lt;=TODAY()+7),D545+ROW()/100000,""))</f>
        <v/>
      </c>
      <c r="I545" s="0" t="str">
        <f aca="false">IF(D545="","",IF(D545=CALENDÁRIO!$L$4,ROW(),""))</f>
        <v/>
      </c>
      <c r="J545" s="0" t="str">
        <f aca="false">IF(D545="","",CHOOSE(WEEKDAY(D545),"Domingo","Segunda","Terça","Quarta","Quinta","Sexta","Sábado"))</f>
        <v/>
      </c>
    </row>
    <row r="546" customFormat="false" ht="15" hidden="false" customHeight="false" outlineLevel="0" collapsed="false">
      <c r="A546" s="0" t="str">
        <f aca="false">IF(AND(ISNUMBER(NATAL!$C246),NATAL!$D246="FOLGA"),"Folga Natal","")</f>
        <v/>
      </c>
      <c r="B546" s="0" t="str">
        <f aca="false">IF(AND(ISNUMBER(NATAL!$C246),NATAL!$D246="FOLGA"),NATAL!$A246&amp;"","")</f>
        <v/>
      </c>
      <c r="C546" s="0" t="str">
        <f aca="false">IF(AND(ISNUMBER(NATAL!$C246),NATAL!$D246="FOLGA"),NATAL!$B246&amp;"","")</f>
        <v/>
      </c>
      <c r="D546" s="78" t="str">
        <f aca="false">IF(AND(ISNUMBER(NATAL!$C246),NATAL!$D246="FOLGA"),NATAL!$C246,"")</f>
        <v/>
      </c>
      <c r="E546" s="0" t="str">
        <f aca="false">IF(AND(ISNUMBER(NATAL!$C246),NATAL!$D246="FOLGA"),NATAL!$E246&amp;"","")</f>
        <v/>
      </c>
      <c r="F546" s="0" t="str">
        <f aca="false">IF(AND(ISNUMBER(NATAL!$C246),NATAL!$D246="FOLGA"),NATAL!$F246&amp;"","")</f>
        <v/>
      </c>
      <c r="G546" s="0" t="str">
        <f aca="true">IF(D546="","",IF(D546=TODAY(),D546+ROW()/100000,""))</f>
        <v/>
      </c>
      <c r="H546" s="0" t="str">
        <f aca="true">IF(D546="","",IF(AND(D546&gt;TODAY(),D546&lt;=TODAY()+7),D546+ROW()/100000,""))</f>
        <v/>
      </c>
      <c r="I546" s="0" t="str">
        <f aca="false">IF(D546="","",IF(D546=CALENDÁRIO!$L$4,ROW(),""))</f>
        <v/>
      </c>
      <c r="J546" s="0" t="str">
        <f aca="false">IF(D546="","",CHOOSE(WEEKDAY(D546),"Domingo","Segunda","Terça","Quarta","Quinta","Sexta","Sábado"))</f>
        <v/>
      </c>
    </row>
    <row r="547" customFormat="false" ht="15" hidden="false" customHeight="false" outlineLevel="0" collapsed="false">
      <c r="A547" s="0" t="str">
        <f aca="false">IF(AND(ISNUMBER(NATAL!$C247),NATAL!$D247="FOLGA"),"Folga Natal","")</f>
        <v/>
      </c>
      <c r="B547" s="0" t="str">
        <f aca="false">IF(AND(ISNUMBER(NATAL!$C247),NATAL!$D247="FOLGA"),NATAL!$A247&amp;"","")</f>
        <v/>
      </c>
      <c r="C547" s="0" t="str">
        <f aca="false">IF(AND(ISNUMBER(NATAL!$C247),NATAL!$D247="FOLGA"),NATAL!$B247&amp;"","")</f>
        <v/>
      </c>
      <c r="D547" s="78" t="str">
        <f aca="false">IF(AND(ISNUMBER(NATAL!$C247),NATAL!$D247="FOLGA"),NATAL!$C247,"")</f>
        <v/>
      </c>
      <c r="E547" s="0" t="str">
        <f aca="false">IF(AND(ISNUMBER(NATAL!$C247),NATAL!$D247="FOLGA"),NATAL!$E247&amp;"","")</f>
        <v/>
      </c>
      <c r="F547" s="0" t="str">
        <f aca="false">IF(AND(ISNUMBER(NATAL!$C247),NATAL!$D247="FOLGA"),NATAL!$F247&amp;"","")</f>
        <v/>
      </c>
      <c r="G547" s="0" t="str">
        <f aca="true">IF(D547="","",IF(D547=TODAY(),D547+ROW()/100000,""))</f>
        <v/>
      </c>
      <c r="H547" s="0" t="str">
        <f aca="true">IF(D547="","",IF(AND(D547&gt;TODAY(),D547&lt;=TODAY()+7),D547+ROW()/100000,""))</f>
        <v/>
      </c>
      <c r="I547" s="0" t="str">
        <f aca="false">IF(D547="","",IF(D547=CALENDÁRIO!$L$4,ROW(),""))</f>
        <v/>
      </c>
      <c r="J547" s="0" t="str">
        <f aca="false">IF(D547="","",CHOOSE(WEEKDAY(D547),"Domingo","Segunda","Terça","Quarta","Quinta","Sexta","Sábado"))</f>
        <v/>
      </c>
    </row>
    <row r="548" customFormat="false" ht="15" hidden="false" customHeight="false" outlineLevel="0" collapsed="false">
      <c r="A548" s="0" t="str">
        <f aca="false">IF(AND(ISNUMBER(NATAL!$C248),NATAL!$D248="FOLGA"),"Folga Natal","")</f>
        <v/>
      </c>
      <c r="B548" s="0" t="str">
        <f aca="false">IF(AND(ISNUMBER(NATAL!$C248),NATAL!$D248="FOLGA"),NATAL!$A248&amp;"","")</f>
        <v/>
      </c>
      <c r="C548" s="0" t="str">
        <f aca="false">IF(AND(ISNUMBER(NATAL!$C248),NATAL!$D248="FOLGA"),NATAL!$B248&amp;"","")</f>
        <v/>
      </c>
      <c r="D548" s="78" t="str">
        <f aca="false">IF(AND(ISNUMBER(NATAL!$C248),NATAL!$D248="FOLGA"),NATAL!$C248,"")</f>
        <v/>
      </c>
      <c r="E548" s="0" t="str">
        <f aca="false">IF(AND(ISNUMBER(NATAL!$C248),NATAL!$D248="FOLGA"),NATAL!$E248&amp;"","")</f>
        <v/>
      </c>
      <c r="F548" s="0" t="str">
        <f aca="false">IF(AND(ISNUMBER(NATAL!$C248),NATAL!$D248="FOLGA"),NATAL!$F248&amp;"","")</f>
        <v/>
      </c>
      <c r="G548" s="0" t="str">
        <f aca="true">IF(D548="","",IF(D548=TODAY(),D548+ROW()/100000,""))</f>
        <v/>
      </c>
      <c r="H548" s="0" t="str">
        <f aca="true">IF(D548="","",IF(AND(D548&gt;TODAY(),D548&lt;=TODAY()+7),D548+ROW()/100000,""))</f>
        <v/>
      </c>
      <c r="I548" s="0" t="str">
        <f aca="false">IF(D548="","",IF(D548=CALENDÁRIO!$L$4,ROW(),""))</f>
        <v/>
      </c>
      <c r="J548" s="0" t="str">
        <f aca="false">IF(D548="","",CHOOSE(WEEKDAY(D548),"Domingo","Segunda","Terça","Quarta","Quinta","Sexta","Sábado"))</f>
        <v/>
      </c>
    </row>
    <row r="549" customFormat="false" ht="15" hidden="false" customHeight="false" outlineLevel="0" collapsed="false">
      <c r="A549" s="0" t="str">
        <f aca="false">IF(AND(ISNUMBER(NATAL!$C249),NATAL!$D249="FOLGA"),"Folga Natal","")</f>
        <v/>
      </c>
      <c r="B549" s="0" t="str">
        <f aca="false">IF(AND(ISNUMBER(NATAL!$C249),NATAL!$D249="FOLGA"),NATAL!$A249&amp;"","")</f>
        <v/>
      </c>
      <c r="C549" s="0" t="str">
        <f aca="false">IF(AND(ISNUMBER(NATAL!$C249),NATAL!$D249="FOLGA"),NATAL!$B249&amp;"","")</f>
        <v/>
      </c>
      <c r="D549" s="78" t="str">
        <f aca="false">IF(AND(ISNUMBER(NATAL!$C249),NATAL!$D249="FOLGA"),NATAL!$C249,"")</f>
        <v/>
      </c>
      <c r="E549" s="0" t="str">
        <f aca="false">IF(AND(ISNUMBER(NATAL!$C249),NATAL!$D249="FOLGA"),NATAL!$E249&amp;"","")</f>
        <v/>
      </c>
      <c r="F549" s="0" t="str">
        <f aca="false">IF(AND(ISNUMBER(NATAL!$C249),NATAL!$D249="FOLGA"),NATAL!$F249&amp;"","")</f>
        <v/>
      </c>
      <c r="G549" s="0" t="str">
        <f aca="true">IF(D549="","",IF(D549=TODAY(),D549+ROW()/100000,""))</f>
        <v/>
      </c>
      <c r="H549" s="0" t="str">
        <f aca="true">IF(D549="","",IF(AND(D549&gt;TODAY(),D549&lt;=TODAY()+7),D549+ROW()/100000,""))</f>
        <v/>
      </c>
      <c r="I549" s="0" t="str">
        <f aca="false">IF(D549="","",IF(D549=CALENDÁRIO!$L$4,ROW(),""))</f>
        <v/>
      </c>
      <c r="J549" s="0" t="str">
        <f aca="false">IF(D549="","",CHOOSE(WEEKDAY(D549),"Domingo","Segunda","Terça","Quarta","Quinta","Sexta","Sábado"))</f>
        <v/>
      </c>
    </row>
    <row r="550" customFormat="false" ht="15" hidden="false" customHeight="false" outlineLevel="0" collapsed="false">
      <c r="A550" s="0" t="str">
        <f aca="false">IF(AND(ISNUMBER(NATAL!$C250),NATAL!$D250="FOLGA"),"Folga Natal","")</f>
        <v/>
      </c>
      <c r="B550" s="0" t="str">
        <f aca="false">IF(AND(ISNUMBER(NATAL!$C250),NATAL!$D250="FOLGA"),NATAL!$A250&amp;"","")</f>
        <v/>
      </c>
      <c r="C550" s="0" t="str">
        <f aca="false">IF(AND(ISNUMBER(NATAL!$C250),NATAL!$D250="FOLGA"),NATAL!$B250&amp;"","")</f>
        <v/>
      </c>
      <c r="D550" s="78" t="str">
        <f aca="false">IF(AND(ISNUMBER(NATAL!$C250),NATAL!$D250="FOLGA"),NATAL!$C250,"")</f>
        <v/>
      </c>
      <c r="E550" s="0" t="str">
        <f aca="false">IF(AND(ISNUMBER(NATAL!$C250),NATAL!$D250="FOLGA"),NATAL!$E250&amp;"","")</f>
        <v/>
      </c>
      <c r="F550" s="0" t="str">
        <f aca="false">IF(AND(ISNUMBER(NATAL!$C250),NATAL!$D250="FOLGA"),NATAL!$F250&amp;"","")</f>
        <v/>
      </c>
      <c r="G550" s="0" t="str">
        <f aca="true">IF(D550="","",IF(D550=TODAY(),D550+ROW()/100000,""))</f>
        <v/>
      </c>
      <c r="H550" s="0" t="str">
        <f aca="true">IF(D550="","",IF(AND(D550&gt;TODAY(),D550&lt;=TODAY()+7),D550+ROW()/100000,""))</f>
        <v/>
      </c>
      <c r="I550" s="0" t="str">
        <f aca="false">IF(D550="","",IF(D550=CALENDÁRIO!$L$4,ROW(),""))</f>
        <v/>
      </c>
      <c r="J550" s="0" t="str">
        <f aca="false">IF(D550="","",CHOOSE(WEEKDAY(D550),"Domingo","Segunda","Terça","Quarta","Quinta","Sexta","Sábado"))</f>
        <v/>
      </c>
    </row>
    <row r="551" customFormat="false" ht="15" hidden="false" customHeight="false" outlineLevel="0" collapsed="false">
      <c r="A551" s="0" t="str">
        <f aca="false">IF(AND(ISNUMBER(NATAL!$C251),NATAL!$D251="FOLGA"),"Folga Natal","")</f>
        <v/>
      </c>
      <c r="B551" s="0" t="str">
        <f aca="false">IF(AND(ISNUMBER(NATAL!$C251),NATAL!$D251="FOLGA"),NATAL!$A251&amp;"","")</f>
        <v/>
      </c>
      <c r="C551" s="0" t="str">
        <f aca="false">IF(AND(ISNUMBER(NATAL!$C251),NATAL!$D251="FOLGA"),NATAL!$B251&amp;"","")</f>
        <v/>
      </c>
      <c r="D551" s="78" t="str">
        <f aca="false">IF(AND(ISNUMBER(NATAL!$C251),NATAL!$D251="FOLGA"),NATAL!$C251,"")</f>
        <v/>
      </c>
      <c r="E551" s="0" t="str">
        <f aca="false">IF(AND(ISNUMBER(NATAL!$C251),NATAL!$D251="FOLGA"),NATAL!$E251&amp;"","")</f>
        <v/>
      </c>
      <c r="F551" s="0" t="str">
        <f aca="false">IF(AND(ISNUMBER(NATAL!$C251),NATAL!$D251="FOLGA"),NATAL!$F251&amp;"","")</f>
        <v/>
      </c>
      <c r="G551" s="0" t="str">
        <f aca="true">IF(D551="","",IF(D551=TODAY(),D551+ROW()/100000,""))</f>
        <v/>
      </c>
      <c r="H551" s="0" t="str">
        <f aca="true">IF(D551="","",IF(AND(D551&gt;TODAY(),D551&lt;=TODAY()+7),D551+ROW()/100000,""))</f>
        <v/>
      </c>
      <c r="I551" s="0" t="str">
        <f aca="false">IF(D551="","",IF(D551=CALENDÁRIO!$L$4,ROW(),""))</f>
        <v/>
      </c>
      <c r="J551" s="0" t="str">
        <f aca="false">IF(D551="","",CHOOSE(WEEKDAY(D551),"Domingo","Segunda","Terça","Quarta","Quinta","Sexta","Sábado"))</f>
        <v/>
      </c>
    </row>
    <row r="552" customFormat="false" ht="15" hidden="false" customHeight="false" outlineLevel="0" collapsed="false">
      <c r="A552" s="0" t="str">
        <f aca="false">IF(AND(ISNUMBER(NATAL!$C252),NATAL!$D252="FOLGA"),"Folga Natal","")</f>
        <v/>
      </c>
      <c r="B552" s="0" t="str">
        <f aca="false">IF(AND(ISNUMBER(NATAL!$C252),NATAL!$D252="FOLGA"),NATAL!$A252&amp;"","")</f>
        <v/>
      </c>
      <c r="C552" s="0" t="str">
        <f aca="false">IF(AND(ISNUMBER(NATAL!$C252),NATAL!$D252="FOLGA"),NATAL!$B252&amp;"","")</f>
        <v/>
      </c>
      <c r="D552" s="78" t="str">
        <f aca="false">IF(AND(ISNUMBER(NATAL!$C252),NATAL!$D252="FOLGA"),NATAL!$C252,"")</f>
        <v/>
      </c>
      <c r="E552" s="0" t="str">
        <f aca="false">IF(AND(ISNUMBER(NATAL!$C252),NATAL!$D252="FOLGA"),NATAL!$E252&amp;"","")</f>
        <v/>
      </c>
      <c r="F552" s="0" t="str">
        <f aca="false">IF(AND(ISNUMBER(NATAL!$C252),NATAL!$D252="FOLGA"),NATAL!$F252&amp;"","")</f>
        <v/>
      </c>
      <c r="G552" s="0" t="str">
        <f aca="true">IF(D552="","",IF(D552=TODAY(),D552+ROW()/100000,""))</f>
        <v/>
      </c>
      <c r="H552" s="0" t="str">
        <f aca="true">IF(D552="","",IF(AND(D552&gt;TODAY(),D552&lt;=TODAY()+7),D552+ROW()/100000,""))</f>
        <v/>
      </c>
      <c r="I552" s="0" t="str">
        <f aca="false">IF(D552="","",IF(D552=CALENDÁRIO!$L$4,ROW(),""))</f>
        <v/>
      </c>
      <c r="J552" s="0" t="str">
        <f aca="false">IF(D552="","",CHOOSE(WEEKDAY(D552),"Domingo","Segunda","Terça","Quarta","Quinta","Sexta","Sábado"))</f>
        <v/>
      </c>
    </row>
    <row r="553" customFormat="false" ht="15" hidden="false" customHeight="false" outlineLevel="0" collapsed="false">
      <c r="A553" s="0" t="str">
        <f aca="false">IF(AND(ISNUMBER(NATAL!$C253),NATAL!$D253="FOLGA"),"Folga Natal","")</f>
        <v/>
      </c>
      <c r="B553" s="0" t="str">
        <f aca="false">IF(AND(ISNUMBER(NATAL!$C253),NATAL!$D253="FOLGA"),NATAL!$A253&amp;"","")</f>
        <v/>
      </c>
      <c r="C553" s="0" t="str">
        <f aca="false">IF(AND(ISNUMBER(NATAL!$C253),NATAL!$D253="FOLGA"),NATAL!$B253&amp;"","")</f>
        <v/>
      </c>
      <c r="D553" s="78" t="str">
        <f aca="false">IF(AND(ISNUMBER(NATAL!$C253),NATAL!$D253="FOLGA"),NATAL!$C253,"")</f>
        <v/>
      </c>
      <c r="E553" s="0" t="str">
        <f aca="false">IF(AND(ISNUMBER(NATAL!$C253),NATAL!$D253="FOLGA"),NATAL!$E253&amp;"","")</f>
        <v/>
      </c>
      <c r="F553" s="0" t="str">
        <f aca="false">IF(AND(ISNUMBER(NATAL!$C253),NATAL!$D253="FOLGA"),NATAL!$F253&amp;"","")</f>
        <v/>
      </c>
      <c r="G553" s="0" t="str">
        <f aca="true">IF(D553="","",IF(D553=TODAY(),D553+ROW()/100000,""))</f>
        <v/>
      </c>
      <c r="H553" s="0" t="str">
        <f aca="true">IF(D553="","",IF(AND(D553&gt;TODAY(),D553&lt;=TODAY()+7),D553+ROW()/100000,""))</f>
        <v/>
      </c>
      <c r="I553" s="0" t="str">
        <f aca="false">IF(D553="","",IF(D553=CALENDÁRIO!$L$4,ROW(),""))</f>
        <v/>
      </c>
      <c r="J553" s="0" t="str">
        <f aca="false">IF(D553="","",CHOOSE(WEEKDAY(D553),"Domingo","Segunda","Terça","Quarta","Quinta","Sexta","Sábado"))</f>
        <v/>
      </c>
    </row>
    <row r="554" customFormat="false" ht="15" hidden="false" customHeight="false" outlineLevel="0" collapsed="false">
      <c r="A554" s="0" t="str">
        <f aca="false">IF(AND(ISNUMBER(NATAL!$C254),NATAL!$D254="FOLGA"),"Folga Natal","")</f>
        <v/>
      </c>
      <c r="B554" s="0" t="str">
        <f aca="false">IF(AND(ISNUMBER(NATAL!$C254),NATAL!$D254="FOLGA"),NATAL!$A254&amp;"","")</f>
        <v/>
      </c>
      <c r="C554" s="0" t="str">
        <f aca="false">IF(AND(ISNUMBER(NATAL!$C254),NATAL!$D254="FOLGA"),NATAL!$B254&amp;"","")</f>
        <v/>
      </c>
      <c r="D554" s="78" t="str">
        <f aca="false">IF(AND(ISNUMBER(NATAL!$C254),NATAL!$D254="FOLGA"),NATAL!$C254,"")</f>
        <v/>
      </c>
      <c r="E554" s="0" t="str">
        <f aca="false">IF(AND(ISNUMBER(NATAL!$C254),NATAL!$D254="FOLGA"),NATAL!$E254&amp;"","")</f>
        <v/>
      </c>
      <c r="F554" s="0" t="str">
        <f aca="false">IF(AND(ISNUMBER(NATAL!$C254),NATAL!$D254="FOLGA"),NATAL!$F254&amp;"","")</f>
        <v/>
      </c>
      <c r="G554" s="0" t="str">
        <f aca="true">IF(D554="","",IF(D554=TODAY(),D554+ROW()/100000,""))</f>
        <v/>
      </c>
      <c r="H554" s="0" t="str">
        <f aca="true">IF(D554="","",IF(AND(D554&gt;TODAY(),D554&lt;=TODAY()+7),D554+ROW()/100000,""))</f>
        <v/>
      </c>
      <c r="I554" s="0" t="str">
        <f aca="false">IF(D554="","",IF(D554=CALENDÁRIO!$L$4,ROW(),""))</f>
        <v/>
      </c>
      <c r="J554" s="0" t="str">
        <f aca="false">IF(D554="","",CHOOSE(WEEKDAY(D554),"Domingo","Segunda","Terça","Quarta","Quinta","Sexta","Sábado"))</f>
        <v/>
      </c>
    </row>
    <row r="555" customFormat="false" ht="15" hidden="false" customHeight="false" outlineLevel="0" collapsed="false">
      <c r="A555" s="0" t="str">
        <f aca="false">IF(AND(ISNUMBER(NATAL!$C255),NATAL!$D255="FOLGA"),"Folga Natal","")</f>
        <v/>
      </c>
      <c r="B555" s="0" t="str">
        <f aca="false">IF(AND(ISNUMBER(NATAL!$C255),NATAL!$D255="FOLGA"),NATAL!$A255&amp;"","")</f>
        <v/>
      </c>
      <c r="C555" s="0" t="str">
        <f aca="false">IF(AND(ISNUMBER(NATAL!$C255),NATAL!$D255="FOLGA"),NATAL!$B255&amp;"","")</f>
        <v/>
      </c>
      <c r="D555" s="78" t="str">
        <f aca="false">IF(AND(ISNUMBER(NATAL!$C255),NATAL!$D255="FOLGA"),NATAL!$C255,"")</f>
        <v/>
      </c>
      <c r="E555" s="0" t="str">
        <f aca="false">IF(AND(ISNUMBER(NATAL!$C255),NATAL!$D255="FOLGA"),NATAL!$E255&amp;"","")</f>
        <v/>
      </c>
      <c r="F555" s="0" t="str">
        <f aca="false">IF(AND(ISNUMBER(NATAL!$C255),NATAL!$D255="FOLGA"),NATAL!$F255&amp;"","")</f>
        <v/>
      </c>
      <c r="G555" s="0" t="str">
        <f aca="true">IF(D555="","",IF(D555=TODAY(),D555+ROW()/100000,""))</f>
        <v/>
      </c>
      <c r="H555" s="0" t="str">
        <f aca="true">IF(D555="","",IF(AND(D555&gt;TODAY(),D555&lt;=TODAY()+7),D555+ROW()/100000,""))</f>
        <v/>
      </c>
      <c r="I555" s="0" t="str">
        <f aca="false">IF(D555="","",IF(D555=CALENDÁRIO!$L$4,ROW(),""))</f>
        <v/>
      </c>
      <c r="J555" s="0" t="str">
        <f aca="false">IF(D555="","",CHOOSE(WEEKDAY(D555),"Domingo","Segunda","Terça","Quarta","Quinta","Sexta","Sábado"))</f>
        <v/>
      </c>
    </row>
    <row r="556" customFormat="false" ht="15" hidden="false" customHeight="false" outlineLevel="0" collapsed="false">
      <c r="A556" s="0" t="str">
        <f aca="false">IF(AND(ISNUMBER(NATAL!$C256),NATAL!$D256="FOLGA"),"Folga Natal","")</f>
        <v/>
      </c>
      <c r="B556" s="0" t="str">
        <f aca="false">IF(AND(ISNUMBER(NATAL!$C256),NATAL!$D256="FOLGA"),NATAL!$A256&amp;"","")</f>
        <v/>
      </c>
      <c r="C556" s="0" t="str">
        <f aca="false">IF(AND(ISNUMBER(NATAL!$C256),NATAL!$D256="FOLGA"),NATAL!$B256&amp;"","")</f>
        <v/>
      </c>
      <c r="D556" s="78" t="str">
        <f aca="false">IF(AND(ISNUMBER(NATAL!$C256),NATAL!$D256="FOLGA"),NATAL!$C256,"")</f>
        <v/>
      </c>
      <c r="E556" s="0" t="str">
        <f aca="false">IF(AND(ISNUMBER(NATAL!$C256),NATAL!$D256="FOLGA"),NATAL!$E256&amp;"","")</f>
        <v/>
      </c>
      <c r="F556" s="0" t="str">
        <f aca="false">IF(AND(ISNUMBER(NATAL!$C256),NATAL!$D256="FOLGA"),NATAL!$F256&amp;"","")</f>
        <v/>
      </c>
      <c r="G556" s="0" t="str">
        <f aca="true">IF(D556="","",IF(D556=TODAY(),D556+ROW()/100000,""))</f>
        <v/>
      </c>
      <c r="H556" s="0" t="str">
        <f aca="true">IF(D556="","",IF(AND(D556&gt;TODAY(),D556&lt;=TODAY()+7),D556+ROW()/100000,""))</f>
        <v/>
      </c>
      <c r="I556" s="0" t="str">
        <f aca="false">IF(D556="","",IF(D556=CALENDÁRIO!$L$4,ROW(),""))</f>
        <v/>
      </c>
      <c r="J556" s="0" t="str">
        <f aca="false">IF(D556="","",CHOOSE(WEEKDAY(D556),"Domingo","Segunda","Terça","Quarta","Quinta","Sexta","Sábado"))</f>
        <v/>
      </c>
    </row>
    <row r="557" customFormat="false" ht="15" hidden="false" customHeight="false" outlineLevel="0" collapsed="false">
      <c r="A557" s="0" t="str">
        <f aca="false">IF(AND(ISNUMBER(NATAL!$C257),NATAL!$D257="FOLGA"),"Folga Natal","")</f>
        <v/>
      </c>
      <c r="B557" s="0" t="str">
        <f aca="false">IF(AND(ISNUMBER(NATAL!$C257),NATAL!$D257="FOLGA"),NATAL!$A257&amp;"","")</f>
        <v/>
      </c>
      <c r="C557" s="0" t="str">
        <f aca="false">IF(AND(ISNUMBER(NATAL!$C257),NATAL!$D257="FOLGA"),NATAL!$B257&amp;"","")</f>
        <v/>
      </c>
      <c r="D557" s="78" t="str">
        <f aca="false">IF(AND(ISNUMBER(NATAL!$C257),NATAL!$D257="FOLGA"),NATAL!$C257,"")</f>
        <v/>
      </c>
      <c r="E557" s="0" t="str">
        <f aca="false">IF(AND(ISNUMBER(NATAL!$C257),NATAL!$D257="FOLGA"),NATAL!$E257&amp;"","")</f>
        <v/>
      </c>
      <c r="F557" s="0" t="str">
        <f aca="false">IF(AND(ISNUMBER(NATAL!$C257),NATAL!$D257="FOLGA"),NATAL!$F257&amp;"","")</f>
        <v/>
      </c>
      <c r="G557" s="0" t="str">
        <f aca="true">IF(D557="","",IF(D557=TODAY(),D557+ROW()/100000,""))</f>
        <v/>
      </c>
      <c r="H557" s="0" t="str">
        <f aca="true">IF(D557="","",IF(AND(D557&gt;TODAY(),D557&lt;=TODAY()+7),D557+ROW()/100000,""))</f>
        <v/>
      </c>
      <c r="I557" s="0" t="str">
        <f aca="false">IF(D557="","",IF(D557=CALENDÁRIO!$L$4,ROW(),""))</f>
        <v/>
      </c>
      <c r="J557" s="0" t="str">
        <f aca="false">IF(D557="","",CHOOSE(WEEKDAY(D557),"Domingo","Segunda","Terça","Quarta","Quinta","Sexta","Sábado"))</f>
        <v/>
      </c>
    </row>
    <row r="558" customFormat="false" ht="15" hidden="false" customHeight="false" outlineLevel="0" collapsed="false">
      <c r="A558" s="0" t="str">
        <f aca="false">IF(AND(ISNUMBER(NATAL!$C258),NATAL!$D258="FOLGA"),"Folga Natal","")</f>
        <v/>
      </c>
      <c r="B558" s="0" t="str">
        <f aca="false">IF(AND(ISNUMBER(NATAL!$C258),NATAL!$D258="FOLGA"),NATAL!$A258&amp;"","")</f>
        <v/>
      </c>
      <c r="C558" s="0" t="str">
        <f aca="false">IF(AND(ISNUMBER(NATAL!$C258),NATAL!$D258="FOLGA"),NATAL!$B258&amp;"","")</f>
        <v/>
      </c>
      <c r="D558" s="78" t="str">
        <f aca="false">IF(AND(ISNUMBER(NATAL!$C258),NATAL!$D258="FOLGA"),NATAL!$C258,"")</f>
        <v/>
      </c>
      <c r="E558" s="0" t="str">
        <f aca="false">IF(AND(ISNUMBER(NATAL!$C258),NATAL!$D258="FOLGA"),NATAL!$E258&amp;"","")</f>
        <v/>
      </c>
      <c r="F558" s="0" t="str">
        <f aca="false">IF(AND(ISNUMBER(NATAL!$C258),NATAL!$D258="FOLGA"),NATAL!$F258&amp;"","")</f>
        <v/>
      </c>
      <c r="G558" s="0" t="str">
        <f aca="true">IF(D558="","",IF(D558=TODAY(),D558+ROW()/100000,""))</f>
        <v/>
      </c>
      <c r="H558" s="0" t="str">
        <f aca="true">IF(D558="","",IF(AND(D558&gt;TODAY(),D558&lt;=TODAY()+7),D558+ROW()/100000,""))</f>
        <v/>
      </c>
      <c r="I558" s="0" t="str">
        <f aca="false">IF(D558="","",IF(D558=CALENDÁRIO!$L$4,ROW(),""))</f>
        <v/>
      </c>
      <c r="J558" s="0" t="str">
        <f aca="false">IF(D558="","",CHOOSE(WEEKDAY(D558),"Domingo","Segunda","Terça","Quarta","Quinta","Sexta","Sábado"))</f>
        <v/>
      </c>
    </row>
    <row r="559" customFormat="false" ht="15" hidden="false" customHeight="false" outlineLevel="0" collapsed="false">
      <c r="A559" s="0" t="str">
        <f aca="false">IF(AND(ISNUMBER(NATAL!$C259),NATAL!$D259="FOLGA"),"Folga Natal","")</f>
        <v/>
      </c>
      <c r="B559" s="0" t="str">
        <f aca="false">IF(AND(ISNUMBER(NATAL!$C259),NATAL!$D259="FOLGA"),NATAL!$A259&amp;"","")</f>
        <v/>
      </c>
      <c r="C559" s="0" t="str">
        <f aca="false">IF(AND(ISNUMBER(NATAL!$C259),NATAL!$D259="FOLGA"),NATAL!$B259&amp;"","")</f>
        <v/>
      </c>
      <c r="D559" s="78" t="str">
        <f aca="false">IF(AND(ISNUMBER(NATAL!$C259),NATAL!$D259="FOLGA"),NATAL!$C259,"")</f>
        <v/>
      </c>
      <c r="E559" s="0" t="str">
        <f aca="false">IF(AND(ISNUMBER(NATAL!$C259),NATAL!$D259="FOLGA"),NATAL!$E259&amp;"","")</f>
        <v/>
      </c>
      <c r="F559" s="0" t="str">
        <f aca="false">IF(AND(ISNUMBER(NATAL!$C259),NATAL!$D259="FOLGA"),NATAL!$F259&amp;"","")</f>
        <v/>
      </c>
      <c r="G559" s="0" t="str">
        <f aca="true">IF(D559="","",IF(D559=TODAY(),D559+ROW()/100000,""))</f>
        <v/>
      </c>
      <c r="H559" s="0" t="str">
        <f aca="true">IF(D559="","",IF(AND(D559&gt;TODAY(),D559&lt;=TODAY()+7),D559+ROW()/100000,""))</f>
        <v/>
      </c>
      <c r="I559" s="0" t="str">
        <f aca="false">IF(D559="","",IF(D559=CALENDÁRIO!$L$4,ROW(),""))</f>
        <v/>
      </c>
      <c r="J559" s="0" t="str">
        <f aca="false">IF(D559="","",CHOOSE(WEEKDAY(D559),"Domingo","Segunda","Terça","Quarta","Quinta","Sexta","Sábado"))</f>
        <v/>
      </c>
    </row>
    <row r="560" customFormat="false" ht="15" hidden="false" customHeight="false" outlineLevel="0" collapsed="false">
      <c r="A560" s="0" t="str">
        <f aca="false">IF(AND(ISNUMBER(NATAL!$C260),NATAL!$D260="FOLGA"),"Folga Natal","")</f>
        <v/>
      </c>
      <c r="B560" s="0" t="str">
        <f aca="false">IF(AND(ISNUMBER(NATAL!$C260),NATAL!$D260="FOLGA"),NATAL!$A260&amp;"","")</f>
        <v/>
      </c>
      <c r="C560" s="0" t="str">
        <f aca="false">IF(AND(ISNUMBER(NATAL!$C260),NATAL!$D260="FOLGA"),NATAL!$B260&amp;"","")</f>
        <v/>
      </c>
      <c r="D560" s="78" t="str">
        <f aca="false">IF(AND(ISNUMBER(NATAL!$C260),NATAL!$D260="FOLGA"),NATAL!$C260,"")</f>
        <v/>
      </c>
      <c r="E560" s="0" t="str">
        <f aca="false">IF(AND(ISNUMBER(NATAL!$C260),NATAL!$D260="FOLGA"),NATAL!$E260&amp;"","")</f>
        <v/>
      </c>
      <c r="F560" s="0" t="str">
        <f aca="false">IF(AND(ISNUMBER(NATAL!$C260),NATAL!$D260="FOLGA"),NATAL!$F260&amp;"","")</f>
        <v/>
      </c>
      <c r="G560" s="0" t="str">
        <f aca="true">IF(D560="","",IF(D560=TODAY(),D560+ROW()/100000,""))</f>
        <v/>
      </c>
      <c r="H560" s="0" t="str">
        <f aca="true">IF(D560="","",IF(AND(D560&gt;TODAY(),D560&lt;=TODAY()+7),D560+ROW()/100000,""))</f>
        <v/>
      </c>
      <c r="I560" s="0" t="str">
        <f aca="false">IF(D560="","",IF(D560=CALENDÁRIO!$L$4,ROW(),""))</f>
        <v/>
      </c>
      <c r="J560" s="0" t="str">
        <f aca="false">IF(D560="","",CHOOSE(WEEKDAY(D560),"Domingo","Segunda","Terça","Quarta","Quinta","Sexta","Sábado"))</f>
        <v/>
      </c>
    </row>
    <row r="561" customFormat="false" ht="15" hidden="false" customHeight="false" outlineLevel="0" collapsed="false">
      <c r="A561" s="0" t="str">
        <f aca="false">IF(AND(ISNUMBER(NATAL!$C261),NATAL!$D261="FOLGA"),"Folga Natal","")</f>
        <v/>
      </c>
      <c r="B561" s="0" t="str">
        <f aca="false">IF(AND(ISNUMBER(NATAL!$C261),NATAL!$D261="FOLGA"),NATAL!$A261&amp;"","")</f>
        <v/>
      </c>
      <c r="C561" s="0" t="str">
        <f aca="false">IF(AND(ISNUMBER(NATAL!$C261),NATAL!$D261="FOLGA"),NATAL!$B261&amp;"","")</f>
        <v/>
      </c>
      <c r="D561" s="78" t="str">
        <f aca="false">IF(AND(ISNUMBER(NATAL!$C261),NATAL!$D261="FOLGA"),NATAL!$C261,"")</f>
        <v/>
      </c>
      <c r="E561" s="0" t="str">
        <f aca="false">IF(AND(ISNUMBER(NATAL!$C261),NATAL!$D261="FOLGA"),NATAL!$E261&amp;"","")</f>
        <v/>
      </c>
      <c r="F561" s="0" t="str">
        <f aca="false">IF(AND(ISNUMBER(NATAL!$C261),NATAL!$D261="FOLGA"),NATAL!$F261&amp;"","")</f>
        <v/>
      </c>
      <c r="G561" s="0" t="str">
        <f aca="true">IF(D561="","",IF(D561=TODAY(),D561+ROW()/100000,""))</f>
        <v/>
      </c>
      <c r="H561" s="0" t="str">
        <f aca="true">IF(D561="","",IF(AND(D561&gt;TODAY(),D561&lt;=TODAY()+7),D561+ROW()/100000,""))</f>
        <v/>
      </c>
      <c r="I561" s="0" t="str">
        <f aca="false">IF(D561="","",IF(D561=CALENDÁRIO!$L$4,ROW(),""))</f>
        <v/>
      </c>
      <c r="J561" s="0" t="str">
        <f aca="false">IF(D561="","",CHOOSE(WEEKDAY(D561),"Domingo","Segunda","Terça","Quarta","Quinta","Sexta","Sábado"))</f>
        <v/>
      </c>
    </row>
    <row r="562" customFormat="false" ht="15" hidden="false" customHeight="false" outlineLevel="0" collapsed="false">
      <c r="A562" s="0" t="str">
        <f aca="false">IF(AND(ISNUMBER(NATAL!$C262),NATAL!$D262="FOLGA"),"Folga Natal","")</f>
        <v/>
      </c>
      <c r="B562" s="0" t="str">
        <f aca="false">IF(AND(ISNUMBER(NATAL!$C262),NATAL!$D262="FOLGA"),NATAL!$A262&amp;"","")</f>
        <v/>
      </c>
      <c r="C562" s="0" t="str">
        <f aca="false">IF(AND(ISNUMBER(NATAL!$C262),NATAL!$D262="FOLGA"),NATAL!$B262&amp;"","")</f>
        <v/>
      </c>
      <c r="D562" s="78" t="str">
        <f aca="false">IF(AND(ISNUMBER(NATAL!$C262),NATAL!$D262="FOLGA"),NATAL!$C262,"")</f>
        <v/>
      </c>
      <c r="E562" s="0" t="str">
        <f aca="false">IF(AND(ISNUMBER(NATAL!$C262),NATAL!$D262="FOLGA"),NATAL!$E262&amp;"","")</f>
        <v/>
      </c>
      <c r="F562" s="0" t="str">
        <f aca="false">IF(AND(ISNUMBER(NATAL!$C262),NATAL!$D262="FOLGA"),NATAL!$F262&amp;"","")</f>
        <v/>
      </c>
      <c r="G562" s="0" t="str">
        <f aca="true">IF(D562="","",IF(D562=TODAY(),D562+ROW()/100000,""))</f>
        <v/>
      </c>
      <c r="H562" s="0" t="str">
        <f aca="true">IF(D562="","",IF(AND(D562&gt;TODAY(),D562&lt;=TODAY()+7),D562+ROW()/100000,""))</f>
        <v/>
      </c>
      <c r="I562" s="0" t="str">
        <f aca="false">IF(D562="","",IF(D562=CALENDÁRIO!$L$4,ROW(),""))</f>
        <v/>
      </c>
      <c r="J562" s="0" t="str">
        <f aca="false">IF(D562="","",CHOOSE(WEEKDAY(D562),"Domingo","Segunda","Terça","Quarta","Quinta","Sexta","Sábado"))</f>
        <v/>
      </c>
    </row>
    <row r="563" customFormat="false" ht="15" hidden="false" customHeight="false" outlineLevel="0" collapsed="false">
      <c r="A563" s="0" t="str">
        <f aca="false">IF(AND(ISNUMBER(NATAL!$C263),NATAL!$D263="FOLGA"),"Folga Natal","")</f>
        <v/>
      </c>
      <c r="B563" s="0" t="str">
        <f aca="false">IF(AND(ISNUMBER(NATAL!$C263),NATAL!$D263="FOLGA"),NATAL!$A263&amp;"","")</f>
        <v/>
      </c>
      <c r="C563" s="0" t="str">
        <f aca="false">IF(AND(ISNUMBER(NATAL!$C263),NATAL!$D263="FOLGA"),NATAL!$B263&amp;"","")</f>
        <v/>
      </c>
      <c r="D563" s="78" t="str">
        <f aca="false">IF(AND(ISNUMBER(NATAL!$C263),NATAL!$D263="FOLGA"),NATAL!$C263,"")</f>
        <v/>
      </c>
      <c r="E563" s="0" t="str">
        <f aca="false">IF(AND(ISNUMBER(NATAL!$C263),NATAL!$D263="FOLGA"),NATAL!$E263&amp;"","")</f>
        <v/>
      </c>
      <c r="F563" s="0" t="str">
        <f aca="false">IF(AND(ISNUMBER(NATAL!$C263),NATAL!$D263="FOLGA"),NATAL!$F263&amp;"","")</f>
        <v/>
      </c>
      <c r="G563" s="0" t="str">
        <f aca="true">IF(D563="","",IF(D563=TODAY(),D563+ROW()/100000,""))</f>
        <v/>
      </c>
      <c r="H563" s="0" t="str">
        <f aca="true">IF(D563="","",IF(AND(D563&gt;TODAY(),D563&lt;=TODAY()+7),D563+ROW()/100000,""))</f>
        <v/>
      </c>
      <c r="I563" s="0" t="str">
        <f aca="false">IF(D563="","",IF(D563=CALENDÁRIO!$L$4,ROW(),""))</f>
        <v/>
      </c>
      <c r="J563" s="0" t="str">
        <f aca="false">IF(D563="","",CHOOSE(WEEKDAY(D563),"Domingo","Segunda","Terça","Quarta","Quinta","Sexta","Sábado"))</f>
        <v/>
      </c>
    </row>
    <row r="564" customFormat="false" ht="15" hidden="false" customHeight="false" outlineLevel="0" collapsed="false">
      <c r="A564" s="0" t="str">
        <f aca="false">IF(AND(ISNUMBER(NATAL!$C264),NATAL!$D264="FOLGA"),"Folga Natal","")</f>
        <v/>
      </c>
      <c r="B564" s="0" t="str">
        <f aca="false">IF(AND(ISNUMBER(NATAL!$C264),NATAL!$D264="FOLGA"),NATAL!$A264&amp;"","")</f>
        <v/>
      </c>
      <c r="C564" s="0" t="str">
        <f aca="false">IF(AND(ISNUMBER(NATAL!$C264),NATAL!$D264="FOLGA"),NATAL!$B264&amp;"","")</f>
        <v/>
      </c>
      <c r="D564" s="78" t="str">
        <f aca="false">IF(AND(ISNUMBER(NATAL!$C264),NATAL!$D264="FOLGA"),NATAL!$C264,"")</f>
        <v/>
      </c>
      <c r="E564" s="0" t="str">
        <f aca="false">IF(AND(ISNUMBER(NATAL!$C264),NATAL!$D264="FOLGA"),NATAL!$E264&amp;"","")</f>
        <v/>
      </c>
      <c r="F564" s="0" t="str">
        <f aca="false">IF(AND(ISNUMBER(NATAL!$C264),NATAL!$D264="FOLGA"),NATAL!$F264&amp;"","")</f>
        <v/>
      </c>
      <c r="G564" s="0" t="str">
        <f aca="true">IF(D564="","",IF(D564=TODAY(),D564+ROW()/100000,""))</f>
        <v/>
      </c>
      <c r="H564" s="0" t="str">
        <f aca="true">IF(D564="","",IF(AND(D564&gt;TODAY(),D564&lt;=TODAY()+7),D564+ROW()/100000,""))</f>
        <v/>
      </c>
      <c r="I564" s="0" t="str">
        <f aca="false">IF(D564="","",IF(D564=CALENDÁRIO!$L$4,ROW(),""))</f>
        <v/>
      </c>
      <c r="J564" s="0" t="str">
        <f aca="false">IF(D564="","",CHOOSE(WEEKDAY(D564),"Domingo","Segunda","Terça","Quarta","Quinta","Sexta","Sábado"))</f>
        <v/>
      </c>
    </row>
    <row r="565" customFormat="false" ht="15" hidden="false" customHeight="false" outlineLevel="0" collapsed="false">
      <c r="A565" s="0" t="str">
        <f aca="false">IF(AND(ISNUMBER(NATAL!$C265),NATAL!$D265="FOLGA"),"Folga Natal","")</f>
        <v/>
      </c>
      <c r="B565" s="0" t="str">
        <f aca="false">IF(AND(ISNUMBER(NATAL!$C265),NATAL!$D265="FOLGA"),NATAL!$A265&amp;"","")</f>
        <v/>
      </c>
      <c r="C565" s="0" t="str">
        <f aca="false">IF(AND(ISNUMBER(NATAL!$C265),NATAL!$D265="FOLGA"),NATAL!$B265&amp;"","")</f>
        <v/>
      </c>
      <c r="D565" s="78" t="str">
        <f aca="false">IF(AND(ISNUMBER(NATAL!$C265),NATAL!$D265="FOLGA"),NATAL!$C265,"")</f>
        <v/>
      </c>
      <c r="E565" s="0" t="str">
        <f aca="false">IF(AND(ISNUMBER(NATAL!$C265),NATAL!$D265="FOLGA"),NATAL!$E265&amp;"","")</f>
        <v/>
      </c>
      <c r="F565" s="0" t="str">
        <f aca="false">IF(AND(ISNUMBER(NATAL!$C265),NATAL!$D265="FOLGA"),NATAL!$F265&amp;"","")</f>
        <v/>
      </c>
      <c r="G565" s="0" t="str">
        <f aca="true">IF(D565="","",IF(D565=TODAY(),D565+ROW()/100000,""))</f>
        <v/>
      </c>
      <c r="H565" s="0" t="str">
        <f aca="true">IF(D565="","",IF(AND(D565&gt;TODAY(),D565&lt;=TODAY()+7),D565+ROW()/100000,""))</f>
        <v/>
      </c>
      <c r="I565" s="0" t="str">
        <f aca="false">IF(D565="","",IF(D565=CALENDÁRIO!$L$4,ROW(),""))</f>
        <v/>
      </c>
      <c r="J565" s="0" t="str">
        <f aca="false">IF(D565="","",CHOOSE(WEEKDAY(D565),"Domingo","Segunda","Terça","Quarta","Quinta","Sexta","Sábado"))</f>
        <v/>
      </c>
    </row>
    <row r="566" customFormat="false" ht="15" hidden="false" customHeight="false" outlineLevel="0" collapsed="false">
      <c r="A566" s="0" t="str">
        <f aca="false">IF(AND(ISNUMBER(NATAL!$C266),NATAL!$D266="FOLGA"),"Folga Natal","")</f>
        <v/>
      </c>
      <c r="B566" s="0" t="str">
        <f aca="false">IF(AND(ISNUMBER(NATAL!$C266),NATAL!$D266="FOLGA"),NATAL!$A266&amp;"","")</f>
        <v/>
      </c>
      <c r="C566" s="0" t="str">
        <f aca="false">IF(AND(ISNUMBER(NATAL!$C266),NATAL!$D266="FOLGA"),NATAL!$B266&amp;"","")</f>
        <v/>
      </c>
      <c r="D566" s="78" t="str">
        <f aca="false">IF(AND(ISNUMBER(NATAL!$C266),NATAL!$D266="FOLGA"),NATAL!$C266,"")</f>
        <v/>
      </c>
      <c r="E566" s="0" t="str">
        <f aca="false">IF(AND(ISNUMBER(NATAL!$C266),NATAL!$D266="FOLGA"),NATAL!$E266&amp;"","")</f>
        <v/>
      </c>
      <c r="F566" s="0" t="str">
        <f aca="false">IF(AND(ISNUMBER(NATAL!$C266),NATAL!$D266="FOLGA"),NATAL!$F266&amp;"","")</f>
        <v/>
      </c>
      <c r="G566" s="0" t="str">
        <f aca="true">IF(D566="","",IF(D566=TODAY(),D566+ROW()/100000,""))</f>
        <v/>
      </c>
      <c r="H566" s="0" t="str">
        <f aca="true">IF(D566="","",IF(AND(D566&gt;TODAY(),D566&lt;=TODAY()+7),D566+ROW()/100000,""))</f>
        <v/>
      </c>
      <c r="I566" s="0" t="str">
        <f aca="false">IF(D566="","",IF(D566=CALENDÁRIO!$L$4,ROW(),""))</f>
        <v/>
      </c>
      <c r="J566" s="0" t="str">
        <f aca="false">IF(D566="","",CHOOSE(WEEKDAY(D566),"Domingo","Segunda","Terça","Quarta","Quinta","Sexta","Sábado"))</f>
        <v/>
      </c>
    </row>
    <row r="567" customFormat="false" ht="15" hidden="false" customHeight="false" outlineLevel="0" collapsed="false">
      <c r="A567" s="0" t="str">
        <f aca="false">IF(AND(ISNUMBER(NATAL!$C267),NATAL!$D267="FOLGA"),"Folga Natal","")</f>
        <v/>
      </c>
      <c r="B567" s="0" t="str">
        <f aca="false">IF(AND(ISNUMBER(NATAL!$C267),NATAL!$D267="FOLGA"),NATAL!$A267&amp;"","")</f>
        <v/>
      </c>
      <c r="C567" s="0" t="str">
        <f aca="false">IF(AND(ISNUMBER(NATAL!$C267),NATAL!$D267="FOLGA"),NATAL!$B267&amp;"","")</f>
        <v/>
      </c>
      <c r="D567" s="78" t="str">
        <f aca="false">IF(AND(ISNUMBER(NATAL!$C267),NATAL!$D267="FOLGA"),NATAL!$C267,"")</f>
        <v/>
      </c>
      <c r="E567" s="0" t="str">
        <f aca="false">IF(AND(ISNUMBER(NATAL!$C267),NATAL!$D267="FOLGA"),NATAL!$E267&amp;"","")</f>
        <v/>
      </c>
      <c r="F567" s="0" t="str">
        <f aca="false">IF(AND(ISNUMBER(NATAL!$C267),NATAL!$D267="FOLGA"),NATAL!$F267&amp;"","")</f>
        <v/>
      </c>
      <c r="G567" s="0" t="str">
        <f aca="true">IF(D567="","",IF(D567=TODAY(),D567+ROW()/100000,""))</f>
        <v/>
      </c>
      <c r="H567" s="0" t="str">
        <f aca="true">IF(D567="","",IF(AND(D567&gt;TODAY(),D567&lt;=TODAY()+7),D567+ROW()/100000,""))</f>
        <v/>
      </c>
      <c r="I567" s="0" t="str">
        <f aca="false">IF(D567="","",IF(D567=CALENDÁRIO!$L$4,ROW(),""))</f>
        <v/>
      </c>
      <c r="J567" s="0" t="str">
        <f aca="false">IF(D567="","",CHOOSE(WEEKDAY(D567),"Domingo","Segunda","Terça","Quarta","Quinta","Sexta","Sábado"))</f>
        <v/>
      </c>
    </row>
    <row r="568" customFormat="false" ht="15" hidden="false" customHeight="false" outlineLevel="0" collapsed="false">
      <c r="A568" s="0" t="str">
        <f aca="false">IF(AND(ISNUMBER(NATAL!$C268),NATAL!$D268="FOLGA"),"Folga Natal","")</f>
        <v/>
      </c>
      <c r="B568" s="0" t="str">
        <f aca="false">IF(AND(ISNUMBER(NATAL!$C268),NATAL!$D268="FOLGA"),NATAL!$A268&amp;"","")</f>
        <v/>
      </c>
      <c r="C568" s="0" t="str">
        <f aca="false">IF(AND(ISNUMBER(NATAL!$C268),NATAL!$D268="FOLGA"),NATAL!$B268&amp;"","")</f>
        <v/>
      </c>
      <c r="D568" s="78" t="str">
        <f aca="false">IF(AND(ISNUMBER(NATAL!$C268),NATAL!$D268="FOLGA"),NATAL!$C268,"")</f>
        <v/>
      </c>
      <c r="E568" s="0" t="str">
        <f aca="false">IF(AND(ISNUMBER(NATAL!$C268),NATAL!$D268="FOLGA"),NATAL!$E268&amp;"","")</f>
        <v/>
      </c>
      <c r="F568" s="0" t="str">
        <f aca="false">IF(AND(ISNUMBER(NATAL!$C268),NATAL!$D268="FOLGA"),NATAL!$F268&amp;"","")</f>
        <v/>
      </c>
      <c r="G568" s="0" t="str">
        <f aca="true">IF(D568="","",IF(D568=TODAY(),D568+ROW()/100000,""))</f>
        <v/>
      </c>
      <c r="H568" s="0" t="str">
        <f aca="true">IF(D568="","",IF(AND(D568&gt;TODAY(),D568&lt;=TODAY()+7),D568+ROW()/100000,""))</f>
        <v/>
      </c>
      <c r="I568" s="0" t="str">
        <f aca="false">IF(D568="","",IF(D568=CALENDÁRIO!$L$4,ROW(),""))</f>
        <v/>
      </c>
      <c r="J568" s="0" t="str">
        <f aca="false">IF(D568="","",CHOOSE(WEEKDAY(D568),"Domingo","Segunda","Terça","Quarta","Quinta","Sexta","Sábado"))</f>
        <v/>
      </c>
    </row>
    <row r="569" customFormat="false" ht="15" hidden="false" customHeight="false" outlineLevel="0" collapsed="false">
      <c r="A569" s="0" t="str">
        <f aca="false">IF(AND(ISNUMBER(NATAL!$C269),NATAL!$D269="FOLGA"),"Folga Natal","")</f>
        <v/>
      </c>
      <c r="B569" s="0" t="str">
        <f aca="false">IF(AND(ISNUMBER(NATAL!$C269),NATAL!$D269="FOLGA"),NATAL!$A269&amp;"","")</f>
        <v/>
      </c>
      <c r="C569" s="0" t="str">
        <f aca="false">IF(AND(ISNUMBER(NATAL!$C269),NATAL!$D269="FOLGA"),NATAL!$B269&amp;"","")</f>
        <v/>
      </c>
      <c r="D569" s="78" t="str">
        <f aca="false">IF(AND(ISNUMBER(NATAL!$C269),NATAL!$D269="FOLGA"),NATAL!$C269,"")</f>
        <v/>
      </c>
      <c r="E569" s="0" t="str">
        <f aca="false">IF(AND(ISNUMBER(NATAL!$C269),NATAL!$D269="FOLGA"),NATAL!$E269&amp;"","")</f>
        <v/>
      </c>
      <c r="F569" s="0" t="str">
        <f aca="false">IF(AND(ISNUMBER(NATAL!$C269),NATAL!$D269="FOLGA"),NATAL!$F269&amp;"","")</f>
        <v/>
      </c>
      <c r="G569" s="0" t="str">
        <f aca="true">IF(D569="","",IF(D569=TODAY(),D569+ROW()/100000,""))</f>
        <v/>
      </c>
      <c r="H569" s="0" t="str">
        <f aca="true">IF(D569="","",IF(AND(D569&gt;TODAY(),D569&lt;=TODAY()+7),D569+ROW()/100000,""))</f>
        <v/>
      </c>
      <c r="I569" s="0" t="str">
        <f aca="false">IF(D569="","",IF(D569=CALENDÁRIO!$L$4,ROW(),""))</f>
        <v/>
      </c>
      <c r="J569" s="0" t="str">
        <f aca="false">IF(D569="","",CHOOSE(WEEKDAY(D569),"Domingo","Segunda","Terça","Quarta","Quinta","Sexta","Sábado"))</f>
        <v/>
      </c>
    </row>
    <row r="570" customFormat="false" ht="15" hidden="false" customHeight="false" outlineLevel="0" collapsed="false">
      <c r="A570" s="0" t="str">
        <f aca="false">IF(AND(ISNUMBER(NATAL!$C270),NATAL!$D270="FOLGA"),"Folga Natal","")</f>
        <v/>
      </c>
      <c r="B570" s="0" t="str">
        <f aca="false">IF(AND(ISNUMBER(NATAL!$C270),NATAL!$D270="FOLGA"),NATAL!$A270&amp;"","")</f>
        <v/>
      </c>
      <c r="C570" s="0" t="str">
        <f aca="false">IF(AND(ISNUMBER(NATAL!$C270),NATAL!$D270="FOLGA"),NATAL!$B270&amp;"","")</f>
        <v/>
      </c>
      <c r="D570" s="78" t="str">
        <f aca="false">IF(AND(ISNUMBER(NATAL!$C270),NATAL!$D270="FOLGA"),NATAL!$C270,"")</f>
        <v/>
      </c>
      <c r="E570" s="0" t="str">
        <f aca="false">IF(AND(ISNUMBER(NATAL!$C270),NATAL!$D270="FOLGA"),NATAL!$E270&amp;"","")</f>
        <v/>
      </c>
      <c r="F570" s="0" t="str">
        <f aca="false">IF(AND(ISNUMBER(NATAL!$C270),NATAL!$D270="FOLGA"),NATAL!$F270&amp;"","")</f>
        <v/>
      </c>
      <c r="G570" s="0" t="str">
        <f aca="true">IF(D570="","",IF(D570=TODAY(),D570+ROW()/100000,""))</f>
        <v/>
      </c>
      <c r="H570" s="0" t="str">
        <f aca="true">IF(D570="","",IF(AND(D570&gt;TODAY(),D570&lt;=TODAY()+7),D570+ROW()/100000,""))</f>
        <v/>
      </c>
      <c r="I570" s="0" t="str">
        <f aca="false">IF(D570="","",IF(D570=CALENDÁRIO!$L$4,ROW(),""))</f>
        <v/>
      </c>
      <c r="J570" s="0" t="str">
        <f aca="false">IF(D570="","",CHOOSE(WEEKDAY(D570),"Domingo","Segunda","Terça","Quarta","Quinta","Sexta","Sábado"))</f>
        <v/>
      </c>
    </row>
    <row r="571" customFormat="false" ht="15" hidden="false" customHeight="false" outlineLevel="0" collapsed="false">
      <c r="A571" s="0" t="str">
        <f aca="false">IF(AND(ISNUMBER(NATAL!$C271),NATAL!$D271="FOLGA"),"Folga Natal","")</f>
        <v/>
      </c>
      <c r="B571" s="0" t="str">
        <f aca="false">IF(AND(ISNUMBER(NATAL!$C271),NATAL!$D271="FOLGA"),NATAL!$A271&amp;"","")</f>
        <v/>
      </c>
      <c r="C571" s="0" t="str">
        <f aca="false">IF(AND(ISNUMBER(NATAL!$C271),NATAL!$D271="FOLGA"),NATAL!$B271&amp;"","")</f>
        <v/>
      </c>
      <c r="D571" s="78" t="str">
        <f aca="false">IF(AND(ISNUMBER(NATAL!$C271),NATAL!$D271="FOLGA"),NATAL!$C271,"")</f>
        <v/>
      </c>
      <c r="E571" s="0" t="str">
        <f aca="false">IF(AND(ISNUMBER(NATAL!$C271),NATAL!$D271="FOLGA"),NATAL!$E271&amp;"","")</f>
        <v/>
      </c>
      <c r="F571" s="0" t="str">
        <f aca="false">IF(AND(ISNUMBER(NATAL!$C271),NATAL!$D271="FOLGA"),NATAL!$F271&amp;"","")</f>
        <v/>
      </c>
      <c r="G571" s="0" t="str">
        <f aca="true">IF(D571="","",IF(D571=TODAY(),D571+ROW()/100000,""))</f>
        <v/>
      </c>
      <c r="H571" s="0" t="str">
        <f aca="true">IF(D571="","",IF(AND(D571&gt;TODAY(),D571&lt;=TODAY()+7),D571+ROW()/100000,""))</f>
        <v/>
      </c>
      <c r="I571" s="0" t="str">
        <f aca="false">IF(D571="","",IF(D571=CALENDÁRIO!$L$4,ROW(),""))</f>
        <v/>
      </c>
      <c r="J571" s="0" t="str">
        <f aca="false">IF(D571="","",CHOOSE(WEEKDAY(D571),"Domingo","Segunda","Terça","Quarta","Quinta","Sexta","Sábado"))</f>
        <v/>
      </c>
    </row>
    <row r="572" customFormat="false" ht="15" hidden="false" customHeight="false" outlineLevel="0" collapsed="false">
      <c r="A572" s="0" t="str">
        <f aca="false">IF(AND(ISNUMBER(NATAL!$C272),NATAL!$D272="FOLGA"),"Folga Natal","")</f>
        <v/>
      </c>
      <c r="B572" s="0" t="str">
        <f aca="false">IF(AND(ISNUMBER(NATAL!$C272),NATAL!$D272="FOLGA"),NATAL!$A272&amp;"","")</f>
        <v/>
      </c>
      <c r="C572" s="0" t="str">
        <f aca="false">IF(AND(ISNUMBER(NATAL!$C272),NATAL!$D272="FOLGA"),NATAL!$B272&amp;"","")</f>
        <v/>
      </c>
      <c r="D572" s="78" t="str">
        <f aca="false">IF(AND(ISNUMBER(NATAL!$C272),NATAL!$D272="FOLGA"),NATAL!$C272,"")</f>
        <v/>
      </c>
      <c r="E572" s="0" t="str">
        <f aca="false">IF(AND(ISNUMBER(NATAL!$C272),NATAL!$D272="FOLGA"),NATAL!$E272&amp;"","")</f>
        <v/>
      </c>
      <c r="F572" s="0" t="str">
        <f aca="false">IF(AND(ISNUMBER(NATAL!$C272),NATAL!$D272="FOLGA"),NATAL!$F272&amp;"","")</f>
        <v/>
      </c>
      <c r="G572" s="0" t="str">
        <f aca="true">IF(D572="","",IF(D572=TODAY(),D572+ROW()/100000,""))</f>
        <v/>
      </c>
      <c r="H572" s="0" t="str">
        <f aca="true">IF(D572="","",IF(AND(D572&gt;TODAY(),D572&lt;=TODAY()+7),D572+ROW()/100000,""))</f>
        <v/>
      </c>
      <c r="I572" s="0" t="str">
        <f aca="false">IF(D572="","",IF(D572=CALENDÁRIO!$L$4,ROW(),""))</f>
        <v/>
      </c>
      <c r="J572" s="0" t="str">
        <f aca="false">IF(D572="","",CHOOSE(WEEKDAY(D572),"Domingo","Segunda","Terça","Quarta","Quinta","Sexta","Sábado"))</f>
        <v/>
      </c>
    </row>
    <row r="573" customFormat="false" ht="15" hidden="false" customHeight="false" outlineLevel="0" collapsed="false">
      <c r="A573" s="0" t="str">
        <f aca="false">IF(AND(ISNUMBER(NATAL!$C273),NATAL!$D273="FOLGA"),"Folga Natal","")</f>
        <v/>
      </c>
      <c r="B573" s="0" t="str">
        <f aca="false">IF(AND(ISNUMBER(NATAL!$C273),NATAL!$D273="FOLGA"),NATAL!$A273&amp;"","")</f>
        <v/>
      </c>
      <c r="C573" s="0" t="str">
        <f aca="false">IF(AND(ISNUMBER(NATAL!$C273),NATAL!$D273="FOLGA"),NATAL!$B273&amp;"","")</f>
        <v/>
      </c>
      <c r="D573" s="78" t="str">
        <f aca="false">IF(AND(ISNUMBER(NATAL!$C273),NATAL!$D273="FOLGA"),NATAL!$C273,"")</f>
        <v/>
      </c>
      <c r="E573" s="0" t="str">
        <f aca="false">IF(AND(ISNUMBER(NATAL!$C273),NATAL!$D273="FOLGA"),NATAL!$E273&amp;"","")</f>
        <v/>
      </c>
      <c r="F573" s="0" t="str">
        <f aca="false">IF(AND(ISNUMBER(NATAL!$C273),NATAL!$D273="FOLGA"),NATAL!$F273&amp;"","")</f>
        <v/>
      </c>
      <c r="G573" s="0" t="str">
        <f aca="true">IF(D573="","",IF(D573=TODAY(),D573+ROW()/100000,""))</f>
        <v/>
      </c>
      <c r="H573" s="0" t="str">
        <f aca="true">IF(D573="","",IF(AND(D573&gt;TODAY(),D573&lt;=TODAY()+7),D573+ROW()/100000,""))</f>
        <v/>
      </c>
      <c r="I573" s="0" t="str">
        <f aca="false">IF(D573="","",IF(D573=CALENDÁRIO!$L$4,ROW(),""))</f>
        <v/>
      </c>
      <c r="J573" s="0" t="str">
        <f aca="false">IF(D573="","",CHOOSE(WEEKDAY(D573),"Domingo","Segunda","Terça","Quarta","Quinta","Sexta","Sábado"))</f>
        <v/>
      </c>
    </row>
    <row r="574" customFormat="false" ht="15" hidden="false" customHeight="false" outlineLevel="0" collapsed="false">
      <c r="A574" s="0" t="str">
        <f aca="false">IF(AND(ISNUMBER(NATAL!$C274),NATAL!$D274="FOLGA"),"Folga Natal","")</f>
        <v/>
      </c>
      <c r="B574" s="0" t="str">
        <f aca="false">IF(AND(ISNUMBER(NATAL!$C274),NATAL!$D274="FOLGA"),NATAL!$A274&amp;"","")</f>
        <v/>
      </c>
      <c r="C574" s="0" t="str">
        <f aca="false">IF(AND(ISNUMBER(NATAL!$C274),NATAL!$D274="FOLGA"),NATAL!$B274&amp;"","")</f>
        <v/>
      </c>
      <c r="D574" s="78" t="str">
        <f aca="false">IF(AND(ISNUMBER(NATAL!$C274),NATAL!$D274="FOLGA"),NATAL!$C274,"")</f>
        <v/>
      </c>
      <c r="E574" s="0" t="str">
        <f aca="false">IF(AND(ISNUMBER(NATAL!$C274),NATAL!$D274="FOLGA"),NATAL!$E274&amp;"","")</f>
        <v/>
      </c>
      <c r="F574" s="0" t="str">
        <f aca="false">IF(AND(ISNUMBER(NATAL!$C274),NATAL!$D274="FOLGA"),NATAL!$F274&amp;"","")</f>
        <v/>
      </c>
      <c r="G574" s="0" t="str">
        <f aca="true">IF(D574="","",IF(D574=TODAY(),D574+ROW()/100000,""))</f>
        <v/>
      </c>
      <c r="H574" s="0" t="str">
        <f aca="true">IF(D574="","",IF(AND(D574&gt;TODAY(),D574&lt;=TODAY()+7),D574+ROW()/100000,""))</f>
        <v/>
      </c>
      <c r="I574" s="0" t="str">
        <f aca="false">IF(D574="","",IF(D574=CALENDÁRIO!$L$4,ROW(),""))</f>
        <v/>
      </c>
      <c r="J574" s="0" t="str">
        <f aca="false">IF(D574="","",CHOOSE(WEEKDAY(D574),"Domingo","Segunda","Terça","Quarta","Quinta","Sexta","Sábado"))</f>
        <v/>
      </c>
    </row>
    <row r="575" customFormat="false" ht="15" hidden="false" customHeight="false" outlineLevel="0" collapsed="false">
      <c r="A575" s="0" t="str">
        <f aca="false">IF(AND(ISNUMBER(NATAL!$C275),NATAL!$D275="FOLGA"),"Folga Natal","")</f>
        <v/>
      </c>
      <c r="B575" s="0" t="str">
        <f aca="false">IF(AND(ISNUMBER(NATAL!$C275),NATAL!$D275="FOLGA"),NATAL!$A275&amp;"","")</f>
        <v/>
      </c>
      <c r="C575" s="0" t="str">
        <f aca="false">IF(AND(ISNUMBER(NATAL!$C275),NATAL!$D275="FOLGA"),NATAL!$B275&amp;"","")</f>
        <v/>
      </c>
      <c r="D575" s="78" t="str">
        <f aca="false">IF(AND(ISNUMBER(NATAL!$C275),NATAL!$D275="FOLGA"),NATAL!$C275,"")</f>
        <v/>
      </c>
      <c r="E575" s="0" t="str">
        <f aca="false">IF(AND(ISNUMBER(NATAL!$C275),NATAL!$D275="FOLGA"),NATAL!$E275&amp;"","")</f>
        <v/>
      </c>
      <c r="F575" s="0" t="str">
        <f aca="false">IF(AND(ISNUMBER(NATAL!$C275),NATAL!$D275="FOLGA"),NATAL!$F275&amp;"","")</f>
        <v/>
      </c>
      <c r="G575" s="0" t="str">
        <f aca="true">IF(D575="","",IF(D575=TODAY(),D575+ROW()/100000,""))</f>
        <v/>
      </c>
      <c r="H575" s="0" t="str">
        <f aca="true">IF(D575="","",IF(AND(D575&gt;TODAY(),D575&lt;=TODAY()+7),D575+ROW()/100000,""))</f>
        <v/>
      </c>
      <c r="I575" s="0" t="str">
        <f aca="false">IF(D575="","",IF(D575=CALENDÁRIO!$L$4,ROW(),""))</f>
        <v/>
      </c>
      <c r="J575" s="0" t="str">
        <f aca="false">IF(D575="","",CHOOSE(WEEKDAY(D575),"Domingo","Segunda","Terça","Quarta","Quinta","Sexta","Sábado"))</f>
        <v/>
      </c>
    </row>
    <row r="576" customFormat="false" ht="15" hidden="false" customHeight="false" outlineLevel="0" collapsed="false">
      <c r="A576" s="0" t="str">
        <f aca="false">IF(AND(ISNUMBER(NATAL!$C276),NATAL!$D276="FOLGA"),"Folga Natal","")</f>
        <v/>
      </c>
      <c r="B576" s="0" t="str">
        <f aca="false">IF(AND(ISNUMBER(NATAL!$C276),NATAL!$D276="FOLGA"),NATAL!$A276&amp;"","")</f>
        <v/>
      </c>
      <c r="C576" s="0" t="str">
        <f aca="false">IF(AND(ISNUMBER(NATAL!$C276),NATAL!$D276="FOLGA"),NATAL!$B276&amp;"","")</f>
        <v/>
      </c>
      <c r="D576" s="78" t="str">
        <f aca="false">IF(AND(ISNUMBER(NATAL!$C276),NATAL!$D276="FOLGA"),NATAL!$C276,"")</f>
        <v/>
      </c>
      <c r="E576" s="0" t="str">
        <f aca="false">IF(AND(ISNUMBER(NATAL!$C276),NATAL!$D276="FOLGA"),NATAL!$E276&amp;"","")</f>
        <v/>
      </c>
      <c r="F576" s="0" t="str">
        <f aca="false">IF(AND(ISNUMBER(NATAL!$C276),NATAL!$D276="FOLGA"),NATAL!$F276&amp;"","")</f>
        <v/>
      </c>
      <c r="G576" s="0" t="str">
        <f aca="true">IF(D576="","",IF(D576=TODAY(),D576+ROW()/100000,""))</f>
        <v/>
      </c>
      <c r="H576" s="0" t="str">
        <f aca="true">IF(D576="","",IF(AND(D576&gt;TODAY(),D576&lt;=TODAY()+7),D576+ROW()/100000,""))</f>
        <v/>
      </c>
      <c r="I576" s="0" t="str">
        <f aca="false">IF(D576="","",IF(D576=CALENDÁRIO!$L$4,ROW(),""))</f>
        <v/>
      </c>
      <c r="J576" s="0" t="str">
        <f aca="false">IF(D576="","",CHOOSE(WEEKDAY(D576),"Domingo","Segunda","Terça","Quarta","Quinta","Sexta","Sábado"))</f>
        <v/>
      </c>
    </row>
    <row r="577" customFormat="false" ht="15" hidden="false" customHeight="false" outlineLevel="0" collapsed="false">
      <c r="A577" s="0" t="str">
        <f aca="false">IF(AND(ISNUMBER(NATAL!$C277),NATAL!$D277="FOLGA"),"Folga Natal","")</f>
        <v/>
      </c>
      <c r="B577" s="0" t="str">
        <f aca="false">IF(AND(ISNUMBER(NATAL!$C277),NATAL!$D277="FOLGA"),NATAL!$A277&amp;"","")</f>
        <v/>
      </c>
      <c r="C577" s="0" t="str">
        <f aca="false">IF(AND(ISNUMBER(NATAL!$C277),NATAL!$D277="FOLGA"),NATAL!$B277&amp;"","")</f>
        <v/>
      </c>
      <c r="D577" s="78" t="str">
        <f aca="false">IF(AND(ISNUMBER(NATAL!$C277),NATAL!$D277="FOLGA"),NATAL!$C277,"")</f>
        <v/>
      </c>
      <c r="E577" s="0" t="str">
        <f aca="false">IF(AND(ISNUMBER(NATAL!$C277),NATAL!$D277="FOLGA"),NATAL!$E277&amp;"","")</f>
        <v/>
      </c>
      <c r="F577" s="0" t="str">
        <f aca="false">IF(AND(ISNUMBER(NATAL!$C277),NATAL!$D277="FOLGA"),NATAL!$F277&amp;"","")</f>
        <v/>
      </c>
      <c r="G577" s="0" t="str">
        <f aca="true">IF(D577="","",IF(D577=TODAY(),D577+ROW()/100000,""))</f>
        <v/>
      </c>
      <c r="H577" s="0" t="str">
        <f aca="true">IF(D577="","",IF(AND(D577&gt;TODAY(),D577&lt;=TODAY()+7),D577+ROW()/100000,""))</f>
        <v/>
      </c>
      <c r="I577" s="0" t="str">
        <f aca="false">IF(D577="","",IF(D577=CALENDÁRIO!$L$4,ROW(),""))</f>
        <v/>
      </c>
      <c r="J577" s="0" t="str">
        <f aca="false">IF(D577="","",CHOOSE(WEEKDAY(D577),"Domingo","Segunda","Terça","Quarta","Quinta","Sexta","Sábado"))</f>
        <v/>
      </c>
    </row>
    <row r="578" customFormat="false" ht="15" hidden="false" customHeight="false" outlineLevel="0" collapsed="false">
      <c r="A578" s="0" t="str">
        <f aca="false">IF(AND(ISNUMBER(NATAL!$C278),NATAL!$D278="FOLGA"),"Folga Natal","")</f>
        <v/>
      </c>
      <c r="B578" s="0" t="str">
        <f aca="false">IF(AND(ISNUMBER(NATAL!$C278),NATAL!$D278="FOLGA"),NATAL!$A278&amp;"","")</f>
        <v/>
      </c>
      <c r="C578" s="0" t="str">
        <f aca="false">IF(AND(ISNUMBER(NATAL!$C278),NATAL!$D278="FOLGA"),NATAL!$B278&amp;"","")</f>
        <v/>
      </c>
      <c r="D578" s="78" t="str">
        <f aca="false">IF(AND(ISNUMBER(NATAL!$C278),NATAL!$D278="FOLGA"),NATAL!$C278,"")</f>
        <v/>
      </c>
      <c r="E578" s="0" t="str">
        <f aca="false">IF(AND(ISNUMBER(NATAL!$C278),NATAL!$D278="FOLGA"),NATAL!$E278&amp;"","")</f>
        <v/>
      </c>
      <c r="F578" s="0" t="str">
        <f aca="false">IF(AND(ISNUMBER(NATAL!$C278),NATAL!$D278="FOLGA"),NATAL!$F278&amp;"","")</f>
        <v/>
      </c>
      <c r="G578" s="0" t="str">
        <f aca="true">IF(D578="","",IF(D578=TODAY(),D578+ROW()/100000,""))</f>
        <v/>
      </c>
      <c r="H578" s="0" t="str">
        <f aca="true">IF(D578="","",IF(AND(D578&gt;TODAY(),D578&lt;=TODAY()+7),D578+ROW()/100000,""))</f>
        <v/>
      </c>
      <c r="I578" s="0" t="str">
        <f aca="false">IF(D578="","",IF(D578=CALENDÁRIO!$L$4,ROW(),""))</f>
        <v/>
      </c>
      <c r="J578" s="0" t="str">
        <f aca="false">IF(D578="","",CHOOSE(WEEKDAY(D578),"Domingo","Segunda","Terça","Quarta","Quinta","Sexta","Sábado"))</f>
        <v/>
      </c>
    </row>
    <row r="579" customFormat="false" ht="15" hidden="false" customHeight="false" outlineLevel="0" collapsed="false">
      <c r="A579" s="0" t="str">
        <f aca="false">IF(AND(ISNUMBER(NATAL!$C279),NATAL!$D279="FOLGA"),"Folga Natal","")</f>
        <v/>
      </c>
      <c r="B579" s="0" t="str">
        <f aca="false">IF(AND(ISNUMBER(NATAL!$C279),NATAL!$D279="FOLGA"),NATAL!$A279&amp;"","")</f>
        <v/>
      </c>
      <c r="C579" s="0" t="str">
        <f aca="false">IF(AND(ISNUMBER(NATAL!$C279),NATAL!$D279="FOLGA"),NATAL!$B279&amp;"","")</f>
        <v/>
      </c>
      <c r="D579" s="78" t="str">
        <f aca="false">IF(AND(ISNUMBER(NATAL!$C279),NATAL!$D279="FOLGA"),NATAL!$C279,"")</f>
        <v/>
      </c>
      <c r="E579" s="0" t="str">
        <f aca="false">IF(AND(ISNUMBER(NATAL!$C279),NATAL!$D279="FOLGA"),NATAL!$E279&amp;"","")</f>
        <v/>
      </c>
      <c r="F579" s="0" t="str">
        <f aca="false">IF(AND(ISNUMBER(NATAL!$C279),NATAL!$D279="FOLGA"),NATAL!$F279&amp;"","")</f>
        <v/>
      </c>
      <c r="G579" s="0" t="str">
        <f aca="true">IF(D579="","",IF(D579=TODAY(),D579+ROW()/100000,""))</f>
        <v/>
      </c>
      <c r="H579" s="0" t="str">
        <f aca="true">IF(D579="","",IF(AND(D579&gt;TODAY(),D579&lt;=TODAY()+7),D579+ROW()/100000,""))</f>
        <v/>
      </c>
      <c r="I579" s="0" t="str">
        <f aca="false">IF(D579="","",IF(D579=CALENDÁRIO!$L$4,ROW(),""))</f>
        <v/>
      </c>
      <c r="J579" s="0" t="str">
        <f aca="false">IF(D579="","",CHOOSE(WEEKDAY(D579),"Domingo","Segunda","Terça","Quarta","Quinta","Sexta","Sábado"))</f>
        <v/>
      </c>
    </row>
    <row r="580" customFormat="false" ht="15" hidden="false" customHeight="false" outlineLevel="0" collapsed="false">
      <c r="A580" s="0" t="str">
        <f aca="false">IF(AND(ISNUMBER(NATAL!$C280),NATAL!$D280="FOLGA"),"Folga Natal","")</f>
        <v/>
      </c>
      <c r="B580" s="0" t="str">
        <f aca="false">IF(AND(ISNUMBER(NATAL!$C280),NATAL!$D280="FOLGA"),NATAL!$A280&amp;"","")</f>
        <v/>
      </c>
      <c r="C580" s="0" t="str">
        <f aca="false">IF(AND(ISNUMBER(NATAL!$C280),NATAL!$D280="FOLGA"),NATAL!$B280&amp;"","")</f>
        <v/>
      </c>
      <c r="D580" s="78" t="str">
        <f aca="false">IF(AND(ISNUMBER(NATAL!$C280),NATAL!$D280="FOLGA"),NATAL!$C280,"")</f>
        <v/>
      </c>
      <c r="E580" s="0" t="str">
        <f aca="false">IF(AND(ISNUMBER(NATAL!$C280),NATAL!$D280="FOLGA"),NATAL!$E280&amp;"","")</f>
        <v/>
      </c>
      <c r="F580" s="0" t="str">
        <f aca="false">IF(AND(ISNUMBER(NATAL!$C280),NATAL!$D280="FOLGA"),NATAL!$F280&amp;"","")</f>
        <v/>
      </c>
      <c r="G580" s="0" t="str">
        <f aca="true">IF(D580="","",IF(D580=TODAY(),D580+ROW()/100000,""))</f>
        <v/>
      </c>
      <c r="H580" s="0" t="str">
        <f aca="true">IF(D580="","",IF(AND(D580&gt;TODAY(),D580&lt;=TODAY()+7),D580+ROW()/100000,""))</f>
        <v/>
      </c>
      <c r="I580" s="0" t="str">
        <f aca="false">IF(D580="","",IF(D580=CALENDÁRIO!$L$4,ROW(),""))</f>
        <v/>
      </c>
      <c r="J580" s="0" t="str">
        <f aca="false">IF(D580="","",CHOOSE(WEEKDAY(D580),"Domingo","Segunda","Terça","Quarta","Quinta","Sexta","Sábado"))</f>
        <v/>
      </c>
    </row>
    <row r="581" customFormat="false" ht="15" hidden="false" customHeight="false" outlineLevel="0" collapsed="false">
      <c r="A581" s="0" t="str">
        <f aca="false">IF(AND(ISNUMBER(NATAL!$C281),NATAL!$D281="FOLGA"),"Folga Natal","")</f>
        <v/>
      </c>
      <c r="B581" s="0" t="str">
        <f aca="false">IF(AND(ISNUMBER(NATAL!$C281),NATAL!$D281="FOLGA"),NATAL!$A281&amp;"","")</f>
        <v/>
      </c>
      <c r="C581" s="0" t="str">
        <f aca="false">IF(AND(ISNUMBER(NATAL!$C281),NATAL!$D281="FOLGA"),NATAL!$B281&amp;"","")</f>
        <v/>
      </c>
      <c r="D581" s="78" t="str">
        <f aca="false">IF(AND(ISNUMBER(NATAL!$C281),NATAL!$D281="FOLGA"),NATAL!$C281,"")</f>
        <v/>
      </c>
      <c r="E581" s="0" t="str">
        <f aca="false">IF(AND(ISNUMBER(NATAL!$C281),NATAL!$D281="FOLGA"),NATAL!$E281&amp;"","")</f>
        <v/>
      </c>
      <c r="F581" s="0" t="str">
        <f aca="false">IF(AND(ISNUMBER(NATAL!$C281),NATAL!$D281="FOLGA"),NATAL!$F281&amp;"","")</f>
        <v/>
      </c>
      <c r="G581" s="0" t="str">
        <f aca="true">IF(D581="","",IF(D581=TODAY(),D581+ROW()/100000,""))</f>
        <v/>
      </c>
      <c r="H581" s="0" t="str">
        <f aca="true">IF(D581="","",IF(AND(D581&gt;TODAY(),D581&lt;=TODAY()+7),D581+ROW()/100000,""))</f>
        <v/>
      </c>
      <c r="I581" s="0" t="str">
        <f aca="false">IF(D581="","",IF(D581=CALENDÁRIO!$L$4,ROW(),""))</f>
        <v/>
      </c>
      <c r="J581" s="0" t="str">
        <f aca="false">IF(D581="","",CHOOSE(WEEKDAY(D581),"Domingo","Segunda","Terça","Quarta","Quinta","Sexta","Sábado"))</f>
        <v/>
      </c>
    </row>
    <row r="582" customFormat="false" ht="15" hidden="false" customHeight="false" outlineLevel="0" collapsed="false">
      <c r="A582" s="0" t="str">
        <f aca="false">IF(AND(ISNUMBER(NATAL!$C282),NATAL!$D282="FOLGA"),"Folga Natal","")</f>
        <v/>
      </c>
      <c r="B582" s="0" t="str">
        <f aca="false">IF(AND(ISNUMBER(NATAL!$C282),NATAL!$D282="FOLGA"),NATAL!$A282&amp;"","")</f>
        <v/>
      </c>
      <c r="C582" s="0" t="str">
        <f aca="false">IF(AND(ISNUMBER(NATAL!$C282),NATAL!$D282="FOLGA"),NATAL!$B282&amp;"","")</f>
        <v/>
      </c>
      <c r="D582" s="78" t="str">
        <f aca="false">IF(AND(ISNUMBER(NATAL!$C282),NATAL!$D282="FOLGA"),NATAL!$C282,"")</f>
        <v/>
      </c>
      <c r="E582" s="0" t="str">
        <f aca="false">IF(AND(ISNUMBER(NATAL!$C282),NATAL!$D282="FOLGA"),NATAL!$E282&amp;"","")</f>
        <v/>
      </c>
      <c r="F582" s="0" t="str">
        <f aca="false">IF(AND(ISNUMBER(NATAL!$C282),NATAL!$D282="FOLGA"),NATAL!$F282&amp;"","")</f>
        <v/>
      </c>
      <c r="G582" s="0" t="str">
        <f aca="true">IF(D582="","",IF(D582=TODAY(),D582+ROW()/100000,""))</f>
        <v/>
      </c>
      <c r="H582" s="0" t="str">
        <f aca="true">IF(D582="","",IF(AND(D582&gt;TODAY(),D582&lt;=TODAY()+7),D582+ROW()/100000,""))</f>
        <v/>
      </c>
      <c r="I582" s="0" t="str">
        <f aca="false">IF(D582="","",IF(D582=CALENDÁRIO!$L$4,ROW(),""))</f>
        <v/>
      </c>
      <c r="J582" s="0" t="str">
        <f aca="false">IF(D582="","",CHOOSE(WEEKDAY(D582),"Domingo","Segunda","Terça","Quarta","Quinta","Sexta","Sábado"))</f>
        <v/>
      </c>
    </row>
    <row r="583" customFormat="false" ht="15" hidden="false" customHeight="false" outlineLevel="0" collapsed="false">
      <c r="A583" s="0" t="str">
        <f aca="false">IF(AND(ISNUMBER(NATAL!$C283),NATAL!$D283="FOLGA"),"Folga Natal","")</f>
        <v/>
      </c>
      <c r="B583" s="0" t="str">
        <f aca="false">IF(AND(ISNUMBER(NATAL!$C283),NATAL!$D283="FOLGA"),NATAL!$A283&amp;"","")</f>
        <v/>
      </c>
      <c r="C583" s="0" t="str">
        <f aca="false">IF(AND(ISNUMBER(NATAL!$C283),NATAL!$D283="FOLGA"),NATAL!$B283&amp;"","")</f>
        <v/>
      </c>
      <c r="D583" s="78" t="str">
        <f aca="false">IF(AND(ISNUMBER(NATAL!$C283),NATAL!$D283="FOLGA"),NATAL!$C283,"")</f>
        <v/>
      </c>
      <c r="E583" s="0" t="str">
        <f aca="false">IF(AND(ISNUMBER(NATAL!$C283),NATAL!$D283="FOLGA"),NATAL!$E283&amp;"","")</f>
        <v/>
      </c>
      <c r="F583" s="0" t="str">
        <f aca="false">IF(AND(ISNUMBER(NATAL!$C283),NATAL!$D283="FOLGA"),NATAL!$F283&amp;"","")</f>
        <v/>
      </c>
      <c r="G583" s="0" t="str">
        <f aca="true">IF(D583="","",IF(D583=TODAY(),D583+ROW()/100000,""))</f>
        <v/>
      </c>
      <c r="H583" s="0" t="str">
        <f aca="true">IF(D583="","",IF(AND(D583&gt;TODAY(),D583&lt;=TODAY()+7),D583+ROW()/100000,""))</f>
        <v/>
      </c>
      <c r="I583" s="0" t="str">
        <f aca="false">IF(D583="","",IF(D583=CALENDÁRIO!$L$4,ROW(),""))</f>
        <v/>
      </c>
      <c r="J583" s="0" t="str">
        <f aca="false">IF(D583="","",CHOOSE(WEEKDAY(D583),"Domingo","Segunda","Terça","Quarta","Quinta","Sexta","Sábado"))</f>
        <v/>
      </c>
    </row>
    <row r="584" customFormat="false" ht="15" hidden="false" customHeight="false" outlineLevel="0" collapsed="false">
      <c r="A584" s="0" t="str">
        <f aca="false">IF(AND(ISNUMBER(NATAL!$C284),NATAL!$D284="FOLGA"),"Folga Natal","")</f>
        <v/>
      </c>
      <c r="B584" s="0" t="str">
        <f aca="false">IF(AND(ISNUMBER(NATAL!$C284),NATAL!$D284="FOLGA"),NATAL!$A284&amp;"","")</f>
        <v/>
      </c>
      <c r="C584" s="0" t="str">
        <f aca="false">IF(AND(ISNUMBER(NATAL!$C284),NATAL!$D284="FOLGA"),NATAL!$B284&amp;"","")</f>
        <v/>
      </c>
      <c r="D584" s="78" t="str">
        <f aca="false">IF(AND(ISNUMBER(NATAL!$C284),NATAL!$D284="FOLGA"),NATAL!$C284,"")</f>
        <v/>
      </c>
      <c r="E584" s="0" t="str">
        <f aca="false">IF(AND(ISNUMBER(NATAL!$C284),NATAL!$D284="FOLGA"),NATAL!$E284&amp;"","")</f>
        <v/>
      </c>
      <c r="F584" s="0" t="str">
        <f aca="false">IF(AND(ISNUMBER(NATAL!$C284),NATAL!$D284="FOLGA"),NATAL!$F284&amp;"","")</f>
        <v/>
      </c>
      <c r="G584" s="0" t="str">
        <f aca="true">IF(D584="","",IF(D584=TODAY(),D584+ROW()/100000,""))</f>
        <v/>
      </c>
      <c r="H584" s="0" t="str">
        <f aca="true">IF(D584="","",IF(AND(D584&gt;TODAY(),D584&lt;=TODAY()+7),D584+ROW()/100000,""))</f>
        <v/>
      </c>
      <c r="I584" s="0" t="str">
        <f aca="false">IF(D584="","",IF(D584=CALENDÁRIO!$L$4,ROW(),""))</f>
        <v/>
      </c>
      <c r="J584" s="0" t="str">
        <f aca="false">IF(D584="","",CHOOSE(WEEKDAY(D584),"Domingo","Segunda","Terça","Quarta","Quinta","Sexta","Sábado"))</f>
        <v/>
      </c>
    </row>
    <row r="585" customFormat="false" ht="15" hidden="false" customHeight="false" outlineLevel="0" collapsed="false">
      <c r="A585" s="0" t="str">
        <f aca="false">IF(AND(ISNUMBER(NATAL!$C285),NATAL!$D285="FOLGA"),"Folga Natal","")</f>
        <v/>
      </c>
      <c r="B585" s="0" t="str">
        <f aca="false">IF(AND(ISNUMBER(NATAL!$C285),NATAL!$D285="FOLGA"),NATAL!$A285&amp;"","")</f>
        <v/>
      </c>
      <c r="C585" s="0" t="str">
        <f aca="false">IF(AND(ISNUMBER(NATAL!$C285),NATAL!$D285="FOLGA"),NATAL!$B285&amp;"","")</f>
        <v/>
      </c>
      <c r="D585" s="78" t="str">
        <f aca="false">IF(AND(ISNUMBER(NATAL!$C285),NATAL!$D285="FOLGA"),NATAL!$C285,"")</f>
        <v/>
      </c>
      <c r="E585" s="0" t="str">
        <f aca="false">IF(AND(ISNUMBER(NATAL!$C285),NATAL!$D285="FOLGA"),NATAL!$E285&amp;"","")</f>
        <v/>
      </c>
      <c r="F585" s="0" t="str">
        <f aca="false">IF(AND(ISNUMBER(NATAL!$C285),NATAL!$D285="FOLGA"),NATAL!$F285&amp;"","")</f>
        <v/>
      </c>
      <c r="G585" s="0" t="str">
        <f aca="true">IF(D585="","",IF(D585=TODAY(),D585+ROW()/100000,""))</f>
        <v/>
      </c>
      <c r="H585" s="0" t="str">
        <f aca="true">IF(D585="","",IF(AND(D585&gt;TODAY(),D585&lt;=TODAY()+7),D585+ROW()/100000,""))</f>
        <v/>
      </c>
      <c r="I585" s="0" t="str">
        <f aca="false">IF(D585="","",IF(D585=CALENDÁRIO!$L$4,ROW(),""))</f>
        <v/>
      </c>
      <c r="J585" s="0" t="str">
        <f aca="false">IF(D585="","",CHOOSE(WEEKDAY(D585),"Domingo","Segunda","Terça","Quarta","Quinta","Sexta","Sábado"))</f>
        <v/>
      </c>
    </row>
    <row r="586" customFormat="false" ht="15" hidden="false" customHeight="false" outlineLevel="0" collapsed="false">
      <c r="A586" s="0" t="str">
        <f aca="false">IF(AND(ISNUMBER(NATAL!$C286),NATAL!$D286="FOLGA"),"Folga Natal","")</f>
        <v/>
      </c>
      <c r="B586" s="0" t="str">
        <f aca="false">IF(AND(ISNUMBER(NATAL!$C286),NATAL!$D286="FOLGA"),NATAL!$A286&amp;"","")</f>
        <v/>
      </c>
      <c r="C586" s="0" t="str">
        <f aca="false">IF(AND(ISNUMBER(NATAL!$C286),NATAL!$D286="FOLGA"),NATAL!$B286&amp;"","")</f>
        <v/>
      </c>
      <c r="D586" s="78" t="str">
        <f aca="false">IF(AND(ISNUMBER(NATAL!$C286),NATAL!$D286="FOLGA"),NATAL!$C286,"")</f>
        <v/>
      </c>
      <c r="E586" s="0" t="str">
        <f aca="false">IF(AND(ISNUMBER(NATAL!$C286),NATAL!$D286="FOLGA"),NATAL!$E286&amp;"","")</f>
        <v/>
      </c>
      <c r="F586" s="0" t="str">
        <f aca="false">IF(AND(ISNUMBER(NATAL!$C286),NATAL!$D286="FOLGA"),NATAL!$F286&amp;"","")</f>
        <v/>
      </c>
      <c r="G586" s="0" t="str">
        <f aca="true">IF(D586="","",IF(D586=TODAY(),D586+ROW()/100000,""))</f>
        <v/>
      </c>
      <c r="H586" s="0" t="str">
        <f aca="true">IF(D586="","",IF(AND(D586&gt;TODAY(),D586&lt;=TODAY()+7),D586+ROW()/100000,""))</f>
        <v/>
      </c>
      <c r="I586" s="0" t="str">
        <f aca="false">IF(D586="","",IF(D586=CALENDÁRIO!$L$4,ROW(),""))</f>
        <v/>
      </c>
      <c r="J586" s="0" t="str">
        <f aca="false">IF(D586="","",CHOOSE(WEEKDAY(D586),"Domingo","Segunda","Terça","Quarta","Quinta","Sexta","Sábado"))</f>
        <v/>
      </c>
    </row>
    <row r="587" customFormat="false" ht="15" hidden="false" customHeight="false" outlineLevel="0" collapsed="false">
      <c r="A587" s="0" t="str">
        <f aca="false">IF(AND(ISNUMBER(NATAL!$C287),NATAL!$D287="FOLGA"),"Folga Natal","")</f>
        <v/>
      </c>
      <c r="B587" s="0" t="str">
        <f aca="false">IF(AND(ISNUMBER(NATAL!$C287),NATAL!$D287="FOLGA"),NATAL!$A287&amp;"","")</f>
        <v/>
      </c>
      <c r="C587" s="0" t="str">
        <f aca="false">IF(AND(ISNUMBER(NATAL!$C287),NATAL!$D287="FOLGA"),NATAL!$B287&amp;"","")</f>
        <v/>
      </c>
      <c r="D587" s="78" t="str">
        <f aca="false">IF(AND(ISNUMBER(NATAL!$C287),NATAL!$D287="FOLGA"),NATAL!$C287,"")</f>
        <v/>
      </c>
      <c r="E587" s="0" t="str">
        <f aca="false">IF(AND(ISNUMBER(NATAL!$C287),NATAL!$D287="FOLGA"),NATAL!$E287&amp;"","")</f>
        <v/>
      </c>
      <c r="F587" s="0" t="str">
        <f aca="false">IF(AND(ISNUMBER(NATAL!$C287),NATAL!$D287="FOLGA"),NATAL!$F287&amp;"","")</f>
        <v/>
      </c>
      <c r="G587" s="0" t="str">
        <f aca="true">IF(D587="","",IF(D587=TODAY(),D587+ROW()/100000,""))</f>
        <v/>
      </c>
      <c r="H587" s="0" t="str">
        <f aca="true">IF(D587="","",IF(AND(D587&gt;TODAY(),D587&lt;=TODAY()+7),D587+ROW()/100000,""))</f>
        <v/>
      </c>
      <c r="I587" s="0" t="str">
        <f aca="false">IF(D587="","",IF(D587=CALENDÁRIO!$L$4,ROW(),""))</f>
        <v/>
      </c>
      <c r="J587" s="0" t="str">
        <f aca="false">IF(D587="","",CHOOSE(WEEKDAY(D587),"Domingo","Segunda","Terça","Quarta","Quinta","Sexta","Sábado"))</f>
        <v/>
      </c>
    </row>
    <row r="588" customFormat="false" ht="15" hidden="false" customHeight="false" outlineLevel="0" collapsed="false">
      <c r="A588" s="0" t="str">
        <f aca="false">IF(AND(ISNUMBER(NATAL!$C288),NATAL!$D288="FOLGA"),"Folga Natal","")</f>
        <v/>
      </c>
      <c r="B588" s="0" t="str">
        <f aca="false">IF(AND(ISNUMBER(NATAL!$C288),NATAL!$D288="FOLGA"),NATAL!$A288&amp;"","")</f>
        <v/>
      </c>
      <c r="C588" s="0" t="str">
        <f aca="false">IF(AND(ISNUMBER(NATAL!$C288),NATAL!$D288="FOLGA"),NATAL!$B288&amp;"","")</f>
        <v/>
      </c>
      <c r="D588" s="78" t="str">
        <f aca="false">IF(AND(ISNUMBER(NATAL!$C288),NATAL!$D288="FOLGA"),NATAL!$C288,"")</f>
        <v/>
      </c>
      <c r="E588" s="0" t="str">
        <f aca="false">IF(AND(ISNUMBER(NATAL!$C288),NATAL!$D288="FOLGA"),NATAL!$E288&amp;"","")</f>
        <v/>
      </c>
      <c r="F588" s="0" t="str">
        <f aca="false">IF(AND(ISNUMBER(NATAL!$C288),NATAL!$D288="FOLGA"),NATAL!$F288&amp;"","")</f>
        <v/>
      </c>
      <c r="G588" s="0" t="str">
        <f aca="true">IF(D588="","",IF(D588=TODAY(),D588+ROW()/100000,""))</f>
        <v/>
      </c>
      <c r="H588" s="0" t="str">
        <f aca="true">IF(D588="","",IF(AND(D588&gt;TODAY(),D588&lt;=TODAY()+7),D588+ROW()/100000,""))</f>
        <v/>
      </c>
      <c r="I588" s="0" t="str">
        <f aca="false">IF(D588="","",IF(D588=CALENDÁRIO!$L$4,ROW(),""))</f>
        <v/>
      </c>
      <c r="J588" s="0" t="str">
        <f aca="false">IF(D588="","",CHOOSE(WEEKDAY(D588),"Domingo","Segunda","Terça","Quarta","Quinta","Sexta","Sábado"))</f>
        <v/>
      </c>
    </row>
    <row r="589" customFormat="false" ht="15" hidden="false" customHeight="false" outlineLevel="0" collapsed="false">
      <c r="A589" s="0" t="str">
        <f aca="false">IF(AND(ISNUMBER(NATAL!$C289),NATAL!$D289="FOLGA"),"Folga Natal","")</f>
        <v/>
      </c>
      <c r="B589" s="0" t="str">
        <f aca="false">IF(AND(ISNUMBER(NATAL!$C289),NATAL!$D289="FOLGA"),NATAL!$A289&amp;"","")</f>
        <v/>
      </c>
      <c r="C589" s="0" t="str">
        <f aca="false">IF(AND(ISNUMBER(NATAL!$C289),NATAL!$D289="FOLGA"),NATAL!$B289&amp;"","")</f>
        <v/>
      </c>
      <c r="D589" s="78" t="str">
        <f aca="false">IF(AND(ISNUMBER(NATAL!$C289),NATAL!$D289="FOLGA"),NATAL!$C289,"")</f>
        <v/>
      </c>
      <c r="E589" s="0" t="str">
        <f aca="false">IF(AND(ISNUMBER(NATAL!$C289),NATAL!$D289="FOLGA"),NATAL!$E289&amp;"","")</f>
        <v/>
      </c>
      <c r="F589" s="0" t="str">
        <f aca="false">IF(AND(ISNUMBER(NATAL!$C289),NATAL!$D289="FOLGA"),NATAL!$F289&amp;"","")</f>
        <v/>
      </c>
      <c r="G589" s="0" t="str">
        <f aca="true">IF(D589="","",IF(D589=TODAY(),D589+ROW()/100000,""))</f>
        <v/>
      </c>
      <c r="H589" s="0" t="str">
        <f aca="true">IF(D589="","",IF(AND(D589&gt;TODAY(),D589&lt;=TODAY()+7),D589+ROW()/100000,""))</f>
        <v/>
      </c>
      <c r="I589" s="0" t="str">
        <f aca="false">IF(D589="","",IF(D589=CALENDÁRIO!$L$4,ROW(),""))</f>
        <v/>
      </c>
      <c r="J589" s="0" t="str">
        <f aca="false">IF(D589="","",CHOOSE(WEEKDAY(D589),"Domingo","Segunda","Terça","Quarta","Quinta","Sexta","Sábado"))</f>
        <v/>
      </c>
    </row>
    <row r="590" customFormat="false" ht="15" hidden="false" customHeight="false" outlineLevel="0" collapsed="false">
      <c r="A590" s="0" t="str">
        <f aca="false">IF(AND(ISNUMBER(NATAL!$C290),NATAL!$D290="FOLGA"),"Folga Natal","")</f>
        <v/>
      </c>
      <c r="B590" s="0" t="str">
        <f aca="false">IF(AND(ISNUMBER(NATAL!$C290),NATAL!$D290="FOLGA"),NATAL!$A290&amp;"","")</f>
        <v/>
      </c>
      <c r="C590" s="0" t="str">
        <f aca="false">IF(AND(ISNUMBER(NATAL!$C290),NATAL!$D290="FOLGA"),NATAL!$B290&amp;"","")</f>
        <v/>
      </c>
      <c r="D590" s="78" t="str">
        <f aca="false">IF(AND(ISNUMBER(NATAL!$C290),NATAL!$D290="FOLGA"),NATAL!$C290,"")</f>
        <v/>
      </c>
      <c r="E590" s="0" t="str">
        <f aca="false">IF(AND(ISNUMBER(NATAL!$C290),NATAL!$D290="FOLGA"),NATAL!$E290&amp;"","")</f>
        <v/>
      </c>
      <c r="F590" s="0" t="str">
        <f aca="false">IF(AND(ISNUMBER(NATAL!$C290),NATAL!$D290="FOLGA"),NATAL!$F290&amp;"","")</f>
        <v/>
      </c>
      <c r="G590" s="0" t="str">
        <f aca="true">IF(D590="","",IF(D590=TODAY(),D590+ROW()/100000,""))</f>
        <v/>
      </c>
      <c r="H590" s="0" t="str">
        <f aca="true">IF(D590="","",IF(AND(D590&gt;TODAY(),D590&lt;=TODAY()+7),D590+ROW()/100000,""))</f>
        <v/>
      </c>
      <c r="I590" s="0" t="str">
        <f aca="false">IF(D590="","",IF(D590=CALENDÁRIO!$L$4,ROW(),""))</f>
        <v/>
      </c>
      <c r="J590" s="0" t="str">
        <f aca="false">IF(D590="","",CHOOSE(WEEKDAY(D590),"Domingo","Segunda","Terça","Quarta","Quinta","Sexta","Sábado"))</f>
        <v/>
      </c>
    </row>
    <row r="591" customFormat="false" ht="15" hidden="false" customHeight="false" outlineLevel="0" collapsed="false">
      <c r="A591" s="0" t="str">
        <f aca="false">IF(AND(ISNUMBER(NATAL!$C291),NATAL!$D291="FOLGA"),"Folga Natal","")</f>
        <v/>
      </c>
      <c r="B591" s="0" t="str">
        <f aca="false">IF(AND(ISNUMBER(NATAL!$C291),NATAL!$D291="FOLGA"),NATAL!$A291&amp;"","")</f>
        <v/>
      </c>
      <c r="C591" s="0" t="str">
        <f aca="false">IF(AND(ISNUMBER(NATAL!$C291),NATAL!$D291="FOLGA"),NATAL!$B291&amp;"","")</f>
        <v/>
      </c>
      <c r="D591" s="78" t="str">
        <f aca="false">IF(AND(ISNUMBER(NATAL!$C291),NATAL!$D291="FOLGA"),NATAL!$C291,"")</f>
        <v/>
      </c>
      <c r="E591" s="0" t="str">
        <f aca="false">IF(AND(ISNUMBER(NATAL!$C291),NATAL!$D291="FOLGA"),NATAL!$E291&amp;"","")</f>
        <v/>
      </c>
      <c r="F591" s="0" t="str">
        <f aca="false">IF(AND(ISNUMBER(NATAL!$C291),NATAL!$D291="FOLGA"),NATAL!$F291&amp;"","")</f>
        <v/>
      </c>
      <c r="G591" s="0" t="str">
        <f aca="true">IF(D591="","",IF(D591=TODAY(),D591+ROW()/100000,""))</f>
        <v/>
      </c>
      <c r="H591" s="0" t="str">
        <f aca="true">IF(D591="","",IF(AND(D591&gt;TODAY(),D591&lt;=TODAY()+7),D591+ROW()/100000,""))</f>
        <v/>
      </c>
      <c r="I591" s="0" t="str">
        <f aca="false">IF(D591="","",IF(D591=CALENDÁRIO!$L$4,ROW(),""))</f>
        <v/>
      </c>
      <c r="J591" s="0" t="str">
        <f aca="false">IF(D591="","",CHOOSE(WEEKDAY(D591),"Domingo","Segunda","Terça","Quarta","Quinta","Sexta","Sábado"))</f>
        <v/>
      </c>
    </row>
    <row r="592" customFormat="false" ht="15" hidden="false" customHeight="false" outlineLevel="0" collapsed="false">
      <c r="A592" s="0" t="str">
        <f aca="false">IF(AND(ISNUMBER(NATAL!$C292),NATAL!$D292="FOLGA"),"Folga Natal","")</f>
        <v/>
      </c>
      <c r="B592" s="0" t="str">
        <f aca="false">IF(AND(ISNUMBER(NATAL!$C292),NATAL!$D292="FOLGA"),NATAL!$A292&amp;"","")</f>
        <v/>
      </c>
      <c r="C592" s="0" t="str">
        <f aca="false">IF(AND(ISNUMBER(NATAL!$C292),NATAL!$D292="FOLGA"),NATAL!$B292&amp;"","")</f>
        <v/>
      </c>
      <c r="D592" s="78" t="str">
        <f aca="false">IF(AND(ISNUMBER(NATAL!$C292),NATAL!$D292="FOLGA"),NATAL!$C292,"")</f>
        <v/>
      </c>
      <c r="E592" s="0" t="str">
        <f aca="false">IF(AND(ISNUMBER(NATAL!$C292),NATAL!$D292="FOLGA"),NATAL!$E292&amp;"","")</f>
        <v/>
      </c>
      <c r="F592" s="0" t="str">
        <f aca="false">IF(AND(ISNUMBER(NATAL!$C292),NATAL!$D292="FOLGA"),NATAL!$F292&amp;"","")</f>
        <v/>
      </c>
      <c r="G592" s="0" t="str">
        <f aca="true">IF(D592="","",IF(D592=TODAY(),D592+ROW()/100000,""))</f>
        <v/>
      </c>
      <c r="H592" s="0" t="str">
        <f aca="true">IF(D592="","",IF(AND(D592&gt;TODAY(),D592&lt;=TODAY()+7),D592+ROW()/100000,""))</f>
        <v/>
      </c>
      <c r="I592" s="0" t="str">
        <f aca="false">IF(D592="","",IF(D592=CALENDÁRIO!$L$4,ROW(),""))</f>
        <v/>
      </c>
      <c r="J592" s="0" t="str">
        <f aca="false">IF(D592="","",CHOOSE(WEEKDAY(D592),"Domingo","Segunda","Terça","Quarta","Quinta","Sexta","Sábado"))</f>
        <v/>
      </c>
    </row>
    <row r="593" customFormat="false" ht="15" hidden="false" customHeight="false" outlineLevel="0" collapsed="false">
      <c r="A593" s="0" t="str">
        <f aca="false">IF(AND(ISNUMBER(NATAL!$C293),NATAL!$D293="FOLGA"),"Folga Natal","")</f>
        <v/>
      </c>
      <c r="B593" s="0" t="str">
        <f aca="false">IF(AND(ISNUMBER(NATAL!$C293),NATAL!$D293="FOLGA"),NATAL!$A293&amp;"","")</f>
        <v/>
      </c>
      <c r="C593" s="0" t="str">
        <f aca="false">IF(AND(ISNUMBER(NATAL!$C293),NATAL!$D293="FOLGA"),NATAL!$B293&amp;"","")</f>
        <v/>
      </c>
      <c r="D593" s="78" t="str">
        <f aca="false">IF(AND(ISNUMBER(NATAL!$C293),NATAL!$D293="FOLGA"),NATAL!$C293,"")</f>
        <v/>
      </c>
      <c r="E593" s="0" t="str">
        <f aca="false">IF(AND(ISNUMBER(NATAL!$C293),NATAL!$D293="FOLGA"),NATAL!$E293&amp;"","")</f>
        <v/>
      </c>
      <c r="F593" s="0" t="str">
        <f aca="false">IF(AND(ISNUMBER(NATAL!$C293),NATAL!$D293="FOLGA"),NATAL!$F293&amp;"","")</f>
        <v/>
      </c>
      <c r="G593" s="0" t="str">
        <f aca="true">IF(D593="","",IF(D593=TODAY(),D593+ROW()/100000,""))</f>
        <v/>
      </c>
      <c r="H593" s="0" t="str">
        <f aca="true">IF(D593="","",IF(AND(D593&gt;TODAY(),D593&lt;=TODAY()+7),D593+ROW()/100000,""))</f>
        <v/>
      </c>
      <c r="I593" s="0" t="str">
        <f aca="false">IF(D593="","",IF(D593=CALENDÁRIO!$L$4,ROW(),""))</f>
        <v/>
      </c>
      <c r="J593" s="0" t="str">
        <f aca="false">IF(D593="","",CHOOSE(WEEKDAY(D593),"Domingo","Segunda","Terça","Quarta","Quinta","Sexta","Sábado"))</f>
        <v/>
      </c>
    </row>
    <row r="594" customFormat="false" ht="15" hidden="false" customHeight="false" outlineLevel="0" collapsed="false">
      <c r="A594" s="0" t="str">
        <f aca="false">IF(AND(ISNUMBER(NATAL!$C294),NATAL!$D294="FOLGA"),"Folga Natal","")</f>
        <v/>
      </c>
      <c r="B594" s="0" t="str">
        <f aca="false">IF(AND(ISNUMBER(NATAL!$C294),NATAL!$D294="FOLGA"),NATAL!$A294&amp;"","")</f>
        <v/>
      </c>
      <c r="C594" s="0" t="str">
        <f aca="false">IF(AND(ISNUMBER(NATAL!$C294),NATAL!$D294="FOLGA"),NATAL!$B294&amp;"","")</f>
        <v/>
      </c>
      <c r="D594" s="78" t="str">
        <f aca="false">IF(AND(ISNUMBER(NATAL!$C294),NATAL!$D294="FOLGA"),NATAL!$C294,"")</f>
        <v/>
      </c>
      <c r="E594" s="0" t="str">
        <f aca="false">IF(AND(ISNUMBER(NATAL!$C294),NATAL!$D294="FOLGA"),NATAL!$E294&amp;"","")</f>
        <v/>
      </c>
      <c r="F594" s="0" t="str">
        <f aca="false">IF(AND(ISNUMBER(NATAL!$C294),NATAL!$D294="FOLGA"),NATAL!$F294&amp;"","")</f>
        <v/>
      </c>
      <c r="G594" s="0" t="str">
        <f aca="true">IF(D594="","",IF(D594=TODAY(),D594+ROW()/100000,""))</f>
        <v/>
      </c>
      <c r="H594" s="0" t="str">
        <f aca="true">IF(D594="","",IF(AND(D594&gt;TODAY(),D594&lt;=TODAY()+7),D594+ROW()/100000,""))</f>
        <v/>
      </c>
      <c r="I594" s="0" t="str">
        <f aca="false">IF(D594="","",IF(D594=CALENDÁRIO!$L$4,ROW(),""))</f>
        <v/>
      </c>
      <c r="J594" s="0" t="str">
        <f aca="false">IF(D594="","",CHOOSE(WEEKDAY(D594),"Domingo","Segunda","Terça","Quarta","Quinta","Sexta","Sábado"))</f>
        <v/>
      </c>
    </row>
    <row r="595" customFormat="false" ht="15" hidden="false" customHeight="false" outlineLevel="0" collapsed="false">
      <c r="A595" s="0" t="str">
        <f aca="false">IF(AND(ISNUMBER(NATAL!$C295),NATAL!$D295="FOLGA"),"Folga Natal","")</f>
        <v/>
      </c>
      <c r="B595" s="0" t="str">
        <f aca="false">IF(AND(ISNUMBER(NATAL!$C295),NATAL!$D295="FOLGA"),NATAL!$A295&amp;"","")</f>
        <v/>
      </c>
      <c r="C595" s="0" t="str">
        <f aca="false">IF(AND(ISNUMBER(NATAL!$C295),NATAL!$D295="FOLGA"),NATAL!$B295&amp;"","")</f>
        <v/>
      </c>
      <c r="D595" s="78" t="str">
        <f aca="false">IF(AND(ISNUMBER(NATAL!$C295),NATAL!$D295="FOLGA"),NATAL!$C295,"")</f>
        <v/>
      </c>
      <c r="E595" s="0" t="str">
        <f aca="false">IF(AND(ISNUMBER(NATAL!$C295),NATAL!$D295="FOLGA"),NATAL!$E295&amp;"","")</f>
        <v/>
      </c>
      <c r="F595" s="0" t="str">
        <f aca="false">IF(AND(ISNUMBER(NATAL!$C295),NATAL!$D295="FOLGA"),NATAL!$F295&amp;"","")</f>
        <v/>
      </c>
      <c r="G595" s="0" t="str">
        <f aca="true">IF(D595="","",IF(D595=TODAY(),D595+ROW()/100000,""))</f>
        <v/>
      </c>
      <c r="H595" s="0" t="str">
        <f aca="true">IF(D595="","",IF(AND(D595&gt;TODAY(),D595&lt;=TODAY()+7),D595+ROW()/100000,""))</f>
        <v/>
      </c>
      <c r="I595" s="0" t="str">
        <f aca="false">IF(D595="","",IF(D595=CALENDÁRIO!$L$4,ROW(),""))</f>
        <v/>
      </c>
      <c r="J595" s="0" t="str">
        <f aca="false">IF(D595="","",CHOOSE(WEEKDAY(D595),"Domingo","Segunda","Terça","Quarta","Quinta","Sexta","Sábado"))</f>
        <v/>
      </c>
    </row>
    <row r="596" customFormat="false" ht="15" hidden="false" customHeight="false" outlineLevel="0" collapsed="false">
      <c r="A596" s="0" t="str">
        <f aca="false">IF(AND(ISNUMBER(NATAL!$C296),NATAL!$D296="FOLGA"),"Folga Natal","")</f>
        <v/>
      </c>
      <c r="B596" s="0" t="str">
        <f aca="false">IF(AND(ISNUMBER(NATAL!$C296),NATAL!$D296="FOLGA"),NATAL!$A296&amp;"","")</f>
        <v/>
      </c>
      <c r="C596" s="0" t="str">
        <f aca="false">IF(AND(ISNUMBER(NATAL!$C296),NATAL!$D296="FOLGA"),NATAL!$B296&amp;"","")</f>
        <v/>
      </c>
      <c r="D596" s="78" t="str">
        <f aca="false">IF(AND(ISNUMBER(NATAL!$C296),NATAL!$D296="FOLGA"),NATAL!$C296,"")</f>
        <v/>
      </c>
      <c r="E596" s="0" t="str">
        <f aca="false">IF(AND(ISNUMBER(NATAL!$C296),NATAL!$D296="FOLGA"),NATAL!$E296&amp;"","")</f>
        <v/>
      </c>
      <c r="F596" s="0" t="str">
        <f aca="false">IF(AND(ISNUMBER(NATAL!$C296),NATAL!$D296="FOLGA"),NATAL!$F296&amp;"","")</f>
        <v/>
      </c>
      <c r="G596" s="0" t="str">
        <f aca="true">IF(D596="","",IF(D596=TODAY(),D596+ROW()/100000,""))</f>
        <v/>
      </c>
      <c r="H596" s="0" t="str">
        <f aca="true">IF(D596="","",IF(AND(D596&gt;TODAY(),D596&lt;=TODAY()+7),D596+ROW()/100000,""))</f>
        <v/>
      </c>
      <c r="I596" s="0" t="str">
        <f aca="false">IF(D596="","",IF(D596=CALENDÁRIO!$L$4,ROW(),""))</f>
        <v/>
      </c>
      <c r="J596" s="0" t="str">
        <f aca="false">IF(D596="","",CHOOSE(WEEKDAY(D596),"Domingo","Segunda","Terça","Quarta","Quinta","Sexta","Sábado"))</f>
        <v/>
      </c>
    </row>
    <row r="597" customFormat="false" ht="15" hidden="false" customHeight="false" outlineLevel="0" collapsed="false">
      <c r="A597" s="0" t="str">
        <f aca="false">IF(AND(ISNUMBER(NATAL!$C297),NATAL!$D297="FOLGA"),"Folga Natal","")</f>
        <v/>
      </c>
      <c r="B597" s="0" t="str">
        <f aca="false">IF(AND(ISNUMBER(NATAL!$C297),NATAL!$D297="FOLGA"),NATAL!$A297&amp;"","")</f>
        <v/>
      </c>
      <c r="C597" s="0" t="str">
        <f aca="false">IF(AND(ISNUMBER(NATAL!$C297),NATAL!$D297="FOLGA"),NATAL!$B297&amp;"","")</f>
        <v/>
      </c>
      <c r="D597" s="78" t="str">
        <f aca="false">IF(AND(ISNUMBER(NATAL!$C297),NATAL!$D297="FOLGA"),NATAL!$C297,"")</f>
        <v/>
      </c>
      <c r="E597" s="0" t="str">
        <f aca="false">IF(AND(ISNUMBER(NATAL!$C297),NATAL!$D297="FOLGA"),NATAL!$E297&amp;"","")</f>
        <v/>
      </c>
      <c r="F597" s="0" t="str">
        <f aca="false">IF(AND(ISNUMBER(NATAL!$C297),NATAL!$D297="FOLGA"),NATAL!$F297&amp;"","")</f>
        <v/>
      </c>
      <c r="G597" s="0" t="str">
        <f aca="true">IF(D597="","",IF(D597=TODAY(),D597+ROW()/100000,""))</f>
        <v/>
      </c>
      <c r="H597" s="0" t="str">
        <f aca="true">IF(D597="","",IF(AND(D597&gt;TODAY(),D597&lt;=TODAY()+7),D597+ROW()/100000,""))</f>
        <v/>
      </c>
      <c r="I597" s="0" t="str">
        <f aca="false">IF(D597="","",IF(D597=CALENDÁRIO!$L$4,ROW(),""))</f>
        <v/>
      </c>
      <c r="J597" s="0" t="str">
        <f aca="false">IF(D597="","",CHOOSE(WEEKDAY(D597),"Domingo","Segunda","Terça","Quarta","Quinta","Sexta","Sábado"))</f>
        <v/>
      </c>
    </row>
    <row r="598" customFormat="false" ht="15" hidden="false" customHeight="false" outlineLevel="0" collapsed="false">
      <c r="A598" s="0" t="str">
        <f aca="false">IF(AND(ISNUMBER(NATAL!$C298),NATAL!$D298="FOLGA"),"Folga Natal","")</f>
        <v/>
      </c>
      <c r="B598" s="0" t="str">
        <f aca="false">IF(AND(ISNUMBER(NATAL!$C298),NATAL!$D298="FOLGA"),NATAL!$A298&amp;"","")</f>
        <v/>
      </c>
      <c r="C598" s="0" t="str">
        <f aca="false">IF(AND(ISNUMBER(NATAL!$C298),NATAL!$D298="FOLGA"),NATAL!$B298&amp;"","")</f>
        <v/>
      </c>
      <c r="D598" s="78" t="str">
        <f aca="false">IF(AND(ISNUMBER(NATAL!$C298),NATAL!$D298="FOLGA"),NATAL!$C298,"")</f>
        <v/>
      </c>
      <c r="E598" s="0" t="str">
        <f aca="false">IF(AND(ISNUMBER(NATAL!$C298),NATAL!$D298="FOLGA"),NATAL!$E298&amp;"","")</f>
        <v/>
      </c>
      <c r="F598" s="0" t="str">
        <f aca="false">IF(AND(ISNUMBER(NATAL!$C298),NATAL!$D298="FOLGA"),NATAL!$F298&amp;"","")</f>
        <v/>
      </c>
      <c r="G598" s="0" t="str">
        <f aca="true">IF(D598="","",IF(D598=TODAY(),D598+ROW()/100000,""))</f>
        <v/>
      </c>
      <c r="H598" s="0" t="str">
        <f aca="true">IF(D598="","",IF(AND(D598&gt;TODAY(),D598&lt;=TODAY()+7),D598+ROW()/100000,""))</f>
        <v/>
      </c>
      <c r="I598" s="0" t="str">
        <f aca="false">IF(D598="","",IF(D598=CALENDÁRIO!$L$4,ROW(),""))</f>
        <v/>
      </c>
      <c r="J598" s="0" t="str">
        <f aca="false">IF(D598="","",CHOOSE(WEEKDAY(D598),"Domingo","Segunda","Terça","Quarta","Quinta","Sexta","Sábado"))</f>
        <v/>
      </c>
    </row>
    <row r="599" customFormat="false" ht="15" hidden="false" customHeight="false" outlineLevel="0" collapsed="false">
      <c r="A599" s="0" t="str">
        <f aca="false">IF(AND(ISNUMBER(NATAL!$C299),NATAL!$D299="FOLGA"),"Folga Natal","")</f>
        <v/>
      </c>
      <c r="B599" s="0" t="str">
        <f aca="false">IF(AND(ISNUMBER(NATAL!$C299),NATAL!$D299="FOLGA"),NATAL!$A299&amp;"","")</f>
        <v/>
      </c>
      <c r="C599" s="0" t="str">
        <f aca="false">IF(AND(ISNUMBER(NATAL!$C299),NATAL!$D299="FOLGA"),NATAL!$B299&amp;"","")</f>
        <v/>
      </c>
      <c r="D599" s="78" t="str">
        <f aca="false">IF(AND(ISNUMBER(NATAL!$C299),NATAL!$D299="FOLGA"),NATAL!$C299,"")</f>
        <v/>
      </c>
      <c r="E599" s="0" t="str">
        <f aca="false">IF(AND(ISNUMBER(NATAL!$C299),NATAL!$D299="FOLGA"),NATAL!$E299&amp;"","")</f>
        <v/>
      </c>
      <c r="F599" s="0" t="str">
        <f aca="false">IF(AND(ISNUMBER(NATAL!$C299),NATAL!$D299="FOLGA"),NATAL!$F299&amp;"","")</f>
        <v/>
      </c>
      <c r="G599" s="0" t="str">
        <f aca="true">IF(D599="","",IF(D599=TODAY(),D599+ROW()/100000,""))</f>
        <v/>
      </c>
      <c r="H599" s="0" t="str">
        <f aca="true">IF(D599="","",IF(AND(D599&gt;TODAY(),D599&lt;=TODAY()+7),D599+ROW()/100000,""))</f>
        <v/>
      </c>
      <c r="I599" s="0" t="str">
        <f aca="false">IF(D599="","",IF(D599=CALENDÁRIO!$L$4,ROW(),""))</f>
        <v/>
      </c>
      <c r="J599" s="0" t="str">
        <f aca="false">IF(D599="","",CHOOSE(WEEKDAY(D599),"Domingo","Segunda","Terça","Quarta","Quinta","Sexta","Sábado"))</f>
        <v/>
      </c>
    </row>
    <row r="600" customFormat="false" ht="15" hidden="false" customHeight="false" outlineLevel="0" collapsed="false">
      <c r="A600" s="0" t="str">
        <f aca="false">IF(AND(ISNUMBER(NATAL!$C300),NATAL!$D300="FOLGA"),"Folga Natal","")</f>
        <v/>
      </c>
      <c r="B600" s="0" t="str">
        <f aca="false">IF(AND(ISNUMBER(NATAL!$C300),NATAL!$D300="FOLGA"),NATAL!$A300&amp;"","")</f>
        <v/>
      </c>
      <c r="C600" s="0" t="str">
        <f aca="false">IF(AND(ISNUMBER(NATAL!$C300),NATAL!$D300="FOLGA"),NATAL!$B300&amp;"","")</f>
        <v/>
      </c>
      <c r="D600" s="78" t="str">
        <f aca="false">IF(AND(ISNUMBER(NATAL!$C300),NATAL!$D300="FOLGA"),NATAL!$C300,"")</f>
        <v/>
      </c>
      <c r="E600" s="0" t="str">
        <f aca="false">IF(AND(ISNUMBER(NATAL!$C300),NATAL!$D300="FOLGA"),NATAL!$E300&amp;"","")</f>
        <v/>
      </c>
      <c r="F600" s="0" t="str">
        <f aca="false">IF(AND(ISNUMBER(NATAL!$C300),NATAL!$D300="FOLGA"),NATAL!$F300&amp;"","")</f>
        <v/>
      </c>
      <c r="G600" s="0" t="str">
        <f aca="true">IF(D600="","",IF(D600=TODAY(),D600+ROW()/100000,""))</f>
        <v/>
      </c>
      <c r="H600" s="0" t="str">
        <f aca="true">IF(D600="","",IF(AND(D600&gt;TODAY(),D600&lt;=TODAY()+7),D600+ROW()/100000,""))</f>
        <v/>
      </c>
      <c r="I600" s="0" t="str">
        <f aca="false">IF(D600="","",IF(D600=CALENDÁRIO!$L$4,ROW(),""))</f>
        <v/>
      </c>
      <c r="J600" s="0" t="str">
        <f aca="false">IF(D600="","",CHOOSE(WEEKDAY(D600),"Domingo","Segunda","Terça","Quarta","Quinta","Sexta","Sábado"))</f>
        <v/>
      </c>
    </row>
    <row r="601" customFormat="false" ht="15" hidden="false" customHeight="false" outlineLevel="0" collapsed="false">
      <c r="A601" s="0" t="str">
        <f aca="false">IF(AND(ISNUMBER(NATAL!$C301),NATAL!$D301="FOLGA"),"Folga Natal","")</f>
        <v/>
      </c>
      <c r="B601" s="0" t="str">
        <f aca="false">IF(AND(ISNUMBER(NATAL!$C301),NATAL!$D301="FOLGA"),NATAL!$A301&amp;"","")</f>
        <v/>
      </c>
      <c r="C601" s="0" t="str">
        <f aca="false">IF(AND(ISNUMBER(NATAL!$C301),NATAL!$D301="FOLGA"),NATAL!$B301&amp;"","")</f>
        <v/>
      </c>
      <c r="D601" s="78" t="str">
        <f aca="false">IF(AND(ISNUMBER(NATAL!$C301),NATAL!$D301="FOLGA"),NATAL!$C301,"")</f>
        <v/>
      </c>
      <c r="E601" s="0" t="str">
        <f aca="false">IF(AND(ISNUMBER(NATAL!$C301),NATAL!$D301="FOLGA"),NATAL!$E301&amp;"","")</f>
        <v/>
      </c>
      <c r="F601" s="0" t="str">
        <f aca="false">IF(AND(ISNUMBER(NATAL!$C301),NATAL!$D301="FOLGA"),NATAL!$F301&amp;"","")</f>
        <v/>
      </c>
      <c r="G601" s="0" t="str">
        <f aca="true">IF(D601="","",IF(D601=TODAY(),D601+ROW()/100000,""))</f>
        <v/>
      </c>
      <c r="H601" s="0" t="str">
        <f aca="true">IF(D601="","",IF(AND(D601&gt;TODAY(),D601&lt;=TODAY()+7),D601+ROW()/100000,""))</f>
        <v/>
      </c>
      <c r="I601" s="0" t="str">
        <f aca="false">IF(D601="","",IF(D601=CALENDÁRIO!$L$4,ROW(),""))</f>
        <v/>
      </c>
      <c r="J601" s="0" t="str">
        <f aca="false">IF(D601="","",CHOOSE(WEEKDAY(D601),"Domingo","Segunda","Terça","Quarta","Quinta","Sexta","Sábado"))</f>
        <v/>
      </c>
    </row>
    <row r="602" customFormat="false" ht="15" hidden="false" customHeight="false" outlineLevel="0" collapsed="false">
      <c r="A602" s="0" t="str">
        <f aca="false">IF(AND(ISNUMBER('ANO NOVO'!$C2),'ANO NOVO'!$D2="FOLGA"),"Folga Ano Novo","")</f>
        <v/>
      </c>
      <c r="B602" s="0" t="str">
        <f aca="false">IF(AND(ISNUMBER('ANO NOVO'!$C2),'ANO NOVO'!$D2="FOLGA"),'ANO NOVO'!$A2&amp;"","")</f>
        <v/>
      </c>
      <c r="C602" s="0" t="str">
        <f aca="false">IF(AND(ISNUMBER('ANO NOVO'!$C2),'ANO NOVO'!$D2="FOLGA"),'ANO NOVO'!$B2&amp;"","")</f>
        <v/>
      </c>
      <c r="D602" s="78" t="str">
        <f aca="false">IF(AND(ISNUMBER('ANO NOVO'!$C2),'ANO NOVO'!$D2="FOLGA"),'ANO NOVO'!$C2,"")</f>
        <v/>
      </c>
      <c r="E602" s="0" t="str">
        <f aca="false">IF(AND(ISNUMBER('ANO NOVO'!$C2),'ANO NOVO'!$D2="FOLGA"),'ANO NOVO'!$E2&amp;"","")</f>
        <v/>
      </c>
      <c r="F602" s="0" t="str">
        <f aca="false">IF(AND(ISNUMBER('ANO NOVO'!$C2),'ANO NOVO'!$D2="FOLGA"),'ANO NOVO'!$F2&amp;"","")</f>
        <v/>
      </c>
      <c r="G602" s="0" t="str">
        <f aca="true">IF(D602="","",IF(D602=TODAY(),D602+ROW()/100000,""))</f>
        <v/>
      </c>
      <c r="H602" s="0" t="str">
        <f aca="true">IF(D602="","",IF(AND(D602&gt;TODAY(),D602&lt;=TODAY()+7),D602+ROW()/100000,""))</f>
        <v/>
      </c>
      <c r="I602" s="0" t="str">
        <f aca="false">IF(D602="","",IF(D602=CALENDÁRIO!$L$4,ROW(),""))</f>
        <v/>
      </c>
      <c r="J602" s="0" t="str">
        <f aca="false">IF(D602="","",CHOOSE(WEEKDAY(D602),"Domingo","Segunda","Terça","Quarta","Quinta","Sexta","Sábado"))</f>
        <v/>
      </c>
    </row>
    <row r="603" customFormat="false" ht="15" hidden="false" customHeight="false" outlineLevel="0" collapsed="false">
      <c r="A603" s="0" t="str">
        <f aca="false">IF(AND(ISNUMBER('ANO NOVO'!$C3),'ANO NOVO'!$D3="FOLGA"),"Folga Ano Novo","")</f>
        <v/>
      </c>
      <c r="B603" s="0" t="str">
        <f aca="false">IF(AND(ISNUMBER('ANO NOVO'!$C3),'ANO NOVO'!$D3="FOLGA"),'ANO NOVO'!$A3&amp;"","")</f>
        <v/>
      </c>
      <c r="C603" s="0" t="str">
        <f aca="false">IF(AND(ISNUMBER('ANO NOVO'!$C3),'ANO NOVO'!$D3="FOLGA"),'ANO NOVO'!$B3&amp;"","")</f>
        <v/>
      </c>
      <c r="D603" s="78" t="str">
        <f aca="false">IF(AND(ISNUMBER('ANO NOVO'!$C3),'ANO NOVO'!$D3="FOLGA"),'ANO NOVO'!$C3,"")</f>
        <v/>
      </c>
      <c r="E603" s="0" t="str">
        <f aca="false">IF(AND(ISNUMBER('ANO NOVO'!$C3),'ANO NOVO'!$D3="FOLGA"),'ANO NOVO'!$E3&amp;"","")</f>
        <v/>
      </c>
      <c r="F603" s="0" t="str">
        <f aca="false">IF(AND(ISNUMBER('ANO NOVO'!$C3),'ANO NOVO'!$D3="FOLGA"),'ANO NOVO'!$F3&amp;"","")</f>
        <v/>
      </c>
      <c r="G603" s="0" t="str">
        <f aca="true">IF(D603="","",IF(D603=TODAY(),D603+ROW()/100000,""))</f>
        <v/>
      </c>
      <c r="H603" s="0" t="str">
        <f aca="true">IF(D603="","",IF(AND(D603&gt;TODAY(),D603&lt;=TODAY()+7),D603+ROW()/100000,""))</f>
        <v/>
      </c>
      <c r="I603" s="0" t="str">
        <f aca="false">IF(D603="","",IF(D603=CALENDÁRIO!$L$4,ROW(),""))</f>
        <v/>
      </c>
      <c r="J603" s="0" t="str">
        <f aca="false">IF(D603="","",CHOOSE(WEEKDAY(D603),"Domingo","Segunda","Terça","Quarta","Quinta","Sexta","Sábado"))</f>
        <v/>
      </c>
    </row>
    <row r="604" customFormat="false" ht="15" hidden="false" customHeight="false" outlineLevel="0" collapsed="false">
      <c r="A604" s="0" t="str">
        <f aca="false">IF(AND(ISNUMBER('ANO NOVO'!$C4),'ANO NOVO'!$D4="FOLGA"),"Folga Ano Novo","")</f>
        <v/>
      </c>
      <c r="B604" s="0" t="str">
        <f aca="false">IF(AND(ISNUMBER('ANO NOVO'!$C4),'ANO NOVO'!$D4="FOLGA"),'ANO NOVO'!$A4&amp;"","")</f>
        <v/>
      </c>
      <c r="C604" s="0" t="str">
        <f aca="false">IF(AND(ISNUMBER('ANO NOVO'!$C4),'ANO NOVO'!$D4="FOLGA"),'ANO NOVO'!$B4&amp;"","")</f>
        <v/>
      </c>
      <c r="D604" s="78" t="str">
        <f aca="false">IF(AND(ISNUMBER('ANO NOVO'!$C4),'ANO NOVO'!$D4="FOLGA"),'ANO NOVO'!$C4,"")</f>
        <v/>
      </c>
      <c r="E604" s="0" t="str">
        <f aca="false">IF(AND(ISNUMBER('ANO NOVO'!$C4),'ANO NOVO'!$D4="FOLGA"),'ANO NOVO'!$E4&amp;"","")</f>
        <v/>
      </c>
      <c r="F604" s="0" t="str">
        <f aca="false">IF(AND(ISNUMBER('ANO NOVO'!$C4),'ANO NOVO'!$D4="FOLGA"),'ANO NOVO'!$F4&amp;"","")</f>
        <v/>
      </c>
      <c r="G604" s="0" t="str">
        <f aca="true">IF(D604="","",IF(D604=TODAY(),D604+ROW()/100000,""))</f>
        <v/>
      </c>
      <c r="H604" s="0" t="str">
        <f aca="true">IF(D604="","",IF(AND(D604&gt;TODAY(),D604&lt;=TODAY()+7),D604+ROW()/100000,""))</f>
        <v/>
      </c>
      <c r="I604" s="0" t="str">
        <f aca="false">IF(D604="","",IF(D604=CALENDÁRIO!$L$4,ROW(),""))</f>
        <v/>
      </c>
      <c r="J604" s="0" t="str">
        <f aca="false">IF(D604="","",CHOOSE(WEEKDAY(D604),"Domingo","Segunda","Terça","Quarta","Quinta","Sexta","Sábado"))</f>
        <v/>
      </c>
    </row>
    <row r="605" customFormat="false" ht="15" hidden="false" customHeight="false" outlineLevel="0" collapsed="false">
      <c r="A605" s="0" t="str">
        <f aca="false">IF(AND(ISNUMBER('ANO NOVO'!$C5),'ANO NOVO'!$D5="FOLGA"),"Folga Ano Novo","")</f>
        <v/>
      </c>
      <c r="B605" s="0" t="str">
        <f aca="false">IF(AND(ISNUMBER('ANO NOVO'!$C5),'ANO NOVO'!$D5="FOLGA"),'ANO NOVO'!$A5&amp;"","")</f>
        <v/>
      </c>
      <c r="C605" s="0" t="str">
        <f aca="false">IF(AND(ISNUMBER('ANO NOVO'!$C5),'ANO NOVO'!$D5="FOLGA"),'ANO NOVO'!$B5&amp;"","")</f>
        <v/>
      </c>
      <c r="D605" s="78" t="str">
        <f aca="false">IF(AND(ISNUMBER('ANO NOVO'!$C5),'ANO NOVO'!$D5="FOLGA"),'ANO NOVO'!$C5,"")</f>
        <v/>
      </c>
      <c r="E605" s="0" t="str">
        <f aca="false">IF(AND(ISNUMBER('ANO NOVO'!$C5),'ANO NOVO'!$D5="FOLGA"),'ANO NOVO'!$E5&amp;"","")</f>
        <v/>
      </c>
      <c r="F605" s="0" t="str">
        <f aca="false">IF(AND(ISNUMBER('ANO NOVO'!$C5),'ANO NOVO'!$D5="FOLGA"),'ANO NOVO'!$F5&amp;"","")</f>
        <v/>
      </c>
      <c r="G605" s="0" t="str">
        <f aca="true">IF(D605="","",IF(D605=TODAY(),D605+ROW()/100000,""))</f>
        <v/>
      </c>
      <c r="H605" s="0" t="str">
        <f aca="true">IF(D605="","",IF(AND(D605&gt;TODAY(),D605&lt;=TODAY()+7),D605+ROW()/100000,""))</f>
        <v/>
      </c>
      <c r="I605" s="0" t="str">
        <f aca="false">IF(D605="","",IF(D605=CALENDÁRIO!$L$4,ROW(),""))</f>
        <v/>
      </c>
      <c r="J605" s="0" t="str">
        <f aca="false">IF(D605="","",CHOOSE(WEEKDAY(D605),"Domingo","Segunda","Terça","Quarta","Quinta","Sexta","Sábado"))</f>
        <v/>
      </c>
    </row>
    <row r="606" customFormat="false" ht="15" hidden="false" customHeight="false" outlineLevel="0" collapsed="false">
      <c r="A606" s="0" t="str">
        <f aca="false">IF(AND(ISNUMBER('ANO NOVO'!$C6),'ANO NOVO'!$D6="FOLGA"),"Folga Ano Novo","")</f>
        <v/>
      </c>
      <c r="B606" s="0" t="str">
        <f aca="false">IF(AND(ISNUMBER('ANO NOVO'!$C6),'ANO NOVO'!$D6="FOLGA"),'ANO NOVO'!$A6&amp;"","")</f>
        <v/>
      </c>
      <c r="C606" s="0" t="str">
        <f aca="false">IF(AND(ISNUMBER('ANO NOVO'!$C6),'ANO NOVO'!$D6="FOLGA"),'ANO NOVO'!$B6&amp;"","")</f>
        <v/>
      </c>
      <c r="D606" s="78" t="str">
        <f aca="false">IF(AND(ISNUMBER('ANO NOVO'!$C6),'ANO NOVO'!$D6="FOLGA"),'ANO NOVO'!$C6,"")</f>
        <v/>
      </c>
      <c r="E606" s="0" t="str">
        <f aca="false">IF(AND(ISNUMBER('ANO NOVO'!$C6),'ANO NOVO'!$D6="FOLGA"),'ANO NOVO'!$E6&amp;"","")</f>
        <v/>
      </c>
      <c r="F606" s="0" t="str">
        <f aca="false">IF(AND(ISNUMBER('ANO NOVO'!$C6),'ANO NOVO'!$D6="FOLGA"),'ANO NOVO'!$F6&amp;"","")</f>
        <v/>
      </c>
      <c r="G606" s="0" t="str">
        <f aca="true">IF(D606="","",IF(D606=TODAY(),D606+ROW()/100000,""))</f>
        <v/>
      </c>
      <c r="H606" s="0" t="str">
        <f aca="true">IF(D606="","",IF(AND(D606&gt;TODAY(),D606&lt;=TODAY()+7),D606+ROW()/100000,""))</f>
        <v/>
      </c>
      <c r="I606" s="0" t="str">
        <f aca="false">IF(D606="","",IF(D606=CALENDÁRIO!$L$4,ROW(),""))</f>
        <v/>
      </c>
      <c r="J606" s="0" t="str">
        <f aca="false">IF(D606="","",CHOOSE(WEEKDAY(D606),"Domingo","Segunda","Terça","Quarta","Quinta","Sexta","Sábado"))</f>
        <v/>
      </c>
    </row>
    <row r="607" customFormat="false" ht="15" hidden="false" customHeight="false" outlineLevel="0" collapsed="false">
      <c r="A607" s="0" t="str">
        <f aca="false">IF(AND(ISNUMBER('ANO NOVO'!$C7),'ANO NOVO'!$D7="FOLGA"),"Folga Ano Novo","")</f>
        <v/>
      </c>
      <c r="B607" s="0" t="str">
        <f aca="false">IF(AND(ISNUMBER('ANO NOVO'!$C7),'ANO NOVO'!$D7="FOLGA"),'ANO NOVO'!$A7&amp;"","")</f>
        <v/>
      </c>
      <c r="C607" s="0" t="str">
        <f aca="false">IF(AND(ISNUMBER('ANO NOVO'!$C7),'ANO NOVO'!$D7="FOLGA"),'ANO NOVO'!$B7&amp;"","")</f>
        <v/>
      </c>
      <c r="D607" s="78" t="str">
        <f aca="false">IF(AND(ISNUMBER('ANO NOVO'!$C7),'ANO NOVO'!$D7="FOLGA"),'ANO NOVO'!$C7,"")</f>
        <v/>
      </c>
      <c r="E607" s="0" t="str">
        <f aca="false">IF(AND(ISNUMBER('ANO NOVO'!$C7),'ANO NOVO'!$D7="FOLGA"),'ANO NOVO'!$E7&amp;"","")</f>
        <v/>
      </c>
      <c r="F607" s="0" t="str">
        <f aca="false">IF(AND(ISNUMBER('ANO NOVO'!$C7),'ANO NOVO'!$D7="FOLGA"),'ANO NOVO'!$F7&amp;"","")</f>
        <v/>
      </c>
      <c r="G607" s="0" t="str">
        <f aca="true">IF(D607="","",IF(D607=TODAY(),D607+ROW()/100000,""))</f>
        <v/>
      </c>
      <c r="H607" s="0" t="str">
        <f aca="true">IF(D607="","",IF(AND(D607&gt;TODAY(),D607&lt;=TODAY()+7),D607+ROW()/100000,""))</f>
        <v/>
      </c>
      <c r="I607" s="0" t="str">
        <f aca="false">IF(D607="","",IF(D607=CALENDÁRIO!$L$4,ROW(),""))</f>
        <v/>
      </c>
      <c r="J607" s="0" t="str">
        <f aca="false">IF(D607="","",CHOOSE(WEEKDAY(D607),"Domingo","Segunda","Terça","Quarta","Quinta","Sexta","Sábado"))</f>
        <v/>
      </c>
    </row>
    <row r="608" customFormat="false" ht="15" hidden="false" customHeight="false" outlineLevel="0" collapsed="false">
      <c r="A608" s="0" t="str">
        <f aca="false">IF(AND(ISNUMBER('ANO NOVO'!$C8),'ANO NOVO'!$D8="FOLGA"),"Folga Ano Novo","")</f>
        <v/>
      </c>
      <c r="B608" s="0" t="str">
        <f aca="false">IF(AND(ISNUMBER('ANO NOVO'!$C8),'ANO NOVO'!$D8="FOLGA"),'ANO NOVO'!$A8&amp;"","")</f>
        <v/>
      </c>
      <c r="C608" s="0" t="str">
        <f aca="false">IF(AND(ISNUMBER('ANO NOVO'!$C8),'ANO NOVO'!$D8="FOLGA"),'ANO NOVO'!$B8&amp;"","")</f>
        <v/>
      </c>
      <c r="D608" s="78" t="str">
        <f aca="false">IF(AND(ISNUMBER('ANO NOVO'!$C8),'ANO NOVO'!$D8="FOLGA"),'ANO NOVO'!$C8,"")</f>
        <v/>
      </c>
      <c r="E608" s="0" t="str">
        <f aca="false">IF(AND(ISNUMBER('ANO NOVO'!$C8),'ANO NOVO'!$D8="FOLGA"),'ANO NOVO'!$E8&amp;"","")</f>
        <v/>
      </c>
      <c r="F608" s="0" t="str">
        <f aca="false">IF(AND(ISNUMBER('ANO NOVO'!$C8),'ANO NOVO'!$D8="FOLGA"),'ANO NOVO'!$F8&amp;"","")</f>
        <v/>
      </c>
      <c r="G608" s="0" t="str">
        <f aca="true">IF(D608="","",IF(D608=TODAY(),D608+ROW()/100000,""))</f>
        <v/>
      </c>
      <c r="H608" s="0" t="str">
        <f aca="true">IF(D608="","",IF(AND(D608&gt;TODAY(),D608&lt;=TODAY()+7),D608+ROW()/100000,""))</f>
        <v/>
      </c>
      <c r="I608" s="0" t="str">
        <f aca="false">IF(D608="","",IF(D608=CALENDÁRIO!$L$4,ROW(),""))</f>
        <v/>
      </c>
      <c r="J608" s="0" t="str">
        <f aca="false">IF(D608="","",CHOOSE(WEEKDAY(D608),"Domingo","Segunda","Terça","Quarta","Quinta","Sexta","Sábado"))</f>
        <v/>
      </c>
    </row>
    <row r="609" customFormat="false" ht="15" hidden="false" customHeight="false" outlineLevel="0" collapsed="false">
      <c r="A609" s="0" t="str">
        <f aca="false">IF(AND(ISNUMBER('ANO NOVO'!$C9),'ANO NOVO'!$D9="FOLGA"),"Folga Ano Novo","")</f>
        <v/>
      </c>
      <c r="B609" s="0" t="str">
        <f aca="false">IF(AND(ISNUMBER('ANO NOVO'!$C9),'ANO NOVO'!$D9="FOLGA"),'ANO NOVO'!$A9&amp;"","")</f>
        <v/>
      </c>
      <c r="C609" s="0" t="str">
        <f aca="false">IF(AND(ISNUMBER('ANO NOVO'!$C9),'ANO NOVO'!$D9="FOLGA"),'ANO NOVO'!$B9&amp;"","")</f>
        <v/>
      </c>
      <c r="D609" s="78" t="str">
        <f aca="false">IF(AND(ISNUMBER('ANO NOVO'!$C9),'ANO NOVO'!$D9="FOLGA"),'ANO NOVO'!$C9,"")</f>
        <v/>
      </c>
      <c r="E609" s="0" t="str">
        <f aca="false">IF(AND(ISNUMBER('ANO NOVO'!$C9),'ANO NOVO'!$D9="FOLGA"),'ANO NOVO'!$E9&amp;"","")</f>
        <v/>
      </c>
      <c r="F609" s="0" t="str">
        <f aca="false">IF(AND(ISNUMBER('ANO NOVO'!$C9),'ANO NOVO'!$D9="FOLGA"),'ANO NOVO'!$F9&amp;"","")</f>
        <v/>
      </c>
      <c r="G609" s="0" t="str">
        <f aca="true">IF(D609="","",IF(D609=TODAY(),D609+ROW()/100000,""))</f>
        <v/>
      </c>
      <c r="H609" s="0" t="str">
        <f aca="true">IF(D609="","",IF(AND(D609&gt;TODAY(),D609&lt;=TODAY()+7),D609+ROW()/100000,""))</f>
        <v/>
      </c>
      <c r="I609" s="0" t="str">
        <f aca="false">IF(D609="","",IF(D609=CALENDÁRIO!$L$4,ROW(),""))</f>
        <v/>
      </c>
      <c r="J609" s="0" t="str">
        <f aca="false">IF(D609="","",CHOOSE(WEEKDAY(D609),"Domingo","Segunda","Terça","Quarta","Quinta","Sexta","Sábado"))</f>
        <v/>
      </c>
    </row>
    <row r="610" customFormat="false" ht="15" hidden="false" customHeight="false" outlineLevel="0" collapsed="false">
      <c r="A610" s="0" t="str">
        <f aca="false">IF(AND(ISNUMBER('ANO NOVO'!$C10),'ANO NOVO'!$D10="FOLGA"),"Folga Ano Novo","")</f>
        <v/>
      </c>
      <c r="B610" s="0" t="str">
        <f aca="false">IF(AND(ISNUMBER('ANO NOVO'!$C10),'ANO NOVO'!$D10="FOLGA"),'ANO NOVO'!$A10&amp;"","")</f>
        <v/>
      </c>
      <c r="C610" s="0" t="str">
        <f aca="false">IF(AND(ISNUMBER('ANO NOVO'!$C10),'ANO NOVO'!$D10="FOLGA"),'ANO NOVO'!$B10&amp;"","")</f>
        <v/>
      </c>
      <c r="D610" s="78" t="str">
        <f aca="false">IF(AND(ISNUMBER('ANO NOVO'!$C10),'ANO NOVO'!$D10="FOLGA"),'ANO NOVO'!$C10,"")</f>
        <v/>
      </c>
      <c r="E610" s="0" t="str">
        <f aca="false">IF(AND(ISNUMBER('ANO NOVO'!$C10),'ANO NOVO'!$D10="FOLGA"),'ANO NOVO'!$E10&amp;"","")</f>
        <v/>
      </c>
      <c r="F610" s="0" t="str">
        <f aca="false">IF(AND(ISNUMBER('ANO NOVO'!$C10),'ANO NOVO'!$D10="FOLGA"),'ANO NOVO'!$F10&amp;"","")</f>
        <v/>
      </c>
      <c r="G610" s="0" t="str">
        <f aca="true">IF(D610="","",IF(D610=TODAY(),D610+ROW()/100000,""))</f>
        <v/>
      </c>
      <c r="H610" s="0" t="str">
        <f aca="true">IF(D610="","",IF(AND(D610&gt;TODAY(),D610&lt;=TODAY()+7),D610+ROW()/100000,""))</f>
        <v/>
      </c>
      <c r="I610" s="0" t="str">
        <f aca="false">IF(D610="","",IF(D610=CALENDÁRIO!$L$4,ROW(),""))</f>
        <v/>
      </c>
      <c r="J610" s="0" t="str">
        <f aca="false">IF(D610="","",CHOOSE(WEEKDAY(D610),"Domingo","Segunda","Terça","Quarta","Quinta","Sexta","Sábado"))</f>
        <v/>
      </c>
    </row>
    <row r="611" customFormat="false" ht="15" hidden="false" customHeight="false" outlineLevel="0" collapsed="false">
      <c r="A611" s="0" t="str">
        <f aca="false">IF(AND(ISNUMBER('ANO NOVO'!$C11),'ANO NOVO'!$D11="FOLGA"),"Folga Ano Novo","")</f>
        <v/>
      </c>
      <c r="B611" s="0" t="str">
        <f aca="false">IF(AND(ISNUMBER('ANO NOVO'!$C11),'ANO NOVO'!$D11="FOLGA"),'ANO NOVO'!$A11&amp;"","")</f>
        <v/>
      </c>
      <c r="C611" s="0" t="str">
        <f aca="false">IF(AND(ISNUMBER('ANO NOVO'!$C11),'ANO NOVO'!$D11="FOLGA"),'ANO NOVO'!$B11&amp;"","")</f>
        <v/>
      </c>
      <c r="D611" s="78" t="str">
        <f aca="false">IF(AND(ISNUMBER('ANO NOVO'!$C11),'ANO NOVO'!$D11="FOLGA"),'ANO NOVO'!$C11,"")</f>
        <v/>
      </c>
      <c r="E611" s="0" t="str">
        <f aca="false">IF(AND(ISNUMBER('ANO NOVO'!$C11),'ANO NOVO'!$D11="FOLGA"),'ANO NOVO'!$E11&amp;"","")</f>
        <v/>
      </c>
      <c r="F611" s="0" t="str">
        <f aca="false">IF(AND(ISNUMBER('ANO NOVO'!$C11),'ANO NOVO'!$D11="FOLGA"),'ANO NOVO'!$F11&amp;"","")</f>
        <v/>
      </c>
      <c r="G611" s="0" t="str">
        <f aca="true">IF(D611="","",IF(D611=TODAY(),D611+ROW()/100000,""))</f>
        <v/>
      </c>
      <c r="H611" s="0" t="str">
        <f aca="true">IF(D611="","",IF(AND(D611&gt;TODAY(),D611&lt;=TODAY()+7),D611+ROW()/100000,""))</f>
        <v/>
      </c>
      <c r="I611" s="0" t="str">
        <f aca="false">IF(D611="","",IF(D611=CALENDÁRIO!$L$4,ROW(),""))</f>
        <v/>
      </c>
      <c r="J611" s="0" t="str">
        <f aca="false">IF(D611="","",CHOOSE(WEEKDAY(D611),"Domingo","Segunda","Terça","Quarta","Quinta","Sexta","Sábado"))</f>
        <v/>
      </c>
    </row>
    <row r="612" customFormat="false" ht="15" hidden="false" customHeight="false" outlineLevel="0" collapsed="false">
      <c r="A612" s="0" t="str">
        <f aca="false">IF(AND(ISNUMBER('ANO NOVO'!$C12),'ANO NOVO'!$D12="FOLGA"),"Folga Ano Novo","")</f>
        <v/>
      </c>
      <c r="B612" s="0" t="str">
        <f aca="false">IF(AND(ISNUMBER('ANO NOVO'!$C12),'ANO NOVO'!$D12="FOLGA"),'ANO NOVO'!$A12&amp;"","")</f>
        <v/>
      </c>
      <c r="C612" s="0" t="str">
        <f aca="false">IF(AND(ISNUMBER('ANO NOVO'!$C12),'ANO NOVO'!$D12="FOLGA"),'ANO NOVO'!$B12&amp;"","")</f>
        <v/>
      </c>
      <c r="D612" s="78" t="str">
        <f aca="false">IF(AND(ISNUMBER('ANO NOVO'!$C12),'ANO NOVO'!$D12="FOLGA"),'ANO NOVO'!$C12,"")</f>
        <v/>
      </c>
      <c r="E612" s="0" t="str">
        <f aca="false">IF(AND(ISNUMBER('ANO NOVO'!$C12),'ANO NOVO'!$D12="FOLGA"),'ANO NOVO'!$E12&amp;"","")</f>
        <v/>
      </c>
      <c r="F612" s="0" t="str">
        <f aca="false">IF(AND(ISNUMBER('ANO NOVO'!$C12),'ANO NOVO'!$D12="FOLGA"),'ANO NOVO'!$F12&amp;"","")</f>
        <v/>
      </c>
      <c r="G612" s="0" t="str">
        <f aca="true">IF(D612="","",IF(D612=TODAY(),D612+ROW()/100000,""))</f>
        <v/>
      </c>
      <c r="H612" s="0" t="str">
        <f aca="true">IF(D612="","",IF(AND(D612&gt;TODAY(),D612&lt;=TODAY()+7),D612+ROW()/100000,""))</f>
        <v/>
      </c>
      <c r="I612" s="0" t="str">
        <f aca="false">IF(D612="","",IF(D612=CALENDÁRIO!$L$4,ROW(),""))</f>
        <v/>
      </c>
      <c r="J612" s="0" t="str">
        <f aca="false">IF(D612="","",CHOOSE(WEEKDAY(D612),"Domingo","Segunda","Terça","Quarta","Quinta","Sexta","Sábado"))</f>
        <v/>
      </c>
    </row>
    <row r="613" customFormat="false" ht="15" hidden="false" customHeight="false" outlineLevel="0" collapsed="false">
      <c r="A613" s="0" t="str">
        <f aca="false">IF(AND(ISNUMBER('ANO NOVO'!$C13),'ANO NOVO'!$D13="FOLGA"),"Folga Ano Novo","")</f>
        <v/>
      </c>
      <c r="B613" s="0" t="str">
        <f aca="false">IF(AND(ISNUMBER('ANO NOVO'!$C13),'ANO NOVO'!$D13="FOLGA"),'ANO NOVO'!$A13&amp;"","")</f>
        <v/>
      </c>
      <c r="C613" s="0" t="str">
        <f aca="false">IF(AND(ISNUMBER('ANO NOVO'!$C13),'ANO NOVO'!$D13="FOLGA"),'ANO NOVO'!$B13&amp;"","")</f>
        <v/>
      </c>
      <c r="D613" s="78" t="str">
        <f aca="false">IF(AND(ISNUMBER('ANO NOVO'!$C13),'ANO NOVO'!$D13="FOLGA"),'ANO NOVO'!$C13,"")</f>
        <v/>
      </c>
      <c r="E613" s="0" t="str">
        <f aca="false">IF(AND(ISNUMBER('ANO NOVO'!$C13),'ANO NOVO'!$D13="FOLGA"),'ANO NOVO'!$E13&amp;"","")</f>
        <v/>
      </c>
      <c r="F613" s="0" t="str">
        <f aca="false">IF(AND(ISNUMBER('ANO NOVO'!$C13),'ANO NOVO'!$D13="FOLGA"),'ANO NOVO'!$F13&amp;"","")</f>
        <v/>
      </c>
      <c r="G613" s="0" t="str">
        <f aca="true">IF(D613="","",IF(D613=TODAY(),D613+ROW()/100000,""))</f>
        <v/>
      </c>
      <c r="H613" s="0" t="str">
        <f aca="true">IF(D613="","",IF(AND(D613&gt;TODAY(),D613&lt;=TODAY()+7),D613+ROW()/100000,""))</f>
        <v/>
      </c>
      <c r="I613" s="0" t="str">
        <f aca="false">IF(D613="","",IF(D613=CALENDÁRIO!$L$4,ROW(),""))</f>
        <v/>
      </c>
      <c r="J613" s="0" t="str">
        <f aca="false">IF(D613="","",CHOOSE(WEEKDAY(D613),"Domingo","Segunda","Terça","Quarta","Quinta","Sexta","Sábado"))</f>
        <v/>
      </c>
    </row>
    <row r="614" customFormat="false" ht="15" hidden="false" customHeight="false" outlineLevel="0" collapsed="false">
      <c r="A614" s="0" t="str">
        <f aca="false">IF(AND(ISNUMBER('ANO NOVO'!$C14),'ANO NOVO'!$D14="FOLGA"),"Folga Ano Novo","")</f>
        <v/>
      </c>
      <c r="B614" s="0" t="str">
        <f aca="false">IF(AND(ISNUMBER('ANO NOVO'!$C14),'ANO NOVO'!$D14="FOLGA"),'ANO NOVO'!$A14&amp;"","")</f>
        <v/>
      </c>
      <c r="C614" s="0" t="str">
        <f aca="false">IF(AND(ISNUMBER('ANO NOVO'!$C14),'ANO NOVO'!$D14="FOLGA"),'ANO NOVO'!$B14&amp;"","")</f>
        <v/>
      </c>
      <c r="D614" s="78" t="str">
        <f aca="false">IF(AND(ISNUMBER('ANO NOVO'!$C14),'ANO NOVO'!$D14="FOLGA"),'ANO NOVO'!$C14,"")</f>
        <v/>
      </c>
      <c r="E614" s="0" t="str">
        <f aca="false">IF(AND(ISNUMBER('ANO NOVO'!$C14),'ANO NOVO'!$D14="FOLGA"),'ANO NOVO'!$E14&amp;"","")</f>
        <v/>
      </c>
      <c r="F614" s="0" t="str">
        <f aca="false">IF(AND(ISNUMBER('ANO NOVO'!$C14),'ANO NOVO'!$D14="FOLGA"),'ANO NOVO'!$F14&amp;"","")</f>
        <v/>
      </c>
      <c r="G614" s="0" t="str">
        <f aca="true">IF(D614="","",IF(D614=TODAY(),D614+ROW()/100000,""))</f>
        <v/>
      </c>
      <c r="H614" s="0" t="str">
        <f aca="true">IF(D614="","",IF(AND(D614&gt;TODAY(),D614&lt;=TODAY()+7),D614+ROW()/100000,""))</f>
        <v/>
      </c>
      <c r="I614" s="0" t="str">
        <f aca="false">IF(D614="","",IF(D614=CALENDÁRIO!$L$4,ROW(),""))</f>
        <v/>
      </c>
      <c r="J614" s="0" t="str">
        <f aca="false">IF(D614="","",CHOOSE(WEEKDAY(D614),"Domingo","Segunda","Terça","Quarta","Quinta","Sexta","Sábado"))</f>
        <v/>
      </c>
    </row>
    <row r="615" customFormat="false" ht="15" hidden="false" customHeight="false" outlineLevel="0" collapsed="false">
      <c r="A615" s="0" t="str">
        <f aca="false">IF(AND(ISNUMBER('ANO NOVO'!$C15),'ANO NOVO'!$D15="FOLGA"),"Folga Ano Novo","")</f>
        <v/>
      </c>
      <c r="B615" s="0" t="str">
        <f aca="false">IF(AND(ISNUMBER('ANO NOVO'!$C15),'ANO NOVO'!$D15="FOLGA"),'ANO NOVO'!$A15&amp;"","")</f>
        <v/>
      </c>
      <c r="C615" s="0" t="str">
        <f aca="false">IF(AND(ISNUMBER('ANO NOVO'!$C15),'ANO NOVO'!$D15="FOLGA"),'ANO NOVO'!$B15&amp;"","")</f>
        <v/>
      </c>
      <c r="D615" s="78" t="str">
        <f aca="false">IF(AND(ISNUMBER('ANO NOVO'!$C15),'ANO NOVO'!$D15="FOLGA"),'ANO NOVO'!$C15,"")</f>
        <v/>
      </c>
      <c r="E615" s="0" t="str">
        <f aca="false">IF(AND(ISNUMBER('ANO NOVO'!$C15),'ANO NOVO'!$D15="FOLGA"),'ANO NOVO'!$E15&amp;"","")</f>
        <v/>
      </c>
      <c r="F615" s="0" t="str">
        <f aca="false">IF(AND(ISNUMBER('ANO NOVO'!$C15),'ANO NOVO'!$D15="FOLGA"),'ANO NOVO'!$F15&amp;"","")</f>
        <v/>
      </c>
      <c r="G615" s="0" t="str">
        <f aca="true">IF(D615="","",IF(D615=TODAY(),D615+ROW()/100000,""))</f>
        <v/>
      </c>
      <c r="H615" s="0" t="str">
        <f aca="true">IF(D615="","",IF(AND(D615&gt;TODAY(),D615&lt;=TODAY()+7),D615+ROW()/100000,""))</f>
        <v/>
      </c>
      <c r="I615" s="0" t="str">
        <f aca="false">IF(D615="","",IF(D615=CALENDÁRIO!$L$4,ROW(),""))</f>
        <v/>
      </c>
      <c r="J615" s="0" t="str">
        <f aca="false">IF(D615="","",CHOOSE(WEEKDAY(D615),"Domingo","Segunda","Terça","Quarta","Quinta","Sexta","Sábado"))</f>
        <v/>
      </c>
    </row>
    <row r="616" customFormat="false" ht="15" hidden="false" customHeight="false" outlineLevel="0" collapsed="false">
      <c r="A616" s="0" t="str">
        <f aca="false">IF(AND(ISNUMBER('ANO NOVO'!$C16),'ANO NOVO'!$D16="FOLGA"),"Folga Ano Novo","")</f>
        <v/>
      </c>
      <c r="B616" s="0" t="str">
        <f aca="false">IF(AND(ISNUMBER('ANO NOVO'!$C16),'ANO NOVO'!$D16="FOLGA"),'ANO NOVO'!$A16&amp;"","")</f>
        <v/>
      </c>
      <c r="C616" s="0" t="str">
        <f aca="false">IF(AND(ISNUMBER('ANO NOVO'!$C16),'ANO NOVO'!$D16="FOLGA"),'ANO NOVO'!$B16&amp;"","")</f>
        <v/>
      </c>
      <c r="D616" s="78" t="str">
        <f aca="false">IF(AND(ISNUMBER('ANO NOVO'!$C16),'ANO NOVO'!$D16="FOLGA"),'ANO NOVO'!$C16,"")</f>
        <v/>
      </c>
      <c r="E616" s="0" t="str">
        <f aca="false">IF(AND(ISNUMBER('ANO NOVO'!$C16),'ANO NOVO'!$D16="FOLGA"),'ANO NOVO'!$E16&amp;"","")</f>
        <v/>
      </c>
      <c r="F616" s="0" t="str">
        <f aca="false">IF(AND(ISNUMBER('ANO NOVO'!$C16),'ANO NOVO'!$D16="FOLGA"),'ANO NOVO'!$F16&amp;"","")</f>
        <v/>
      </c>
      <c r="G616" s="0" t="str">
        <f aca="true">IF(D616="","",IF(D616=TODAY(),D616+ROW()/100000,""))</f>
        <v/>
      </c>
      <c r="H616" s="0" t="str">
        <f aca="true">IF(D616="","",IF(AND(D616&gt;TODAY(),D616&lt;=TODAY()+7),D616+ROW()/100000,""))</f>
        <v/>
      </c>
      <c r="I616" s="0" t="str">
        <f aca="false">IF(D616="","",IF(D616=CALENDÁRIO!$L$4,ROW(),""))</f>
        <v/>
      </c>
      <c r="J616" s="0" t="str">
        <f aca="false">IF(D616="","",CHOOSE(WEEKDAY(D616),"Domingo","Segunda","Terça","Quarta","Quinta","Sexta","Sábado"))</f>
        <v/>
      </c>
    </row>
    <row r="617" customFormat="false" ht="15" hidden="false" customHeight="false" outlineLevel="0" collapsed="false">
      <c r="A617" s="0" t="str">
        <f aca="false">IF(AND(ISNUMBER('ANO NOVO'!$C17),'ANO NOVO'!$D17="FOLGA"),"Folga Ano Novo","")</f>
        <v/>
      </c>
      <c r="B617" s="0" t="str">
        <f aca="false">IF(AND(ISNUMBER('ANO NOVO'!$C17),'ANO NOVO'!$D17="FOLGA"),'ANO NOVO'!$A17&amp;"","")</f>
        <v/>
      </c>
      <c r="C617" s="0" t="str">
        <f aca="false">IF(AND(ISNUMBER('ANO NOVO'!$C17),'ANO NOVO'!$D17="FOLGA"),'ANO NOVO'!$B17&amp;"","")</f>
        <v/>
      </c>
      <c r="D617" s="78" t="str">
        <f aca="false">IF(AND(ISNUMBER('ANO NOVO'!$C17),'ANO NOVO'!$D17="FOLGA"),'ANO NOVO'!$C17,"")</f>
        <v/>
      </c>
      <c r="E617" s="0" t="str">
        <f aca="false">IF(AND(ISNUMBER('ANO NOVO'!$C17),'ANO NOVO'!$D17="FOLGA"),'ANO NOVO'!$E17&amp;"","")</f>
        <v/>
      </c>
      <c r="F617" s="0" t="str">
        <f aca="false">IF(AND(ISNUMBER('ANO NOVO'!$C17),'ANO NOVO'!$D17="FOLGA"),'ANO NOVO'!$F17&amp;"","")</f>
        <v/>
      </c>
      <c r="G617" s="0" t="str">
        <f aca="true">IF(D617="","",IF(D617=TODAY(),D617+ROW()/100000,""))</f>
        <v/>
      </c>
      <c r="H617" s="0" t="str">
        <f aca="true">IF(D617="","",IF(AND(D617&gt;TODAY(),D617&lt;=TODAY()+7),D617+ROW()/100000,""))</f>
        <v/>
      </c>
      <c r="I617" s="0" t="str">
        <f aca="false">IF(D617="","",IF(D617=CALENDÁRIO!$L$4,ROW(),""))</f>
        <v/>
      </c>
      <c r="J617" s="0" t="str">
        <f aca="false">IF(D617="","",CHOOSE(WEEKDAY(D617),"Domingo","Segunda","Terça","Quarta","Quinta","Sexta","Sábado"))</f>
        <v/>
      </c>
    </row>
    <row r="618" customFormat="false" ht="15" hidden="false" customHeight="false" outlineLevel="0" collapsed="false">
      <c r="A618" s="0" t="str">
        <f aca="false">IF(AND(ISNUMBER('ANO NOVO'!$C18),'ANO NOVO'!$D18="FOLGA"),"Folga Ano Novo","")</f>
        <v/>
      </c>
      <c r="B618" s="0" t="str">
        <f aca="false">IF(AND(ISNUMBER('ANO NOVO'!$C18),'ANO NOVO'!$D18="FOLGA"),'ANO NOVO'!$A18&amp;"","")</f>
        <v/>
      </c>
      <c r="C618" s="0" t="str">
        <f aca="false">IF(AND(ISNUMBER('ANO NOVO'!$C18),'ANO NOVO'!$D18="FOLGA"),'ANO NOVO'!$B18&amp;"","")</f>
        <v/>
      </c>
      <c r="D618" s="78" t="str">
        <f aca="false">IF(AND(ISNUMBER('ANO NOVO'!$C18),'ANO NOVO'!$D18="FOLGA"),'ANO NOVO'!$C18,"")</f>
        <v/>
      </c>
      <c r="E618" s="0" t="str">
        <f aca="false">IF(AND(ISNUMBER('ANO NOVO'!$C18),'ANO NOVO'!$D18="FOLGA"),'ANO NOVO'!$E18&amp;"","")</f>
        <v/>
      </c>
      <c r="F618" s="0" t="str">
        <f aca="false">IF(AND(ISNUMBER('ANO NOVO'!$C18),'ANO NOVO'!$D18="FOLGA"),'ANO NOVO'!$F18&amp;"","")</f>
        <v/>
      </c>
      <c r="G618" s="0" t="str">
        <f aca="true">IF(D618="","",IF(D618=TODAY(),D618+ROW()/100000,""))</f>
        <v/>
      </c>
      <c r="H618" s="0" t="str">
        <f aca="true">IF(D618="","",IF(AND(D618&gt;TODAY(),D618&lt;=TODAY()+7),D618+ROW()/100000,""))</f>
        <v/>
      </c>
      <c r="I618" s="0" t="str">
        <f aca="false">IF(D618="","",IF(D618=CALENDÁRIO!$L$4,ROW(),""))</f>
        <v/>
      </c>
      <c r="J618" s="0" t="str">
        <f aca="false">IF(D618="","",CHOOSE(WEEKDAY(D618),"Domingo","Segunda","Terça","Quarta","Quinta","Sexta","Sábado"))</f>
        <v/>
      </c>
    </row>
    <row r="619" customFormat="false" ht="15" hidden="false" customHeight="false" outlineLevel="0" collapsed="false">
      <c r="A619" s="0" t="str">
        <f aca="false">IF(AND(ISNUMBER('ANO NOVO'!$C19),'ANO NOVO'!$D19="FOLGA"),"Folga Ano Novo","")</f>
        <v/>
      </c>
      <c r="B619" s="0" t="str">
        <f aca="false">IF(AND(ISNUMBER('ANO NOVO'!$C19),'ANO NOVO'!$D19="FOLGA"),'ANO NOVO'!$A19&amp;"","")</f>
        <v/>
      </c>
      <c r="C619" s="0" t="str">
        <f aca="false">IF(AND(ISNUMBER('ANO NOVO'!$C19),'ANO NOVO'!$D19="FOLGA"),'ANO NOVO'!$B19&amp;"","")</f>
        <v/>
      </c>
      <c r="D619" s="78" t="str">
        <f aca="false">IF(AND(ISNUMBER('ANO NOVO'!$C19),'ANO NOVO'!$D19="FOLGA"),'ANO NOVO'!$C19,"")</f>
        <v/>
      </c>
      <c r="E619" s="0" t="str">
        <f aca="false">IF(AND(ISNUMBER('ANO NOVO'!$C19),'ANO NOVO'!$D19="FOLGA"),'ANO NOVO'!$E19&amp;"","")</f>
        <v/>
      </c>
      <c r="F619" s="0" t="str">
        <f aca="false">IF(AND(ISNUMBER('ANO NOVO'!$C19),'ANO NOVO'!$D19="FOLGA"),'ANO NOVO'!$F19&amp;"","")</f>
        <v/>
      </c>
      <c r="G619" s="0" t="str">
        <f aca="true">IF(D619="","",IF(D619=TODAY(),D619+ROW()/100000,""))</f>
        <v/>
      </c>
      <c r="H619" s="0" t="str">
        <f aca="true">IF(D619="","",IF(AND(D619&gt;TODAY(),D619&lt;=TODAY()+7),D619+ROW()/100000,""))</f>
        <v/>
      </c>
      <c r="I619" s="0" t="str">
        <f aca="false">IF(D619="","",IF(D619=CALENDÁRIO!$L$4,ROW(),""))</f>
        <v/>
      </c>
      <c r="J619" s="0" t="str">
        <f aca="false">IF(D619="","",CHOOSE(WEEKDAY(D619),"Domingo","Segunda","Terça","Quarta","Quinta","Sexta","Sábado"))</f>
        <v/>
      </c>
    </row>
    <row r="620" customFormat="false" ht="15" hidden="false" customHeight="false" outlineLevel="0" collapsed="false">
      <c r="A620" s="0" t="str">
        <f aca="false">IF(AND(ISNUMBER('ANO NOVO'!$C20),'ANO NOVO'!$D20="FOLGA"),"Folga Ano Novo","")</f>
        <v/>
      </c>
      <c r="B620" s="0" t="str">
        <f aca="false">IF(AND(ISNUMBER('ANO NOVO'!$C20),'ANO NOVO'!$D20="FOLGA"),'ANO NOVO'!$A20&amp;"","")</f>
        <v/>
      </c>
      <c r="C620" s="0" t="str">
        <f aca="false">IF(AND(ISNUMBER('ANO NOVO'!$C20),'ANO NOVO'!$D20="FOLGA"),'ANO NOVO'!$B20&amp;"","")</f>
        <v/>
      </c>
      <c r="D620" s="78" t="str">
        <f aca="false">IF(AND(ISNUMBER('ANO NOVO'!$C20),'ANO NOVO'!$D20="FOLGA"),'ANO NOVO'!$C20,"")</f>
        <v/>
      </c>
      <c r="E620" s="0" t="str">
        <f aca="false">IF(AND(ISNUMBER('ANO NOVO'!$C20),'ANO NOVO'!$D20="FOLGA"),'ANO NOVO'!$E20&amp;"","")</f>
        <v/>
      </c>
      <c r="F620" s="0" t="str">
        <f aca="false">IF(AND(ISNUMBER('ANO NOVO'!$C20),'ANO NOVO'!$D20="FOLGA"),'ANO NOVO'!$F20&amp;"","")</f>
        <v/>
      </c>
      <c r="G620" s="0" t="str">
        <f aca="true">IF(D620="","",IF(D620=TODAY(),D620+ROW()/100000,""))</f>
        <v/>
      </c>
      <c r="H620" s="0" t="str">
        <f aca="true">IF(D620="","",IF(AND(D620&gt;TODAY(),D620&lt;=TODAY()+7),D620+ROW()/100000,""))</f>
        <v/>
      </c>
      <c r="I620" s="0" t="str">
        <f aca="false">IF(D620="","",IF(D620=CALENDÁRIO!$L$4,ROW(),""))</f>
        <v/>
      </c>
      <c r="J620" s="0" t="str">
        <f aca="false">IF(D620="","",CHOOSE(WEEKDAY(D620),"Domingo","Segunda","Terça","Quarta","Quinta","Sexta","Sábado"))</f>
        <v/>
      </c>
    </row>
    <row r="621" customFormat="false" ht="15" hidden="false" customHeight="false" outlineLevel="0" collapsed="false">
      <c r="A621" s="0" t="str">
        <f aca="false">IF(AND(ISNUMBER('ANO NOVO'!$C21),'ANO NOVO'!$D21="FOLGA"),"Folga Ano Novo","")</f>
        <v/>
      </c>
      <c r="B621" s="0" t="str">
        <f aca="false">IF(AND(ISNUMBER('ANO NOVO'!$C21),'ANO NOVO'!$D21="FOLGA"),'ANO NOVO'!$A21&amp;"","")</f>
        <v/>
      </c>
      <c r="C621" s="0" t="str">
        <f aca="false">IF(AND(ISNUMBER('ANO NOVO'!$C21),'ANO NOVO'!$D21="FOLGA"),'ANO NOVO'!$B21&amp;"","")</f>
        <v/>
      </c>
      <c r="D621" s="78" t="str">
        <f aca="false">IF(AND(ISNUMBER('ANO NOVO'!$C21),'ANO NOVO'!$D21="FOLGA"),'ANO NOVO'!$C21,"")</f>
        <v/>
      </c>
      <c r="E621" s="0" t="str">
        <f aca="false">IF(AND(ISNUMBER('ANO NOVO'!$C21),'ANO NOVO'!$D21="FOLGA"),'ANO NOVO'!$E21&amp;"","")</f>
        <v/>
      </c>
      <c r="F621" s="0" t="str">
        <f aca="false">IF(AND(ISNUMBER('ANO NOVO'!$C21),'ANO NOVO'!$D21="FOLGA"),'ANO NOVO'!$F21&amp;"","")</f>
        <v/>
      </c>
      <c r="G621" s="0" t="str">
        <f aca="true">IF(D621="","",IF(D621=TODAY(),D621+ROW()/100000,""))</f>
        <v/>
      </c>
      <c r="H621" s="0" t="str">
        <f aca="true">IF(D621="","",IF(AND(D621&gt;TODAY(),D621&lt;=TODAY()+7),D621+ROW()/100000,""))</f>
        <v/>
      </c>
      <c r="I621" s="0" t="str">
        <f aca="false">IF(D621="","",IF(D621=CALENDÁRIO!$L$4,ROW(),""))</f>
        <v/>
      </c>
      <c r="J621" s="0" t="str">
        <f aca="false">IF(D621="","",CHOOSE(WEEKDAY(D621),"Domingo","Segunda","Terça","Quarta","Quinta","Sexta","Sábado"))</f>
        <v/>
      </c>
    </row>
    <row r="622" customFormat="false" ht="15" hidden="false" customHeight="false" outlineLevel="0" collapsed="false">
      <c r="A622" s="0" t="str">
        <f aca="false">IF(AND(ISNUMBER('ANO NOVO'!$C22),'ANO NOVO'!$D22="FOLGA"),"Folga Ano Novo","")</f>
        <v/>
      </c>
      <c r="B622" s="0" t="str">
        <f aca="false">IF(AND(ISNUMBER('ANO NOVO'!$C22),'ANO NOVO'!$D22="FOLGA"),'ANO NOVO'!$A22&amp;"","")</f>
        <v/>
      </c>
      <c r="C622" s="0" t="str">
        <f aca="false">IF(AND(ISNUMBER('ANO NOVO'!$C22),'ANO NOVO'!$D22="FOLGA"),'ANO NOVO'!$B22&amp;"","")</f>
        <v/>
      </c>
      <c r="D622" s="78" t="str">
        <f aca="false">IF(AND(ISNUMBER('ANO NOVO'!$C22),'ANO NOVO'!$D22="FOLGA"),'ANO NOVO'!$C22,"")</f>
        <v/>
      </c>
      <c r="E622" s="0" t="str">
        <f aca="false">IF(AND(ISNUMBER('ANO NOVO'!$C22),'ANO NOVO'!$D22="FOLGA"),'ANO NOVO'!$E22&amp;"","")</f>
        <v/>
      </c>
      <c r="F622" s="0" t="str">
        <f aca="false">IF(AND(ISNUMBER('ANO NOVO'!$C22),'ANO NOVO'!$D22="FOLGA"),'ANO NOVO'!$F22&amp;"","")</f>
        <v/>
      </c>
      <c r="G622" s="0" t="str">
        <f aca="true">IF(D622="","",IF(D622=TODAY(),D622+ROW()/100000,""))</f>
        <v/>
      </c>
      <c r="H622" s="0" t="str">
        <f aca="true">IF(D622="","",IF(AND(D622&gt;TODAY(),D622&lt;=TODAY()+7),D622+ROW()/100000,""))</f>
        <v/>
      </c>
      <c r="I622" s="0" t="str">
        <f aca="false">IF(D622="","",IF(D622=CALENDÁRIO!$L$4,ROW(),""))</f>
        <v/>
      </c>
      <c r="J622" s="0" t="str">
        <f aca="false">IF(D622="","",CHOOSE(WEEKDAY(D622),"Domingo","Segunda","Terça","Quarta","Quinta","Sexta","Sábado"))</f>
        <v/>
      </c>
    </row>
    <row r="623" customFormat="false" ht="15" hidden="false" customHeight="false" outlineLevel="0" collapsed="false">
      <c r="A623" s="0" t="str">
        <f aca="false">IF(AND(ISNUMBER('ANO NOVO'!$C23),'ANO NOVO'!$D23="FOLGA"),"Folga Ano Novo","")</f>
        <v/>
      </c>
      <c r="B623" s="0" t="str">
        <f aca="false">IF(AND(ISNUMBER('ANO NOVO'!$C23),'ANO NOVO'!$D23="FOLGA"),'ANO NOVO'!$A23&amp;"","")</f>
        <v/>
      </c>
      <c r="C623" s="0" t="str">
        <f aca="false">IF(AND(ISNUMBER('ANO NOVO'!$C23),'ANO NOVO'!$D23="FOLGA"),'ANO NOVO'!$B23&amp;"","")</f>
        <v/>
      </c>
      <c r="D623" s="78" t="str">
        <f aca="false">IF(AND(ISNUMBER('ANO NOVO'!$C23),'ANO NOVO'!$D23="FOLGA"),'ANO NOVO'!$C23,"")</f>
        <v/>
      </c>
      <c r="E623" s="0" t="str">
        <f aca="false">IF(AND(ISNUMBER('ANO NOVO'!$C23),'ANO NOVO'!$D23="FOLGA"),'ANO NOVO'!$E23&amp;"","")</f>
        <v/>
      </c>
      <c r="F623" s="0" t="str">
        <f aca="false">IF(AND(ISNUMBER('ANO NOVO'!$C23),'ANO NOVO'!$D23="FOLGA"),'ANO NOVO'!$F23&amp;"","")</f>
        <v/>
      </c>
      <c r="G623" s="0" t="str">
        <f aca="true">IF(D623="","",IF(D623=TODAY(),D623+ROW()/100000,""))</f>
        <v/>
      </c>
      <c r="H623" s="0" t="str">
        <f aca="true">IF(D623="","",IF(AND(D623&gt;TODAY(),D623&lt;=TODAY()+7),D623+ROW()/100000,""))</f>
        <v/>
      </c>
      <c r="I623" s="0" t="str">
        <f aca="false">IF(D623="","",IF(D623=CALENDÁRIO!$L$4,ROW(),""))</f>
        <v/>
      </c>
      <c r="J623" s="0" t="str">
        <f aca="false">IF(D623="","",CHOOSE(WEEKDAY(D623),"Domingo","Segunda","Terça","Quarta","Quinta","Sexta","Sábado"))</f>
        <v/>
      </c>
    </row>
    <row r="624" customFormat="false" ht="15" hidden="false" customHeight="false" outlineLevel="0" collapsed="false">
      <c r="A624" s="0" t="str">
        <f aca="false">IF(AND(ISNUMBER('ANO NOVO'!$C24),'ANO NOVO'!$D24="FOLGA"),"Folga Ano Novo","")</f>
        <v/>
      </c>
      <c r="B624" s="0" t="str">
        <f aca="false">IF(AND(ISNUMBER('ANO NOVO'!$C24),'ANO NOVO'!$D24="FOLGA"),'ANO NOVO'!$A24&amp;"","")</f>
        <v/>
      </c>
      <c r="C624" s="0" t="str">
        <f aca="false">IF(AND(ISNUMBER('ANO NOVO'!$C24),'ANO NOVO'!$D24="FOLGA"),'ANO NOVO'!$B24&amp;"","")</f>
        <v/>
      </c>
      <c r="D624" s="78" t="str">
        <f aca="false">IF(AND(ISNUMBER('ANO NOVO'!$C24),'ANO NOVO'!$D24="FOLGA"),'ANO NOVO'!$C24,"")</f>
        <v/>
      </c>
      <c r="E624" s="0" t="str">
        <f aca="false">IF(AND(ISNUMBER('ANO NOVO'!$C24),'ANO NOVO'!$D24="FOLGA"),'ANO NOVO'!$E24&amp;"","")</f>
        <v/>
      </c>
      <c r="F624" s="0" t="str">
        <f aca="false">IF(AND(ISNUMBER('ANO NOVO'!$C24),'ANO NOVO'!$D24="FOLGA"),'ANO NOVO'!$F24&amp;"","")</f>
        <v/>
      </c>
      <c r="G624" s="0" t="str">
        <f aca="true">IF(D624="","",IF(D624=TODAY(),D624+ROW()/100000,""))</f>
        <v/>
      </c>
      <c r="H624" s="0" t="str">
        <f aca="true">IF(D624="","",IF(AND(D624&gt;TODAY(),D624&lt;=TODAY()+7),D624+ROW()/100000,""))</f>
        <v/>
      </c>
      <c r="I624" s="0" t="str">
        <f aca="false">IF(D624="","",IF(D624=CALENDÁRIO!$L$4,ROW(),""))</f>
        <v/>
      </c>
      <c r="J624" s="0" t="str">
        <f aca="false">IF(D624="","",CHOOSE(WEEKDAY(D624),"Domingo","Segunda","Terça","Quarta","Quinta","Sexta","Sábado"))</f>
        <v/>
      </c>
    </row>
    <row r="625" customFormat="false" ht="15" hidden="false" customHeight="false" outlineLevel="0" collapsed="false">
      <c r="A625" s="0" t="str">
        <f aca="false">IF(AND(ISNUMBER('ANO NOVO'!$C25),'ANO NOVO'!$D25="FOLGA"),"Folga Ano Novo","")</f>
        <v/>
      </c>
      <c r="B625" s="0" t="str">
        <f aca="false">IF(AND(ISNUMBER('ANO NOVO'!$C25),'ANO NOVO'!$D25="FOLGA"),'ANO NOVO'!$A25&amp;"","")</f>
        <v/>
      </c>
      <c r="C625" s="0" t="str">
        <f aca="false">IF(AND(ISNUMBER('ANO NOVO'!$C25),'ANO NOVO'!$D25="FOLGA"),'ANO NOVO'!$B25&amp;"","")</f>
        <v/>
      </c>
      <c r="D625" s="78" t="str">
        <f aca="false">IF(AND(ISNUMBER('ANO NOVO'!$C25),'ANO NOVO'!$D25="FOLGA"),'ANO NOVO'!$C25,"")</f>
        <v/>
      </c>
      <c r="E625" s="0" t="str">
        <f aca="false">IF(AND(ISNUMBER('ANO NOVO'!$C25),'ANO NOVO'!$D25="FOLGA"),'ANO NOVO'!$E25&amp;"","")</f>
        <v/>
      </c>
      <c r="F625" s="0" t="str">
        <f aca="false">IF(AND(ISNUMBER('ANO NOVO'!$C25),'ANO NOVO'!$D25="FOLGA"),'ANO NOVO'!$F25&amp;"","")</f>
        <v/>
      </c>
      <c r="G625" s="0" t="str">
        <f aca="true">IF(D625="","",IF(D625=TODAY(),D625+ROW()/100000,""))</f>
        <v/>
      </c>
      <c r="H625" s="0" t="str">
        <f aca="true">IF(D625="","",IF(AND(D625&gt;TODAY(),D625&lt;=TODAY()+7),D625+ROW()/100000,""))</f>
        <v/>
      </c>
      <c r="I625" s="0" t="str">
        <f aca="false">IF(D625="","",IF(D625=CALENDÁRIO!$L$4,ROW(),""))</f>
        <v/>
      </c>
      <c r="J625" s="0" t="str">
        <f aca="false">IF(D625="","",CHOOSE(WEEKDAY(D625),"Domingo","Segunda","Terça","Quarta","Quinta","Sexta","Sábado"))</f>
        <v/>
      </c>
    </row>
    <row r="626" customFormat="false" ht="15" hidden="false" customHeight="false" outlineLevel="0" collapsed="false">
      <c r="A626" s="0" t="str">
        <f aca="false">IF(AND(ISNUMBER('ANO NOVO'!$C26),'ANO NOVO'!$D26="FOLGA"),"Folga Ano Novo","")</f>
        <v/>
      </c>
      <c r="B626" s="0" t="str">
        <f aca="false">IF(AND(ISNUMBER('ANO NOVO'!$C26),'ANO NOVO'!$D26="FOLGA"),'ANO NOVO'!$A26&amp;"","")</f>
        <v/>
      </c>
      <c r="C626" s="0" t="str">
        <f aca="false">IF(AND(ISNUMBER('ANO NOVO'!$C26),'ANO NOVO'!$D26="FOLGA"),'ANO NOVO'!$B26&amp;"","")</f>
        <v/>
      </c>
      <c r="D626" s="78" t="str">
        <f aca="false">IF(AND(ISNUMBER('ANO NOVO'!$C26),'ANO NOVO'!$D26="FOLGA"),'ANO NOVO'!$C26,"")</f>
        <v/>
      </c>
      <c r="E626" s="0" t="str">
        <f aca="false">IF(AND(ISNUMBER('ANO NOVO'!$C26),'ANO NOVO'!$D26="FOLGA"),'ANO NOVO'!$E26&amp;"","")</f>
        <v/>
      </c>
      <c r="F626" s="0" t="str">
        <f aca="false">IF(AND(ISNUMBER('ANO NOVO'!$C26),'ANO NOVO'!$D26="FOLGA"),'ANO NOVO'!$F26&amp;"","")</f>
        <v/>
      </c>
      <c r="G626" s="0" t="str">
        <f aca="true">IF(D626="","",IF(D626=TODAY(),D626+ROW()/100000,""))</f>
        <v/>
      </c>
      <c r="H626" s="0" t="str">
        <f aca="true">IF(D626="","",IF(AND(D626&gt;TODAY(),D626&lt;=TODAY()+7),D626+ROW()/100000,""))</f>
        <v/>
      </c>
      <c r="I626" s="0" t="str">
        <f aca="false">IF(D626="","",IF(D626=CALENDÁRIO!$L$4,ROW(),""))</f>
        <v/>
      </c>
      <c r="J626" s="0" t="str">
        <f aca="false">IF(D626="","",CHOOSE(WEEKDAY(D626),"Domingo","Segunda","Terça","Quarta","Quinta","Sexta","Sábado"))</f>
        <v/>
      </c>
    </row>
    <row r="627" customFormat="false" ht="15" hidden="false" customHeight="false" outlineLevel="0" collapsed="false">
      <c r="A627" s="0" t="str">
        <f aca="false">IF(AND(ISNUMBER('ANO NOVO'!$C27),'ANO NOVO'!$D27="FOLGA"),"Folga Ano Novo","")</f>
        <v/>
      </c>
      <c r="B627" s="0" t="str">
        <f aca="false">IF(AND(ISNUMBER('ANO NOVO'!$C27),'ANO NOVO'!$D27="FOLGA"),'ANO NOVO'!$A27&amp;"","")</f>
        <v/>
      </c>
      <c r="C627" s="0" t="str">
        <f aca="false">IF(AND(ISNUMBER('ANO NOVO'!$C27),'ANO NOVO'!$D27="FOLGA"),'ANO NOVO'!$B27&amp;"","")</f>
        <v/>
      </c>
      <c r="D627" s="78" t="str">
        <f aca="false">IF(AND(ISNUMBER('ANO NOVO'!$C27),'ANO NOVO'!$D27="FOLGA"),'ANO NOVO'!$C27,"")</f>
        <v/>
      </c>
      <c r="E627" s="0" t="str">
        <f aca="false">IF(AND(ISNUMBER('ANO NOVO'!$C27),'ANO NOVO'!$D27="FOLGA"),'ANO NOVO'!$E27&amp;"","")</f>
        <v/>
      </c>
      <c r="F627" s="0" t="str">
        <f aca="false">IF(AND(ISNUMBER('ANO NOVO'!$C27),'ANO NOVO'!$D27="FOLGA"),'ANO NOVO'!$F27&amp;"","")</f>
        <v/>
      </c>
      <c r="G627" s="0" t="str">
        <f aca="true">IF(D627="","",IF(D627=TODAY(),D627+ROW()/100000,""))</f>
        <v/>
      </c>
      <c r="H627" s="0" t="str">
        <f aca="true">IF(D627="","",IF(AND(D627&gt;TODAY(),D627&lt;=TODAY()+7),D627+ROW()/100000,""))</f>
        <v/>
      </c>
      <c r="I627" s="0" t="str">
        <f aca="false">IF(D627="","",IF(D627=CALENDÁRIO!$L$4,ROW(),""))</f>
        <v/>
      </c>
      <c r="J627" s="0" t="str">
        <f aca="false">IF(D627="","",CHOOSE(WEEKDAY(D627),"Domingo","Segunda","Terça","Quarta","Quinta","Sexta","Sábado"))</f>
        <v/>
      </c>
    </row>
    <row r="628" customFormat="false" ht="15" hidden="false" customHeight="false" outlineLevel="0" collapsed="false">
      <c r="A628" s="0" t="str">
        <f aca="false">IF(AND(ISNUMBER('ANO NOVO'!$C28),'ANO NOVO'!$D28="FOLGA"),"Folga Ano Novo","")</f>
        <v/>
      </c>
      <c r="B628" s="0" t="str">
        <f aca="false">IF(AND(ISNUMBER('ANO NOVO'!$C28),'ANO NOVO'!$D28="FOLGA"),'ANO NOVO'!$A28&amp;"","")</f>
        <v/>
      </c>
      <c r="C628" s="0" t="str">
        <f aca="false">IF(AND(ISNUMBER('ANO NOVO'!$C28),'ANO NOVO'!$D28="FOLGA"),'ANO NOVO'!$B28&amp;"","")</f>
        <v/>
      </c>
      <c r="D628" s="78" t="str">
        <f aca="false">IF(AND(ISNUMBER('ANO NOVO'!$C28),'ANO NOVO'!$D28="FOLGA"),'ANO NOVO'!$C28,"")</f>
        <v/>
      </c>
      <c r="E628" s="0" t="str">
        <f aca="false">IF(AND(ISNUMBER('ANO NOVO'!$C28),'ANO NOVO'!$D28="FOLGA"),'ANO NOVO'!$E28&amp;"","")</f>
        <v/>
      </c>
      <c r="F628" s="0" t="str">
        <f aca="false">IF(AND(ISNUMBER('ANO NOVO'!$C28),'ANO NOVO'!$D28="FOLGA"),'ANO NOVO'!$F28&amp;"","")</f>
        <v/>
      </c>
      <c r="G628" s="0" t="str">
        <f aca="true">IF(D628="","",IF(D628=TODAY(),D628+ROW()/100000,""))</f>
        <v/>
      </c>
      <c r="H628" s="0" t="str">
        <f aca="true">IF(D628="","",IF(AND(D628&gt;TODAY(),D628&lt;=TODAY()+7),D628+ROW()/100000,""))</f>
        <v/>
      </c>
      <c r="I628" s="0" t="str">
        <f aca="false">IF(D628="","",IF(D628=CALENDÁRIO!$L$4,ROW(),""))</f>
        <v/>
      </c>
      <c r="J628" s="0" t="str">
        <f aca="false">IF(D628="","",CHOOSE(WEEKDAY(D628),"Domingo","Segunda","Terça","Quarta","Quinta","Sexta","Sábado"))</f>
        <v/>
      </c>
    </row>
    <row r="629" customFormat="false" ht="15" hidden="false" customHeight="false" outlineLevel="0" collapsed="false">
      <c r="A629" s="0" t="str">
        <f aca="false">IF(AND(ISNUMBER('ANO NOVO'!$C29),'ANO NOVO'!$D29="FOLGA"),"Folga Ano Novo","")</f>
        <v/>
      </c>
      <c r="B629" s="0" t="str">
        <f aca="false">IF(AND(ISNUMBER('ANO NOVO'!$C29),'ANO NOVO'!$D29="FOLGA"),'ANO NOVO'!$A29&amp;"","")</f>
        <v/>
      </c>
      <c r="C629" s="0" t="str">
        <f aca="false">IF(AND(ISNUMBER('ANO NOVO'!$C29),'ANO NOVO'!$D29="FOLGA"),'ANO NOVO'!$B29&amp;"","")</f>
        <v/>
      </c>
      <c r="D629" s="78" t="str">
        <f aca="false">IF(AND(ISNUMBER('ANO NOVO'!$C29),'ANO NOVO'!$D29="FOLGA"),'ANO NOVO'!$C29,"")</f>
        <v/>
      </c>
      <c r="E629" s="0" t="str">
        <f aca="false">IF(AND(ISNUMBER('ANO NOVO'!$C29),'ANO NOVO'!$D29="FOLGA"),'ANO NOVO'!$E29&amp;"","")</f>
        <v/>
      </c>
      <c r="F629" s="0" t="str">
        <f aca="false">IF(AND(ISNUMBER('ANO NOVO'!$C29),'ANO NOVO'!$D29="FOLGA"),'ANO NOVO'!$F29&amp;"","")</f>
        <v/>
      </c>
      <c r="G629" s="0" t="str">
        <f aca="true">IF(D629="","",IF(D629=TODAY(),D629+ROW()/100000,""))</f>
        <v/>
      </c>
      <c r="H629" s="0" t="str">
        <f aca="true">IF(D629="","",IF(AND(D629&gt;TODAY(),D629&lt;=TODAY()+7),D629+ROW()/100000,""))</f>
        <v/>
      </c>
      <c r="I629" s="0" t="str">
        <f aca="false">IF(D629="","",IF(D629=CALENDÁRIO!$L$4,ROW(),""))</f>
        <v/>
      </c>
      <c r="J629" s="0" t="str">
        <f aca="false">IF(D629="","",CHOOSE(WEEKDAY(D629),"Domingo","Segunda","Terça","Quarta","Quinta","Sexta","Sábado"))</f>
        <v/>
      </c>
    </row>
    <row r="630" customFormat="false" ht="15" hidden="false" customHeight="false" outlineLevel="0" collapsed="false">
      <c r="A630" s="0" t="str">
        <f aca="false">IF(AND(ISNUMBER('ANO NOVO'!$C30),'ANO NOVO'!$D30="FOLGA"),"Folga Ano Novo","")</f>
        <v/>
      </c>
      <c r="B630" s="0" t="str">
        <f aca="false">IF(AND(ISNUMBER('ANO NOVO'!$C30),'ANO NOVO'!$D30="FOLGA"),'ANO NOVO'!$A30&amp;"","")</f>
        <v/>
      </c>
      <c r="C630" s="0" t="str">
        <f aca="false">IF(AND(ISNUMBER('ANO NOVO'!$C30),'ANO NOVO'!$D30="FOLGA"),'ANO NOVO'!$B30&amp;"","")</f>
        <v/>
      </c>
      <c r="D630" s="78" t="str">
        <f aca="false">IF(AND(ISNUMBER('ANO NOVO'!$C30),'ANO NOVO'!$D30="FOLGA"),'ANO NOVO'!$C30,"")</f>
        <v/>
      </c>
      <c r="E630" s="0" t="str">
        <f aca="false">IF(AND(ISNUMBER('ANO NOVO'!$C30),'ANO NOVO'!$D30="FOLGA"),'ANO NOVO'!$E30&amp;"","")</f>
        <v/>
      </c>
      <c r="F630" s="0" t="str">
        <f aca="false">IF(AND(ISNUMBER('ANO NOVO'!$C30),'ANO NOVO'!$D30="FOLGA"),'ANO NOVO'!$F30&amp;"","")</f>
        <v/>
      </c>
      <c r="G630" s="0" t="str">
        <f aca="true">IF(D630="","",IF(D630=TODAY(),D630+ROW()/100000,""))</f>
        <v/>
      </c>
      <c r="H630" s="0" t="str">
        <f aca="true">IF(D630="","",IF(AND(D630&gt;TODAY(),D630&lt;=TODAY()+7),D630+ROW()/100000,""))</f>
        <v/>
      </c>
      <c r="I630" s="0" t="str">
        <f aca="false">IF(D630="","",IF(D630=CALENDÁRIO!$L$4,ROW(),""))</f>
        <v/>
      </c>
      <c r="J630" s="0" t="str">
        <f aca="false">IF(D630="","",CHOOSE(WEEKDAY(D630),"Domingo","Segunda","Terça","Quarta","Quinta","Sexta","Sábado"))</f>
        <v/>
      </c>
    </row>
    <row r="631" customFormat="false" ht="15" hidden="false" customHeight="false" outlineLevel="0" collapsed="false">
      <c r="A631" s="0" t="str">
        <f aca="false">IF(AND(ISNUMBER('ANO NOVO'!$C31),'ANO NOVO'!$D31="FOLGA"),"Folga Ano Novo","")</f>
        <v/>
      </c>
      <c r="B631" s="0" t="str">
        <f aca="false">IF(AND(ISNUMBER('ANO NOVO'!$C31),'ANO NOVO'!$D31="FOLGA"),'ANO NOVO'!$A31&amp;"","")</f>
        <v/>
      </c>
      <c r="C631" s="0" t="str">
        <f aca="false">IF(AND(ISNUMBER('ANO NOVO'!$C31),'ANO NOVO'!$D31="FOLGA"),'ANO NOVO'!$B31&amp;"","")</f>
        <v/>
      </c>
      <c r="D631" s="78" t="str">
        <f aca="false">IF(AND(ISNUMBER('ANO NOVO'!$C31),'ANO NOVO'!$D31="FOLGA"),'ANO NOVO'!$C31,"")</f>
        <v/>
      </c>
      <c r="E631" s="0" t="str">
        <f aca="false">IF(AND(ISNUMBER('ANO NOVO'!$C31),'ANO NOVO'!$D31="FOLGA"),'ANO NOVO'!$E31&amp;"","")</f>
        <v/>
      </c>
      <c r="F631" s="0" t="str">
        <f aca="false">IF(AND(ISNUMBER('ANO NOVO'!$C31),'ANO NOVO'!$D31="FOLGA"),'ANO NOVO'!$F31&amp;"","")</f>
        <v/>
      </c>
      <c r="G631" s="0" t="str">
        <f aca="true">IF(D631="","",IF(D631=TODAY(),D631+ROW()/100000,""))</f>
        <v/>
      </c>
      <c r="H631" s="0" t="str">
        <f aca="true">IF(D631="","",IF(AND(D631&gt;TODAY(),D631&lt;=TODAY()+7),D631+ROW()/100000,""))</f>
        <v/>
      </c>
      <c r="I631" s="0" t="str">
        <f aca="false">IF(D631="","",IF(D631=CALENDÁRIO!$L$4,ROW(),""))</f>
        <v/>
      </c>
      <c r="J631" s="0" t="str">
        <f aca="false">IF(D631="","",CHOOSE(WEEKDAY(D631),"Domingo","Segunda","Terça","Quarta","Quinta","Sexta","Sábado"))</f>
        <v/>
      </c>
    </row>
    <row r="632" customFormat="false" ht="15" hidden="false" customHeight="false" outlineLevel="0" collapsed="false">
      <c r="A632" s="0" t="str">
        <f aca="false">IF(AND(ISNUMBER('ANO NOVO'!$C32),'ANO NOVO'!$D32="FOLGA"),"Folga Ano Novo","")</f>
        <v/>
      </c>
      <c r="B632" s="0" t="str">
        <f aca="false">IF(AND(ISNUMBER('ANO NOVO'!$C32),'ANO NOVO'!$D32="FOLGA"),'ANO NOVO'!$A32&amp;"","")</f>
        <v/>
      </c>
      <c r="C632" s="0" t="str">
        <f aca="false">IF(AND(ISNUMBER('ANO NOVO'!$C32),'ANO NOVO'!$D32="FOLGA"),'ANO NOVO'!$B32&amp;"","")</f>
        <v/>
      </c>
      <c r="D632" s="78" t="str">
        <f aca="false">IF(AND(ISNUMBER('ANO NOVO'!$C32),'ANO NOVO'!$D32="FOLGA"),'ANO NOVO'!$C32,"")</f>
        <v/>
      </c>
      <c r="E632" s="0" t="str">
        <f aca="false">IF(AND(ISNUMBER('ANO NOVO'!$C32),'ANO NOVO'!$D32="FOLGA"),'ANO NOVO'!$E32&amp;"","")</f>
        <v/>
      </c>
      <c r="F632" s="0" t="str">
        <f aca="false">IF(AND(ISNUMBER('ANO NOVO'!$C32),'ANO NOVO'!$D32="FOLGA"),'ANO NOVO'!$F32&amp;"","")</f>
        <v/>
      </c>
      <c r="G632" s="0" t="str">
        <f aca="true">IF(D632="","",IF(D632=TODAY(),D632+ROW()/100000,""))</f>
        <v/>
      </c>
      <c r="H632" s="0" t="str">
        <f aca="true">IF(D632="","",IF(AND(D632&gt;TODAY(),D632&lt;=TODAY()+7),D632+ROW()/100000,""))</f>
        <v/>
      </c>
      <c r="I632" s="0" t="str">
        <f aca="false">IF(D632="","",IF(D632=CALENDÁRIO!$L$4,ROW(),""))</f>
        <v/>
      </c>
      <c r="J632" s="0" t="str">
        <f aca="false">IF(D632="","",CHOOSE(WEEKDAY(D632),"Domingo","Segunda","Terça","Quarta","Quinta","Sexta","Sábado"))</f>
        <v/>
      </c>
    </row>
    <row r="633" customFormat="false" ht="15" hidden="false" customHeight="false" outlineLevel="0" collapsed="false">
      <c r="A633" s="0" t="str">
        <f aca="false">IF(AND(ISNUMBER('ANO NOVO'!$C33),'ANO NOVO'!$D33="FOLGA"),"Folga Ano Novo","")</f>
        <v/>
      </c>
      <c r="B633" s="0" t="str">
        <f aca="false">IF(AND(ISNUMBER('ANO NOVO'!$C33),'ANO NOVO'!$D33="FOLGA"),'ANO NOVO'!$A33&amp;"","")</f>
        <v/>
      </c>
      <c r="C633" s="0" t="str">
        <f aca="false">IF(AND(ISNUMBER('ANO NOVO'!$C33),'ANO NOVO'!$D33="FOLGA"),'ANO NOVO'!$B33&amp;"","")</f>
        <v/>
      </c>
      <c r="D633" s="78" t="str">
        <f aca="false">IF(AND(ISNUMBER('ANO NOVO'!$C33),'ANO NOVO'!$D33="FOLGA"),'ANO NOVO'!$C33,"")</f>
        <v/>
      </c>
      <c r="E633" s="0" t="str">
        <f aca="false">IF(AND(ISNUMBER('ANO NOVO'!$C33),'ANO NOVO'!$D33="FOLGA"),'ANO NOVO'!$E33&amp;"","")</f>
        <v/>
      </c>
      <c r="F633" s="0" t="str">
        <f aca="false">IF(AND(ISNUMBER('ANO NOVO'!$C33),'ANO NOVO'!$D33="FOLGA"),'ANO NOVO'!$F33&amp;"","")</f>
        <v/>
      </c>
      <c r="G633" s="0" t="str">
        <f aca="true">IF(D633="","",IF(D633=TODAY(),D633+ROW()/100000,""))</f>
        <v/>
      </c>
      <c r="H633" s="0" t="str">
        <f aca="true">IF(D633="","",IF(AND(D633&gt;TODAY(),D633&lt;=TODAY()+7),D633+ROW()/100000,""))</f>
        <v/>
      </c>
      <c r="I633" s="0" t="str">
        <f aca="false">IF(D633="","",IF(D633=CALENDÁRIO!$L$4,ROW(),""))</f>
        <v/>
      </c>
      <c r="J633" s="0" t="str">
        <f aca="false">IF(D633="","",CHOOSE(WEEKDAY(D633),"Domingo","Segunda","Terça","Quarta","Quinta","Sexta","Sábado"))</f>
        <v/>
      </c>
    </row>
    <row r="634" customFormat="false" ht="15" hidden="false" customHeight="false" outlineLevel="0" collapsed="false">
      <c r="A634" s="0" t="str">
        <f aca="false">IF(AND(ISNUMBER('ANO NOVO'!$C34),'ANO NOVO'!$D34="FOLGA"),"Folga Ano Novo","")</f>
        <v/>
      </c>
      <c r="B634" s="0" t="str">
        <f aca="false">IF(AND(ISNUMBER('ANO NOVO'!$C34),'ANO NOVO'!$D34="FOLGA"),'ANO NOVO'!$A34&amp;"","")</f>
        <v/>
      </c>
      <c r="C634" s="0" t="str">
        <f aca="false">IF(AND(ISNUMBER('ANO NOVO'!$C34),'ANO NOVO'!$D34="FOLGA"),'ANO NOVO'!$B34&amp;"","")</f>
        <v/>
      </c>
      <c r="D634" s="78" t="str">
        <f aca="false">IF(AND(ISNUMBER('ANO NOVO'!$C34),'ANO NOVO'!$D34="FOLGA"),'ANO NOVO'!$C34,"")</f>
        <v/>
      </c>
      <c r="E634" s="0" t="str">
        <f aca="false">IF(AND(ISNUMBER('ANO NOVO'!$C34),'ANO NOVO'!$D34="FOLGA"),'ANO NOVO'!$E34&amp;"","")</f>
        <v/>
      </c>
      <c r="F634" s="0" t="str">
        <f aca="false">IF(AND(ISNUMBER('ANO NOVO'!$C34),'ANO NOVO'!$D34="FOLGA"),'ANO NOVO'!$F34&amp;"","")</f>
        <v/>
      </c>
      <c r="G634" s="0" t="str">
        <f aca="true">IF(D634="","",IF(D634=TODAY(),D634+ROW()/100000,""))</f>
        <v/>
      </c>
      <c r="H634" s="0" t="str">
        <f aca="true">IF(D634="","",IF(AND(D634&gt;TODAY(),D634&lt;=TODAY()+7),D634+ROW()/100000,""))</f>
        <v/>
      </c>
      <c r="I634" s="0" t="str">
        <f aca="false">IF(D634="","",IF(D634=CALENDÁRIO!$L$4,ROW(),""))</f>
        <v/>
      </c>
      <c r="J634" s="0" t="str">
        <f aca="false">IF(D634="","",CHOOSE(WEEKDAY(D634),"Domingo","Segunda","Terça","Quarta","Quinta","Sexta","Sábado"))</f>
        <v/>
      </c>
    </row>
    <row r="635" customFormat="false" ht="15" hidden="false" customHeight="false" outlineLevel="0" collapsed="false">
      <c r="A635" s="0" t="str">
        <f aca="false">IF(AND(ISNUMBER('ANO NOVO'!$C35),'ANO NOVO'!$D35="FOLGA"),"Folga Ano Novo","")</f>
        <v/>
      </c>
      <c r="B635" s="0" t="str">
        <f aca="false">IF(AND(ISNUMBER('ANO NOVO'!$C35),'ANO NOVO'!$D35="FOLGA"),'ANO NOVO'!$A35&amp;"","")</f>
        <v/>
      </c>
      <c r="C635" s="0" t="str">
        <f aca="false">IF(AND(ISNUMBER('ANO NOVO'!$C35),'ANO NOVO'!$D35="FOLGA"),'ANO NOVO'!$B35&amp;"","")</f>
        <v/>
      </c>
      <c r="D635" s="78" t="str">
        <f aca="false">IF(AND(ISNUMBER('ANO NOVO'!$C35),'ANO NOVO'!$D35="FOLGA"),'ANO NOVO'!$C35,"")</f>
        <v/>
      </c>
      <c r="E635" s="0" t="str">
        <f aca="false">IF(AND(ISNUMBER('ANO NOVO'!$C35),'ANO NOVO'!$D35="FOLGA"),'ANO NOVO'!$E35&amp;"","")</f>
        <v/>
      </c>
      <c r="F635" s="0" t="str">
        <f aca="false">IF(AND(ISNUMBER('ANO NOVO'!$C35),'ANO NOVO'!$D35="FOLGA"),'ANO NOVO'!$F35&amp;"","")</f>
        <v/>
      </c>
      <c r="G635" s="0" t="str">
        <f aca="true">IF(D635="","",IF(D635=TODAY(),D635+ROW()/100000,""))</f>
        <v/>
      </c>
      <c r="H635" s="0" t="str">
        <f aca="true">IF(D635="","",IF(AND(D635&gt;TODAY(),D635&lt;=TODAY()+7),D635+ROW()/100000,""))</f>
        <v/>
      </c>
      <c r="I635" s="0" t="str">
        <f aca="false">IF(D635="","",IF(D635=CALENDÁRIO!$L$4,ROW(),""))</f>
        <v/>
      </c>
      <c r="J635" s="0" t="str">
        <f aca="false">IF(D635="","",CHOOSE(WEEKDAY(D635),"Domingo","Segunda","Terça","Quarta","Quinta","Sexta","Sábado"))</f>
        <v/>
      </c>
    </row>
    <row r="636" customFormat="false" ht="15" hidden="false" customHeight="false" outlineLevel="0" collapsed="false">
      <c r="A636" s="0" t="str">
        <f aca="false">IF(AND(ISNUMBER('ANO NOVO'!$C36),'ANO NOVO'!$D36="FOLGA"),"Folga Ano Novo","")</f>
        <v/>
      </c>
      <c r="B636" s="0" t="str">
        <f aca="false">IF(AND(ISNUMBER('ANO NOVO'!$C36),'ANO NOVO'!$D36="FOLGA"),'ANO NOVO'!$A36&amp;"","")</f>
        <v/>
      </c>
      <c r="C636" s="0" t="str">
        <f aca="false">IF(AND(ISNUMBER('ANO NOVO'!$C36),'ANO NOVO'!$D36="FOLGA"),'ANO NOVO'!$B36&amp;"","")</f>
        <v/>
      </c>
      <c r="D636" s="78" t="str">
        <f aca="false">IF(AND(ISNUMBER('ANO NOVO'!$C36),'ANO NOVO'!$D36="FOLGA"),'ANO NOVO'!$C36,"")</f>
        <v/>
      </c>
      <c r="E636" s="0" t="str">
        <f aca="false">IF(AND(ISNUMBER('ANO NOVO'!$C36),'ANO NOVO'!$D36="FOLGA"),'ANO NOVO'!$E36&amp;"","")</f>
        <v/>
      </c>
      <c r="F636" s="0" t="str">
        <f aca="false">IF(AND(ISNUMBER('ANO NOVO'!$C36),'ANO NOVO'!$D36="FOLGA"),'ANO NOVO'!$F36&amp;"","")</f>
        <v/>
      </c>
      <c r="G636" s="0" t="str">
        <f aca="true">IF(D636="","",IF(D636=TODAY(),D636+ROW()/100000,""))</f>
        <v/>
      </c>
      <c r="H636" s="0" t="str">
        <f aca="true">IF(D636="","",IF(AND(D636&gt;TODAY(),D636&lt;=TODAY()+7),D636+ROW()/100000,""))</f>
        <v/>
      </c>
      <c r="I636" s="0" t="str">
        <f aca="false">IF(D636="","",IF(D636=CALENDÁRIO!$L$4,ROW(),""))</f>
        <v/>
      </c>
      <c r="J636" s="0" t="str">
        <f aca="false">IF(D636="","",CHOOSE(WEEKDAY(D636),"Domingo","Segunda","Terça","Quarta","Quinta","Sexta","Sábado"))</f>
        <v/>
      </c>
    </row>
    <row r="637" customFormat="false" ht="15" hidden="false" customHeight="false" outlineLevel="0" collapsed="false">
      <c r="A637" s="0" t="str">
        <f aca="false">IF(AND(ISNUMBER('ANO NOVO'!$C37),'ANO NOVO'!$D37="FOLGA"),"Folga Ano Novo","")</f>
        <v/>
      </c>
      <c r="B637" s="0" t="str">
        <f aca="false">IF(AND(ISNUMBER('ANO NOVO'!$C37),'ANO NOVO'!$D37="FOLGA"),'ANO NOVO'!$A37&amp;"","")</f>
        <v/>
      </c>
      <c r="C637" s="0" t="str">
        <f aca="false">IF(AND(ISNUMBER('ANO NOVO'!$C37),'ANO NOVO'!$D37="FOLGA"),'ANO NOVO'!$B37&amp;"","")</f>
        <v/>
      </c>
      <c r="D637" s="78" t="str">
        <f aca="false">IF(AND(ISNUMBER('ANO NOVO'!$C37),'ANO NOVO'!$D37="FOLGA"),'ANO NOVO'!$C37,"")</f>
        <v/>
      </c>
      <c r="E637" s="0" t="str">
        <f aca="false">IF(AND(ISNUMBER('ANO NOVO'!$C37),'ANO NOVO'!$D37="FOLGA"),'ANO NOVO'!$E37&amp;"","")</f>
        <v/>
      </c>
      <c r="F637" s="0" t="str">
        <f aca="false">IF(AND(ISNUMBER('ANO NOVO'!$C37),'ANO NOVO'!$D37="FOLGA"),'ANO NOVO'!$F37&amp;"","")</f>
        <v/>
      </c>
      <c r="G637" s="0" t="str">
        <f aca="true">IF(D637="","",IF(D637=TODAY(),D637+ROW()/100000,""))</f>
        <v/>
      </c>
      <c r="H637" s="0" t="str">
        <f aca="true">IF(D637="","",IF(AND(D637&gt;TODAY(),D637&lt;=TODAY()+7),D637+ROW()/100000,""))</f>
        <v/>
      </c>
      <c r="I637" s="0" t="str">
        <f aca="false">IF(D637="","",IF(D637=CALENDÁRIO!$L$4,ROW(),""))</f>
        <v/>
      </c>
      <c r="J637" s="0" t="str">
        <f aca="false">IF(D637="","",CHOOSE(WEEKDAY(D637),"Domingo","Segunda","Terça","Quarta","Quinta","Sexta","Sábado"))</f>
        <v/>
      </c>
    </row>
    <row r="638" customFormat="false" ht="15" hidden="false" customHeight="false" outlineLevel="0" collapsed="false">
      <c r="A638" s="0" t="str">
        <f aca="false">IF(AND(ISNUMBER('ANO NOVO'!$C38),'ANO NOVO'!$D38="FOLGA"),"Folga Ano Novo","")</f>
        <v/>
      </c>
      <c r="B638" s="0" t="str">
        <f aca="false">IF(AND(ISNUMBER('ANO NOVO'!$C38),'ANO NOVO'!$D38="FOLGA"),'ANO NOVO'!$A38&amp;"","")</f>
        <v/>
      </c>
      <c r="C638" s="0" t="str">
        <f aca="false">IF(AND(ISNUMBER('ANO NOVO'!$C38),'ANO NOVO'!$D38="FOLGA"),'ANO NOVO'!$B38&amp;"","")</f>
        <v/>
      </c>
      <c r="D638" s="78" t="str">
        <f aca="false">IF(AND(ISNUMBER('ANO NOVO'!$C38),'ANO NOVO'!$D38="FOLGA"),'ANO NOVO'!$C38,"")</f>
        <v/>
      </c>
      <c r="E638" s="0" t="str">
        <f aca="false">IF(AND(ISNUMBER('ANO NOVO'!$C38),'ANO NOVO'!$D38="FOLGA"),'ANO NOVO'!$E38&amp;"","")</f>
        <v/>
      </c>
      <c r="F638" s="0" t="str">
        <f aca="false">IF(AND(ISNUMBER('ANO NOVO'!$C38),'ANO NOVO'!$D38="FOLGA"),'ANO NOVO'!$F38&amp;"","")</f>
        <v/>
      </c>
      <c r="G638" s="0" t="str">
        <f aca="true">IF(D638="","",IF(D638=TODAY(),D638+ROW()/100000,""))</f>
        <v/>
      </c>
      <c r="H638" s="0" t="str">
        <f aca="true">IF(D638="","",IF(AND(D638&gt;TODAY(),D638&lt;=TODAY()+7),D638+ROW()/100000,""))</f>
        <v/>
      </c>
      <c r="I638" s="0" t="str">
        <f aca="false">IF(D638="","",IF(D638=CALENDÁRIO!$L$4,ROW(),""))</f>
        <v/>
      </c>
      <c r="J638" s="0" t="str">
        <f aca="false">IF(D638="","",CHOOSE(WEEKDAY(D638),"Domingo","Segunda","Terça","Quarta","Quinta","Sexta","Sábado"))</f>
        <v/>
      </c>
    </row>
    <row r="639" customFormat="false" ht="15" hidden="false" customHeight="false" outlineLevel="0" collapsed="false">
      <c r="A639" s="0" t="str">
        <f aca="false">IF(AND(ISNUMBER('ANO NOVO'!$C39),'ANO NOVO'!$D39="FOLGA"),"Folga Ano Novo","")</f>
        <v/>
      </c>
      <c r="B639" s="0" t="str">
        <f aca="false">IF(AND(ISNUMBER('ANO NOVO'!$C39),'ANO NOVO'!$D39="FOLGA"),'ANO NOVO'!$A39&amp;"","")</f>
        <v/>
      </c>
      <c r="C639" s="0" t="str">
        <f aca="false">IF(AND(ISNUMBER('ANO NOVO'!$C39),'ANO NOVO'!$D39="FOLGA"),'ANO NOVO'!$B39&amp;"","")</f>
        <v/>
      </c>
      <c r="D639" s="78" t="str">
        <f aca="false">IF(AND(ISNUMBER('ANO NOVO'!$C39),'ANO NOVO'!$D39="FOLGA"),'ANO NOVO'!$C39,"")</f>
        <v/>
      </c>
      <c r="E639" s="0" t="str">
        <f aca="false">IF(AND(ISNUMBER('ANO NOVO'!$C39),'ANO NOVO'!$D39="FOLGA"),'ANO NOVO'!$E39&amp;"","")</f>
        <v/>
      </c>
      <c r="F639" s="0" t="str">
        <f aca="false">IF(AND(ISNUMBER('ANO NOVO'!$C39),'ANO NOVO'!$D39="FOLGA"),'ANO NOVO'!$F39&amp;"","")</f>
        <v/>
      </c>
      <c r="G639" s="0" t="str">
        <f aca="true">IF(D639="","",IF(D639=TODAY(),D639+ROW()/100000,""))</f>
        <v/>
      </c>
      <c r="H639" s="0" t="str">
        <f aca="true">IF(D639="","",IF(AND(D639&gt;TODAY(),D639&lt;=TODAY()+7),D639+ROW()/100000,""))</f>
        <v/>
      </c>
      <c r="I639" s="0" t="str">
        <f aca="false">IF(D639="","",IF(D639=CALENDÁRIO!$L$4,ROW(),""))</f>
        <v/>
      </c>
      <c r="J639" s="0" t="str">
        <f aca="false">IF(D639="","",CHOOSE(WEEKDAY(D639),"Domingo","Segunda","Terça","Quarta","Quinta","Sexta","Sábado"))</f>
        <v/>
      </c>
    </row>
    <row r="640" customFormat="false" ht="15" hidden="false" customHeight="false" outlineLevel="0" collapsed="false">
      <c r="A640" s="0" t="str">
        <f aca="false">IF(AND(ISNUMBER('ANO NOVO'!$C40),'ANO NOVO'!$D40="FOLGA"),"Folga Ano Novo","")</f>
        <v/>
      </c>
      <c r="B640" s="0" t="str">
        <f aca="false">IF(AND(ISNUMBER('ANO NOVO'!$C40),'ANO NOVO'!$D40="FOLGA"),'ANO NOVO'!$A40&amp;"","")</f>
        <v/>
      </c>
      <c r="C640" s="0" t="str">
        <f aca="false">IF(AND(ISNUMBER('ANO NOVO'!$C40),'ANO NOVO'!$D40="FOLGA"),'ANO NOVO'!$B40&amp;"","")</f>
        <v/>
      </c>
      <c r="D640" s="78" t="str">
        <f aca="false">IF(AND(ISNUMBER('ANO NOVO'!$C40),'ANO NOVO'!$D40="FOLGA"),'ANO NOVO'!$C40,"")</f>
        <v/>
      </c>
      <c r="E640" s="0" t="str">
        <f aca="false">IF(AND(ISNUMBER('ANO NOVO'!$C40),'ANO NOVO'!$D40="FOLGA"),'ANO NOVO'!$E40&amp;"","")</f>
        <v/>
      </c>
      <c r="F640" s="0" t="str">
        <f aca="false">IF(AND(ISNUMBER('ANO NOVO'!$C40),'ANO NOVO'!$D40="FOLGA"),'ANO NOVO'!$F40&amp;"","")</f>
        <v/>
      </c>
      <c r="G640" s="0" t="str">
        <f aca="true">IF(D640="","",IF(D640=TODAY(),D640+ROW()/100000,""))</f>
        <v/>
      </c>
      <c r="H640" s="0" t="str">
        <f aca="true">IF(D640="","",IF(AND(D640&gt;TODAY(),D640&lt;=TODAY()+7),D640+ROW()/100000,""))</f>
        <v/>
      </c>
      <c r="I640" s="0" t="str">
        <f aca="false">IF(D640="","",IF(D640=CALENDÁRIO!$L$4,ROW(),""))</f>
        <v/>
      </c>
      <c r="J640" s="0" t="str">
        <f aca="false">IF(D640="","",CHOOSE(WEEKDAY(D640),"Domingo","Segunda","Terça","Quarta","Quinta","Sexta","Sábado"))</f>
        <v/>
      </c>
    </row>
    <row r="641" customFormat="false" ht="15" hidden="false" customHeight="false" outlineLevel="0" collapsed="false">
      <c r="A641" s="0" t="str">
        <f aca="false">IF(AND(ISNUMBER('ANO NOVO'!$C41),'ANO NOVO'!$D41="FOLGA"),"Folga Ano Novo","")</f>
        <v/>
      </c>
      <c r="B641" s="0" t="str">
        <f aca="false">IF(AND(ISNUMBER('ANO NOVO'!$C41),'ANO NOVO'!$D41="FOLGA"),'ANO NOVO'!$A41&amp;"","")</f>
        <v/>
      </c>
      <c r="C641" s="0" t="str">
        <f aca="false">IF(AND(ISNUMBER('ANO NOVO'!$C41),'ANO NOVO'!$D41="FOLGA"),'ANO NOVO'!$B41&amp;"","")</f>
        <v/>
      </c>
      <c r="D641" s="78" t="str">
        <f aca="false">IF(AND(ISNUMBER('ANO NOVO'!$C41),'ANO NOVO'!$D41="FOLGA"),'ANO NOVO'!$C41,"")</f>
        <v/>
      </c>
      <c r="E641" s="0" t="str">
        <f aca="false">IF(AND(ISNUMBER('ANO NOVO'!$C41),'ANO NOVO'!$D41="FOLGA"),'ANO NOVO'!$E41&amp;"","")</f>
        <v/>
      </c>
      <c r="F641" s="0" t="str">
        <f aca="false">IF(AND(ISNUMBER('ANO NOVO'!$C41),'ANO NOVO'!$D41="FOLGA"),'ANO NOVO'!$F41&amp;"","")</f>
        <v/>
      </c>
      <c r="G641" s="0" t="str">
        <f aca="true">IF(D641="","",IF(D641=TODAY(),D641+ROW()/100000,""))</f>
        <v/>
      </c>
      <c r="H641" s="0" t="str">
        <f aca="true">IF(D641="","",IF(AND(D641&gt;TODAY(),D641&lt;=TODAY()+7),D641+ROW()/100000,""))</f>
        <v/>
      </c>
      <c r="I641" s="0" t="str">
        <f aca="false">IF(D641="","",IF(D641=CALENDÁRIO!$L$4,ROW(),""))</f>
        <v/>
      </c>
      <c r="J641" s="0" t="str">
        <f aca="false">IF(D641="","",CHOOSE(WEEKDAY(D641),"Domingo","Segunda","Terça","Quarta","Quinta","Sexta","Sábado"))</f>
        <v/>
      </c>
    </row>
    <row r="642" customFormat="false" ht="15" hidden="false" customHeight="false" outlineLevel="0" collapsed="false">
      <c r="A642" s="0" t="str">
        <f aca="false">IF(AND(ISNUMBER('ANO NOVO'!$C42),'ANO NOVO'!$D42="FOLGA"),"Folga Ano Novo","")</f>
        <v/>
      </c>
      <c r="B642" s="0" t="str">
        <f aca="false">IF(AND(ISNUMBER('ANO NOVO'!$C42),'ANO NOVO'!$D42="FOLGA"),'ANO NOVO'!$A42&amp;"","")</f>
        <v/>
      </c>
      <c r="C642" s="0" t="str">
        <f aca="false">IF(AND(ISNUMBER('ANO NOVO'!$C42),'ANO NOVO'!$D42="FOLGA"),'ANO NOVO'!$B42&amp;"","")</f>
        <v/>
      </c>
      <c r="D642" s="78" t="str">
        <f aca="false">IF(AND(ISNUMBER('ANO NOVO'!$C42),'ANO NOVO'!$D42="FOLGA"),'ANO NOVO'!$C42,"")</f>
        <v/>
      </c>
      <c r="E642" s="0" t="str">
        <f aca="false">IF(AND(ISNUMBER('ANO NOVO'!$C42),'ANO NOVO'!$D42="FOLGA"),'ANO NOVO'!$E42&amp;"","")</f>
        <v/>
      </c>
      <c r="F642" s="0" t="str">
        <f aca="false">IF(AND(ISNUMBER('ANO NOVO'!$C42),'ANO NOVO'!$D42="FOLGA"),'ANO NOVO'!$F42&amp;"","")</f>
        <v/>
      </c>
      <c r="G642" s="0" t="str">
        <f aca="true">IF(D642="","",IF(D642=TODAY(),D642+ROW()/100000,""))</f>
        <v/>
      </c>
      <c r="H642" s="0" t="str">
        <f aca="true">IF(D642="","",IF(AND(D642&gt;TODAY(),D642&lt;=TODAY()+7),D642+ROW()/100000,""))</f>
        <v/>
      </c>
      <c r="I642" s="0" t="str">
        <f aca="false">IF(D642="","",IF(D642=CALENDÁRIO!$L$4,ROW(),""))</f>
        <v/>
      </c>
      <c r="J642" s="0" t="str">
        <f aca="false">IF(D642="","",CHOOSE(WEEKDAY(D642),"Domingo","Segunda","Terça","Quarta","Quinta","Sexta","Sábado"))</f>
        <v/>
      </c>
    </row>
    <row r="643" customFormat="false" ht="15" hidden="false" customHeight="false" outlineLevel="0" collapsed="false">
      <c r="A643" s="0" t="str">
        <f aca="false">IF(AND(ISNUMBER('ANO NOVO'!$C43),'ANO NOVO'!$D43="FOLGA"),"Folga Ano Novo","")</f>
        <v/>
      </c>
      <c r="B643" s="0" t="str">
        <f aca="false">IF(AND(ISNUMBER('ANO NOVO'!$C43),'ANO NOVO'!$D43="FOLGA"),'ANO NOVO'!$A43&amp;"","")</f>
        <v/>
      </c>
      <c r="C643" s="0" t="str">
        <f aca="false">IF(AND(ISNUMBER('ANO NOVO'!$C43),'ANO NOVO'!$D43="FOLGA"),'ANO NOVO'!$B43&amp;"","")</f>
        <v/>
      </c>
      <c r="D643" s="78" t="str">
        <f aca="false">IF(AND(ISNUMBER('ANO NOVO'!$C43),'ANO NOVO'!$D43="FOLGA"),'ANO NOVO'!$C43,"")</f>
        <v/>
      </c>
      <c r="E643" s="0" t="str">
        <f aca="false">IF(AND(ISNUMBER('ANO NOVO'!$C43),'ANO NOVO'!$D43="FOLGA"),'ANO NOVO'!$E43&amp;"","")</f>
        <v/>
      </c>
      <c r="F643" s="0" t="str">
        <f aca="false">IF(AND(ISNUMBER('ANO NOVO'!$C43),'ANO NOVO'!$D43="FOLGA"),'ANO NOVO'!$F43&amp;"","")</f>
        <v/>
      </c>
      <c r="G643" s="0" t="str">
        <f aca="true">IF(D643="","",IF(D643=TODAY(),D643+ROW()/100000,""))</f>
        <v/>
      </c>
      <c r="H643" s="0" t="str">
        <f aca="true">IF(D643="","",IF(AND(D643&gt;TODAY(),D643&lt;=TODAY()+7),D643+ROW()/100000,""))</f>
        <v/>
      </c>
      <c r="I643" s="0" t="str">
        <f aca="false">IF(D643="","",IF(D643=CALENDÁRIO!$L$4,ROW(),""))</f>
        <v/>
      </c>
      <c r="J643" s="0" t="str">
        <f aca="false">IF(D643="","",CHOOSE(WEEKDAY(D643),"Domingo","Segunda","Terça","Quarta","Quinta","Sexta","Sábado"))</f>
        <v/>
      </c>
    </row>
    <row r="644" customFormat="false" ht="15" hidden="false" customHeight="false" outlineLevel="0" collapsed="false">
      <c r="A644" s="0" t="str">
        <f aca="false">IF(AND(ISNUMBER('ANO NOVO'!$C44),'ANO NOVO'!$D44="FOLGA"),"Folga Ano Novo","")</f>
        <v/>
      </c>
      <c r="B644" s="0" t="str">
        <f aca="false">IF(AND(ISNUMBER('ANO NOVO'!$C44),'ANO NOVO'!$D44="FOLGA"),'ANO NOVO'!$A44&amp;"","")</f>
        <v/>
      </c>
      <c r="C644" s="0" t="str">
        <f aca="false">IF(AND(ISNUMBER('ANO NOVO'!$C44),'ANO NOVO'!$D44="FOLGA"),'ANO NOVO'!$B44&amp;"","")</f>
        <v/>
      </c>
      <c r="D644" s="78" t="str">
        <f aca="false">IF(AND(ISNUMBER('ANO NOVO'!$C44),'ANO NOVO'!$D44="FOLGA"),'ANO NOVO'!$C44,"")</f>
        <v/>
      </c>
      <c r="E644" s="0" t="str">
        <f aca="false">IF(AND(ISNUMBER('ANO NOVO'!$C44),'ANO NOVO'!$D44="FOLGA"),'ANO NOVO'!$E44&amp;"","")</f>
        <v/>
      </c>
      <c r="F644" s="0" t="str">
        <f aca="false">IF(AND(ISNUMBER('ANO NOVO'!$C44),'ANO NOVO'!$D44="FOLGA"),'ANO NOVO'!$F44&amp;"","")</f>
        <v/>
      </c>
      <c r="G644" s="0" t="str">
        <f aca="true">IF(D644="","",IF(D644=TODAY(),D644+ROW()/100000,""))</f>
        <v/>
      </c>
      <c r="H644" s="0" t="str">
        <f aca="true">IF(D644="","",IF(AND(D644&gt;TODAY(),D644&lt;=TODAY()+7),D644+ROW()/100000,""))</f>
        <v/>
      </c>
      <c r="I644" s="0" t="str">
        <f aca="false">IF(D644="","",IF(D644=CALENDÁRIO!$L$4,ROW(),""))</f>
        <v/>
      </c>
      <c r="J644" s="0" t="str">
        <f aca="false">IF(D644="","",CHOOSE(WEEKDAY(D644),"Domingo","Segunda","Terça","Quarta","Quinta","Sexta","Sábado"))</f>
        <v/>
      </c>
    </row>
    <row r="645" customFormat="false" ht="15" hidden="false" customHeight="false" outlineLevel="0" collapsed="false">
      <c r="A645" s="0" t="str">
        <f aca="false">IF(AND(ISNUMBER('ANO NOVO'!$C45),'ANO NOVO'!$D45="FOLGA"),"Folga Ano Novo","")</f>
        <v/>
      </c>
      <c r="B645" s="0" t="str">
        <f aca="false">IF(AND(ISNUMBER('ANO NOVO'!$C45),'ANO NOVO'!$D45="FOLGA"),'ANO NOVO'!$A45&amp;"","")</f>
        <v/>
      </c>
      <c r="C645" s="0" t="str">
        <f aca="false">IF(AND(ISNUMBER('ANO NOVO'!$C45),'ANO NOVO'!$D45="FOLGA"),'ANO NOVO'!$B45&amp;"","")</f>
        <v/>
      </c>
      <c r="D645" s="78" t="str">
        <f aca="false">IF(AND(ISNUMBER('ANO NOVO'!$C45),'ANO NOVO'!$D45="FOLGA"),'ANO NOVO'!$C45,"")</f>
        <v/>
      </c>
      <c r="E645" s="0" t="str">
        <f aca="false">IF(AND(ISNUMBER('ANO NOVO'!$C45),'ANO NOVO'!$D45="FOLGA"),'ANO NOVO'!$E45&amp;"","")</f>
        <v/>
      </c>
      <c r="F645" s="0" t="str">
        <f aca="false">IF(AND(ISNUMBER('ANO NOVO'!$C45),'ANO NOVO'!$D45="FOLGA"),'ANO NOVO'!$F45&amp;"","")</f>
        <v/>
      </c>
      <c r="G645" s="0" t="str">
        <f aca="true">IF(D645="","",IF(D645=TODAY(),D645+ROW()/100000,""))</f>
        <v/>
      </c>
      <c r="H645" s="0" t="str">
        <f aca="true">IF(D645="","",IF(AND(D645&gt;TODAY(),D645&lt;=TODAY()+7),D645+ROW()/100000,""))</f>
        <v/>
      </c>
      <c r="I645" s="0" t="str">
        <f aca="false">IF(D645="","",IF(D645=CALENDÁRIO!$L$4,ROW(),""))</f>
        <v/>
      </c>
      <c r="J645" s="0" t="str">
        <f aca="false">IF(D645="","",CHOOSE(WEEKDAY(D645),"Domingo","Segunda","Terça","Quarta","Quinta","Sexta","Sábado"))</f>
        <v/>
      </c>
    </row>
    <row r="646" customFormat="false" ht="15" hidden="false" customHeight="false" outlineLevel="0" collapsed="false">
      <c r="A646" s="0" t="str">
        <f aca="false">IF(AND(ISNUMBER('ANO NOVO'!$C46),'ANO NOVO'!$D46="FOLGA"),"Folga Ano Novo","")</f>
        <v/>
      </c>
      <c r="B646" s="0" t="str">
        <f aca="false">IF(AND(ISNUMBER('ANO NOVO'!$C46),'ANO NOVO'!$D46="FOLGA"),'ANO NOVO'!$A46&amp;"","")</f>
        <v/>
      </c>
      <c r="C646" s="0" t="str">
        <f aca="false">IF(AND(ISNUMBER('ANO NOVO'!$C46),'ANO NOVO'!$D46="FOLGA"),'ANO NOVO'!$B46&amp;"","")</f>
        <v/>
      </c>
      <c r="D646" s="78" t="str">
        <f aca="false">IF(AND(ISNUMBER('ANO NOVO'!$C46),'ANO NOVO'!$D46="FOLGA"),'ANO NOVO'!$C46,"")</f>
        <v/>
      </c>
      <c r="E646" s="0" t="str">
        <f aca="false">IF(AND(ISNUMBER('ANO NOVO'!$C46),'ANO NOVO'!$D46="FOLGA"),'ANO NOVO'!$E46&amp;"","")</f>
        <v/>
      </c>
      <c r="F646" s="0" t="str">
        <f aca="false">IF(AND(ISNUMBER('ANO NOVO'!$C46),'ANO NOVO'!$D46="FOLGA"),'ANO NOVO'!$F46&amp;"","")</f>
        <v/>
      </c>
      <c r="G646" s="0" t="str">
        <f aca="true">IF(D646="","",IF(D646=TODAY(),D646+ROW()/100000,""))</f>
        <v/>
      </c>
      <c r="H646" s="0" t="str">
        <f aca="true">IF(D646="","",IF(AND(D646&gt;TODAY(),D646&lt;=TODAY()+7),D646+ROW()/100000,""))</f>
        <v/>
      </c>
      <c r="I646" s="0" t="str">
        <f aca="false">IF(D646="","",IF(D646=CALENDÁRIO!$L$4,ROW(),""))</f>
        <v/>
      </c>
      <c r="J646" s="0" t="str">
        <f aca="false">IF(D646="","",CHOOSE(WEEKDAY(D646),"Domingo","Segunda","Terça","Quarta","Quinta","Sexta","Sábado"))</f>
        <v/>
      </c>
    </row>
    <row r="647" customFormat="false" ht="15" hidden="false" customHeight="false" outlineLevel="0" collapsed="false">
      <c r="A647" s="0" t="str">
        <f aca="false">IF(AND(ISNUMBER('ANO NOVO'!$C47),'ANO NOVO'!$D47="FOLGA"),"Folga Ano Novo","")</f>
        <v/>
      </c>
      <c r="B647" s="0" t="str">
        <f aca="false">IF(AND(ISNUMBER('ANO NOVO'!$C47),'ANO NOVO'!$D47="FOLGA"),'ANO NOVO'!$A47&amp;"","")</f>
        <v/>
      </c>
      <c r="C647" s="0" t="str">
        <f aca="false">IF(AND(ISNUMBER('ANO NOVO'!$C47),'ANO NOVO'!$D47="FOLGA"),'ANO NOVO'!$B47&amp;"","")</f>
        <v/>
      </c>
      <c r="D647" s="78" t="str">
        <f aca="false">IF(AND(ISNUMBER('ANO NOVO'!$C47),'ANO NOVO'!$D47="FOLGA"),'ANO NOVO'!$C47,"")</f>
        <v/>
      </c>
      <c r="E647" s="0" t="str">
        <f aca="false">IF(AND(ISNUMBER('ANO NOVO'!$C47),'ANO NOVO'!$D47="FOLGA"),'ANO NOVO'!$E47&amp;"","")</f>
        <v/>
      </c>
      <c r="F647" s="0" t="str">
        <f aca="false">IF(AND(ISNUMBER('ANO NOVO'!$C47),'ANO NOVO'!$D47="FOLGA"),'ANO NOVO'!$F47&amp;"","")</f>
        <v/>
      </c>
      <c r="G647" s="0" t="str">
        <f aca="true">IF(D647="","",IF(D647=TODAY(),D647+ROW()/100000,""))</f>
        <v/>
      </c>
      <c r="H647" s="0" t="str">
        <f aca="true">IF(D647="","",IF(AND(D647&gt;TODAY(),D647&lt;=TODAY()+7),D647+ROW()/100000,""))</f>
        <v/>
      </c>
      <c r="I647" s="0" t="str">
        <f aca="false">IF(D647="","",IF(D647=CALENDÁRIO!$L$4,ROW(),""))</f>
        <v/>
      </c>
      <c r="J647" s="0" t="str">
        <f aca="false">IF(D647="","",CHOOSE(WEEKDAY(D647),"Domingo","Segunda","Terça","Quarta","Quinta","Sexta","Sábado"))</f>
        <v/>
      </c>
    </row>
    <row r="648" customFormat="false" ht="15" hidden="false" customHeight="false" outlineLevel="0" collapsed="false">
      <c r="A648" s="0" t="str">
        <f aca="false">IF(AND(ISNUMBER('ANO NOVO'!$C48),'ANO NOVO'!$D48="FOLGA"),"Folga Ano Novo","")</f>
        <v/>
      </c>
      <c r="B648" s="0" t="str">
        <f aca="false">IF(AND(ISNUMBER('ANO NOVO'!$C48),'ANO NOVO'!$D48="FOLGA"),'ANO NOVO'!$A48&amp;"","")</f>
        <v/>
      </c>
      <c r="C648" s="0" t="str">
        <f aca="false">IF(AND(ISNUMBER('ANO NOVO'!$C48),'ANO NOVO'!$D48="FOLGA"),'ANO NOVO'!$B48&amp;"","")</f>
        <v/>
      </c>
      <c r="D648" s="78" t="str">
        <f aca="false">IF(AND(ISNUMBER('ANO NOVO'!$C48),'ANO NOVO'!$D48="FOLGA"),'ANO NOVO'!$C48,"")</f>
        <v/>
      </c>
      <c r="E648" s="0" t="str">
        <f aca="false">IF(AND(ISNUMBER('ANO NOVO'!$C48),'ANO NOVO'!$D48="FOLGA"),'ANO NOVO'!$E48&amp;"","")</f>
        <v/>
      </c>
      <c r="F648" s="0" t="str">
        <f aca="false">IF(AND(ISNUMBER('ANO NOVO'!$C48),'ANO NOVO'!$D48="FOLGA"),'ANO NOVO'!$F48&amp;"","")</f>
        <v/>
      </c>
      <c r="G648" s="0" t="str">
        <f aca="true">IF(D648="","",IF(D648=TODAY(),D648+ROW()/100000,""))</f>
        <v/>
      </c>
      <c r="H648" s="0" t="str">
        <f aca="true">IF(D648="","",IF(AND(D648&gt;TODAY(),D648&lt;=TODAY()+7),D648+ROW()/100000,""))</f>
        <v/>
      </c>
      <c r="I648" s="0" t="str">
        <f aca="false">IF(D648="","",IF(D648=CALENDÁRIO!$L$4,ROW(),""))</f>
        <v/>
      </c>
      <c r="J648" s="0" t="str">
        <f aca="false">IF(D648="","",CHOOSE(WEEKDAY(D648),"Domingo","Segunda","Terça","Quarta","Quinta","Sexta","Sábado"))</f>
        <v/>
      </c>
    </row>
    <row r="649" customFormat="false" ht="15" hidden="false" customHeight="false" outlineLevel="0" collapsed="false">
      <c r="A649" s="0" t="str">
        <f aca="false">IF(AND(ISNUMBER('ANO NOVO'!$C49),'ANO NOVO'!$D49="FOLGA"),"Folga Ano Novo","")</f>
        <v/>
      </c>
      <c r="B649" s="0" t="str">
        <f aca="false">IF(AND(ISNUMBER('ANO NOVO'!$C49),'ANO NOVO'!$D49="FOLGA"),'ANO NOVO'!$A49&amp;"","")</f>
        <v/>
      </c>
      <c r="C649" s="0" t="str">
        <f aca="false">IF(AND(ISNUMBER('ANO NOVO'!$C49),'ANO NOVO'!$D49="FOLGA"),'ANO NOVO'!$B49&amp;"","")</f>
        <v/>
      </c>
      <c r="D649" s="78" t="str">
        <f aca="false">IF(AND(ISNUMBER('ANO NOVO'!$C49),'ANO NOVO'!$D49="FOLGA"),'ANO NOVO'!$C49,"")</f>
        <v/>
      </c>
      <c r="E649" s="0" t="str">
        <f aca="false">IF(AND(ISNUMBER('ANO NOVO'!$C49),'ANO NOVO'!$D49="FOLGA"),'ANO NOVO'!$E49&amp;"","")</f>
        <v/>
      </c>
      <c r="F649" s="0" t="str">
        <f aca="false">IF(AND(ISNUMBER('ANO NOVO'!$C49),'ANO NOVO'!$D49="FOLGA"),'ANO NOVO'!$F49&amp;"","")</f>
        <v/>
      </c>
      <c r="G649" s="0" t="str">
        <f aca="true">IF(D649="","",IF(D649=TODAY(),D649+ROW()/100000,""))</f>
        <v/>
      </c>
      <c r="H649" s="0" t="str">
        <f aca="true">IF(D649="","",IF(AND(D649&gt;TODAY(),D649&lt;=TODAY()+7),D649+ROW()/100000,""))</f>
        <v/>
      </c>
      <c r="I649" s="0" t="str">
        <f aca="false">IF(D649="","",IF(D649=CALENDÁRIO!$L$4,ROW(),""))</f>
        <v/>
      </c>
      <c r="J649" s="0" t="str">
        <f aca="false">IF(D649="","",CHOOSE(WEEKDAY(D649),"Domingo","Segunda","Terça","Quarta","Quinta","Sexta","Sábado"))</f>
        <v/>
      </c>
    </row>
    <row r="650" customFormat="false" ht="15" hidden="false" customHeight="false" outlineLevel="0" collapsed="false">
      <c r="A650" s="0" t="str">
        <f aca="false">IF(AND(ISNUMBER('ANO NOVO'!$C50),'ANO NOVO'!$D50="FOLGA"),"Folga Ano Novo","")</f>
        <v/>
      </c>
      <c r="B650" s="0" t="str">
        <f aca="false">IF(AND(ISNUMBER('ANO NOVO'!$C50),'ANO NOVO'!$D50="FOLGA"),'ANO NOVO'!$A50&amp;"","")</f>
        <v/>
      </c>
      <c r="C650" s="0" t="str">
        <f aca="false">IF(AND(ISNUMBER('ANO NOVO'!$C50),'ANO NOVO'!$D50="FOLGA"),'ANO NOVO'!$B50&amp;"","")</f>
        <v/>
      </c>
      <c r="D650" s="78" t="str">
        <f aca="false">IF(AND(ISNUMBER('ANO NOVO'!$C50),'ANO NOVO'!$D50="FOLGA"),'ANO NOVO'!$C50,"")</f>
        <v/>
      </c>
      <c r="E650" s="0" t="str">
        <f aca="false">IF(AND(ISNUMBER('ANO NOVO'!$C50),'ANO NOVO'!$D50="FOLGA"),'ANO NOVO'!$E50&amp;"","")</f>
        <v/>
      </c>
      <c r="F650" s="0" t="str">
        <f aca="false">IF(AND(ISNUMBER('ANO NOVO'!$C50),'ANO NOVO'!$D50="FOLGA"),'ANO NOVO'!$F50&amp;"","")</f>
        <v/>
      </c>
      <c r="G650" s="0" t="str">
        <f aca="true">IF(D650="","",IF(D650=TODAY(),D650+ROW()/100000,""))</f>
        <v/>
      </c>
      <c r="H650" s="0" t="str">
        <f aca="true">IF(D650="","",IF(AND(D650&gt;TODAY(),D650&lt;=TODAY()+7),D650+ROW()/100000,""))</f>
        <v/>
      </c>
      <c r="I650" s="0" t="str">
        <f aca="false">IF(D650="","",IF(D650=CALENDÁRIO!$L$4,ROW(),""))</f>
        <v/>
      </c>
      <c r="J650" s="0" t="str">
        <f aca="false">IF(D650="","",CHOOSE(WEEKDAY(D650),"Domingo","Segunda","Terça","Quarta","Quinta","Sexta","Sábado"))</f>
        <v/>
      </c>
    </row>
    <row r="651" customFormat="false" ht="15" hidden="false" customHeight="false" outlineLevel="0" collapsed="false">
      <c r="A651" s="0" t="str">
        <f aca="false">IF(AND(ISNUMBER('ANO NOVO'!$C51),'ANO NOVO'!$D51="FOLGA"),"Folga Ano Novo","")</f>
        <v/>
      </c>
      <c r="B651" s="0" t="str">
        <f aca="false">IF(AND(ISNUMBER('ANO NOVO'!$C51),'ANO NOVO'!$D51="FOLGA"),'ANO NOVO'!$A51&amp;"","")</f>
        <v/>
      </c>
      <c r="C651" s="0" t="str">
        <f aca="false">IF(AND(ISNUMBER('ANO NOVO'!$C51),'ANO NOVO'!$D51="FOLGA"),'ANO NOVO'!$B51&amp;"","")</f>
        <v/>
      </c>
      <c r="D651" s="78" t="str">
        <f aca="false">IF(AND(ISNUMBER('ANO NOVO'!$C51),'ANO NOVO'!$D51="FOLGA"),'ANO NOVO'!$C51,"")</f>
        <v/>
      </c>
      <c r="E651" s="0" t="str">
        <f aca="false">IF(AND(ISNUMBER('ANO NOVO'!$C51),'ANO NOVO'!$D51="FOLGA"),'ANO NOVO'!$E51&amp;"","")</f>
        <v/>
      </c>
      <c r="F651" s="0" t="str">
        <f aca="false">IF(AND(ISNUMBER('ANO NOVO'!$C51),'ANO NOVO'!$D51="FOLGA"),'ANO NOVO'!$F51&amp;"","")</f>
        <v/>
      </c>
      <c r="G651" s="0" t="str">
        <f aca="true">IF(D651="","",IF(D651=TODAY(),D651+ROW()/100000,""))</f>
        <v/>
      </c>
      <c r="H651" s="0" t="str">
        <f aca="true">IF(D651="","",IF(AND(D651&gt;TODAY(),D651&lt;=TODAY()+7),D651+ROW()/100000,""))</f>
        <v/>
      </c>
      <c r="I651" s="0" t="str">
        <f aca="false">IF(D651="","",IF(D651=CALENDÁRIO!$L$4,ROW(),""))</f>
        <v/>
      </c>
      <c r="J651" s="0" t="str">
        <f aca="false">IF(D651="","",CHOOSE(WEEKDAY(D651),"Domingo","Segunda","Terça","Quarta","Quinta","Sexta","Sábado"))</f>
        <v/>
      </c>
    </row>
    <row r="652" customFormat="false" ht="15" hidden="false" customHeight="false" outlineLevel="0" collapsed="false">
      <c r="A652" s="0" t="str">
        <f aca="false">IF(AND(ISNUMBER('ANO NOVO'!$C52),'ANO NOVO'!$D52="FOLGA"),"Folga Ano Novo","")</f>
        <v/>
      </c>
      <c r="B652" s="0" t="str">
        <f aca="false">IF(AND(ISNUMBER('ANO NOVO'!$C52),'ANO NOVO'!$D52="FOLGA"),'ANO NOVO'!$A52&amp;"","")</f>
        <v/>
      </c>
      <c r="C652" s="0" t="str">
        <f aca="false">IF(AND(ISNUMBER('ANO NOVO'!$C52),'ANO NOVO'!$D52="FOLGA"),'ANO NOVO'!$B52&amp;"","")</f>
        <v/>
      </c>
      <c r="D652" s="78" t="str">
        <f aca="false">IF(AND(ISNUMBER('ANO NOVO'!$C52),'ANO NOVO'!$D52="FOLGA"),'ANO NOVO'!$C52,"")</f>
        <v/>
      </c>
      <c r="E652" s="0" t="str">
        <f aca="false">IF(AND(ISNUMBER('ANO NOVO'!$C52),'ANO NOVO'!$D52="FOLGA"),'ANO NOVO'!$E52&amp;"","")</f>
        <v/>
      </c>
      <c r="F652" s="0" t="str">
        <f aca="false">IF(AND(ISNUMBER('ANO NOVO'!$C52),'ANO NOVO'!$D52="FOLGA"),'ANO NOVO'!$F52&amp;"","")</f>
        <v/>
      </c>
      <c r="G652" s="0" t="str">
        <f aca="true">IF(D652="","",IF(D652=TODAY(),D652+ROW()/100000,""))</f>
        <v/>
      </c>
      <c r="H652" s="0" t="str">
        <f aca="true">IF(D652="","",IF(AND(D652&gt;TODAY(),D652&lt;=TODAY()+7),D652+ROW()/100000,""))</f>
        <v/>
      </c>
      <c r="I652" s="0" t="str">
        <f aca="false">IF(D652="","",IF(D652=CALENDÁRIO!$L$4,ROW(),""))</f>
        <v/>
      </c>
      <c r="J652" s="0" t="str">
        <f aca="false">IF(D652="","",CHOOSE(WEEKDAY(D652),"Domingo","Segunda","Terça","Quarta","Quinta","Sexta","Sábado"))</f>
        <v/>
      </c>
    </row>
    <row r="653" customFormat="false" ht="15" hidden="false" customHeight="false" outlineLevel="0" collapsed="false">
      <c r="A653" s="0" t="str">
        <f aca="false">IF(AND(ISNUMBER('ANO NOVO'!$C53),'ANO NOVO'!$D53="FOLGA"),"Folga Ano Novo","")</f>
        <v/>
      </c>
      <c r="B653" s="0" t="str">
        <f aca="false">IF(AND(ISNUMBER('ANO NOVO'!$C53),'ANO NOVO'!$D53="FOLGA"),'ANO NOVO'!$A53&amp;"","")</f>
        <v/>
      </c>
      <c r="C653" s="0" t="str">
        <f aca="false">IF(AND(ISNUMBER('ANO NOVO'!$C53),'ANO NOVO'!$D53="FOLGA"),'ANO NOVO'!$B53&amp;"","")</f>
        <v/>
      </c>
      <c r="D653" s="78" t="str">
        <f aca="false">IF(AND(ISNUMBER('ANO NOVO'!$C53),'ANO NOVO'!$D53="FOLGA"),'ANO NOVO'!$C53,"")</f>
        <v/>
      </c>
      <c r="E653" s="0" t="str">
        <f aca="false">IF(AND(ISNUMBER('ANO NOVO'!$C53),'ANO NOVO'!$D53="FOLGA"),'ANO NOVO'!$E53&amp;"","")</f>
        <v/>
      </c>
      <c r="F653" s="0" t="str">
        <f aca="false">IF(AND(ISNUMBER('ANO NOVO'!$C53),'ANO NOVO'!$D53="FOLGA"),'ANO NOVO'!$F53&amp;"","")</f>
        <v/>
      </c>
      <c r="G653" s="0" t="str">
        <f aca="true">IF(D653="","",IF(D653=TODAY(),D653+ROW()/100000,""))</f>
        <v/>
      </c>
      <c r="H653" s="0" t="str">
        <f aca="true">IF(D653="","",IF(AND(D653&gt;TODAY(),D653&lt;=TODAY()+7),D653+ROW()/100000,""))</f>
        <v/>
      </c>
      <c r="I653" s="0" t="str">
        <f aca="false">IF(D653="","",IF(D653=CALENDÁRIO!$L$4,ROW(),""))</f>
        <v/>
      </c>
      <c r="J653" s="0" t="str">
        <f aca="false">IF(D653="","",CHOOSE(WEEKDAY(D653),"Domingo","Segunda","Terça","Quarta","Quinta","Sexta","Sábado"))</f>
        <v/>
      </c>
    </row>
    <row r="654" customFormat="false" ht="15" hidden="false" customHeight="false" outlineLevel="0" collapsed="false">
      <c r="A654" s="0" t="str">
        <f aca="false">IF(AND(ISNUMBER('ANO NOVO'!$C54),'ANO NOVO'!$D54="FOLGA"),"Folga Ano Novo","")</f>
        <v/>
      </c>
      <c r="B654" s="0" t="str">
        <f aca="false">IF(AND(ISNUMBER('ANO NOVO'!$C54),'ANO NOVO'!$D54="FOLGA"),'ANO NOVO'!$A54&amp;"","")</f>
        <v/>
      </c>
      <c r="C654" s="0" t="str">
        <f aca="false">IF(AND(ISNUMBER('ANO NOVO'!$C54),'ANO NOVO'!$D54="FOLGA"),'ANO NOVO'!$B54&amp;"","")</f>
        <v/>
      </c>
      <c r="D654" s="78" t="str">
        <f aca="false">IF(AND(ISNUMBER('ANO NOVO'!$C54),'ANO NOVO'!$D54="FOLGA"),'ANO NOVO'!$C54,"")</f>
        <v/>
      </c>
      <c r="E654" s="0" t="str">
        <f aca="false">IF(AND(ISNUMBER('ANO NOVO'!$C54),'ANO NOVO'!$D54="FOLGA"),'ANO NOVO'!$E54&amp;"","")</f>
        <v/>
      </c>
      <c r="F654" s="0" t="str">
        <f aca="false">IF(AND(ISNUMBER('ANO NOVO'!$C54),'ANO NOVO'!$D54="FOLGA"),'ANO NOVO'!$F54&amp;"","")</f>
        <v/>
      </c>
      <c r="G654" s="0" t="str">
        <f aca="true">IF(D654="","",IF(D654=TODAY(),D654+ROW()/100000,""))</f>
        <v/>
      </c>
      <c r="H654" s="0" t="str">
        <f aca="true">IF(D654="","",IF(AND(D654&gt;TODAY(),D654&lt;=TODAY()+7),D654+ROW()/100000,""))</f>
        <v/>
      </c>
      <c r="I654" s="0" t="str">
        <f aca="false">IF(D654="","",IF(D654=CALENDÁRIO!$L$4,ROW(),""))</f>
        <v/>
      </c>
      <c r="J654" s="0" t="str">
        <f aca="false">IF(D654="","",CHOOSE(WEEKDAY(D654),"Domingo","Segunda","Terça","Quarta","Quinta","Sexta","Sábado"))</f>
        <v/>
      </c>
    </row>
    <row r="655" customFormat="false" ht="15" hidden="false" customHeight="false" outlineLevel="0" collapsed="false">
      <c r="A655" s="0" t="str">
        <f aca="false">IF(AND(ISNUMBER('ANO NOVO'!$C55),'ANO NOVO'!$D55="FOLGA"),"Folga Ano Novo","")</f>
        <v/>
      </c>
      <c r="B655" s="0" t="str">
        <f aca="false">IF(AND(ISNUMBER('ANO NOVO'!$C55),'ANO NOVO'!$D55="FOLGA"),'ANO NOVO'!$A55&amp;"","")</f>
        <v/>
      </c>
      <c r="C655" s="0" t="str">
        <f aca="false">IF(AND(ISNUMBER('ANO NOVO'!$C55),'ANO NOVO'!$D55="FOLGA"),'ANO NOVO'!$B55&amp;"","")</f>
        <v/>
      </c>
      <c r="D655" s="78" t="str">
        <f aca="false">IF(AND(ISNUMBER('ANO NOVO'!$C55),'ANO NOVO'!$D55="FOLGA"),'ANO NOVO'!$C55,"")</f>
        <v/>
      </c>
      <c r="E655" s="0" t="str">
        <f aca="false">IF(AND(ISNUMBER('ANO NOVO'!$C55),'ANO NOVO'!$D55="FOLGA"),'ANO NOVO'!$E55&amp;"","")</f>
        <v/>
      </c>
      <c r="F655" s="0" t="str">
        <f aca="false">IF(AND(ISNUMBER('ANO NOVO'!$C55),'ANO NOVO'!$D55="FOLGA"),'ANO NOVO'!$F55&amp;"","")</f>
        <v/>
      </c>
      <c r="G655" s="0" t="str">
        <f aca="true">IF(D655="","",IF(D655=TODAY(),D655+ROW()/100000,""))</f>
        <v/>
      </c>
      <c r="H655" s="0" t="str">
        <f aca="true">IF(D655="","",IF(AND(D655&gt;TODAY(),D655&lt;=TODAY()+7),D655+ROW()/100000,""))</f>
        <v/>
      </c>
      <c r="I655" s="0" t="str">
        <f aca="false">IF(D655="","",IF(D655=CALENDÁRIO!$L$4,ROW(),""))</f>
        <v/>
      </c>
      <c r="J655" s="0" t="str">
        <f aca="false">IF(D655="","",CHOOSE(WEEKDAY(D655),"Domingo","Segunda","Terça","Quarta","Quinta","Sexta","Sábado"))</f>
        <v/>
      </c>
    </row>
    <row r="656" customFormat="false" ht="15" hidden="false" customHeight="false" outlineLevel="0" collapsed="false">
      <c r="A656" s="0" t="str">
        <f aca="false">IF(AND(ISNUMBER('ANO NOVO'!$C56),'ANO NOVO'!$D56="FOLGA"),"Folga Ano Novo","")</f>
        <v/>
      </c>
      <c r="B656" s="0" t="str">
        <f aca="false">IF(AND(ISNUMBER('ANO NOVO'!$C56),'ANO NOVO'!$D56="FOLGA"),'ANO NOVO'!$A56&amp;"","")</f>
        <v/>
      </c>
      <c r="C656" s="0" t="str">
        <f aca="false">IF(AND(ISNUMBER('ANO NOVO'!$C56),'ANO NOVO'!$D56="FOLGA"),'ANO NOVO'!$B56&amp;"","")</f>
        <v/>
      </c>
      <c r="D656" s="78" t="str">
        <f aca="false">IF(AND(ISNUMBER('ANO NOVO'!$C56),'ANO NOVO'!$D56="FOLGA"),'ANO NOVO'!$C56,"")</f>
        <v/>
      </c>
      <c r="E656" s="0" t="str">
        <f aca="false">IF(AND(ISNUMBER('ANO NOVO'!$C56),'ANO NOVO'!$D56="FOLGA"),'ANO NOVO'!$E56&amp;"","")</f>
        <v/>
      </c>
      <c r="F656" s="0" t="str">
        <f aca="false">IF(AND(ISNUMBER('ANO NOVO'!$C56),'ANO NOVO'!$D56="FOLGA"),'ANO NOVO'!$F56&amp;"","")</f>
        <v/>
      </c>
      <c r="G656" s="0" t="str">
        <f aca="true">IF(D656="","",IF(D656=TODAY(),D656+ROW()/100000,""))</f>
        <v/>
      </c>
      <c r="H656" s="0" t="str">
        <f aca="true">IF(D656="","",IF(AND(D656&gt;TODAY(),D656&lt;=TODAY()+7),D656+ROW()/100000,""))</f>
        <v/>
      </c>
      <c r="I656" s="0" t="str">
        <f aca="false">IF(D656="","",IF(D656=CALENDÁRIO!$L$4,ROW(),""))</f>
        <v/>
      </c>
      <c r="J656" s="0" t="str">
        <f aca="false">IF(D656="","",CHOOSE(WEEKDAY(D656),"Domingo","Segunda","Terça","Quarta","Quinta","Sexta","Sábado"))</f>
        <v/>
      </c>
    </row>
    <row r="657" customFormat="false" ht="15" hidden="false" customHeight="false" outlineLevel="0" collapsed="false">
      <c r="A657" s="0" t="str">
        <f aca="false">IF(AND(ISNUMBER('ANO NOVO'!$C57),'ANO NOVO'!$D57="FOLGA"),"Folga Ano Novo","")</f>
        <v/>
      </c>
      <c r="B657" s="0" t="str">
        <f aca="false">IF(AND(ISNUMBER('ANO NOVO'!$C57),'ANO NOVO'!$D57="FOLGA"),'ANO NOVO'!$A57&amp;"","")</f>
        <v/>
      </c>
      <c r="C657" s="0" t="str">
        <f aca="false">IF(AND(ISNUMBER('ANO NOVO'!$C57),'ANO NOVO'!$D57="FOLGA"),'ANO NOVO'!$B57&amp;"","")</f>
        <v/>
      </c>
      <c r="D657" s="78" t="str">
        <f aca="false">IF(AND(ISNUMBER('ANO NOVO'!$C57),'ANO NOVO'!$D57="FOLGA"),'ANO NOVO'!$C57,"")</f>
        <v/>
      </c>
      <c r="E657" s="0" t="str">
        <f aca="false">IF(AND(ISNUMBER('ANO NOVO'!$C57),'ANO NOVO'!$D57="FOLGA"),'ANO NOVO'!$E57&amp;"","")</f>
        <v/>
      </c>
      <c r="F657" s="0" t="str">
        <f aca="false">IF(AND(ISNUMBER('ANO NOVO'!$C57),'ANO NOVO'!$D57="FOLGA"),'ANO NOVO'!$F57&amp;"","")</f>
        <v/>
      </c>
      <c r="G657" s="0" t="str">
        <f aca="true">IF(D657="","",IF(D657=TODAY(),D657+ROW()/100000,""))</f>
        <v/>
      </c>
      <c r="H657" s="0" t="str">
        <f aca="true">IF(D657="","",IF(AND(D657&gt;TODAY(),D657&lt;=TODAY()+7),D657+ROW()/100000,""))</f>
        <v/>
      </c>
      <c r="I657" s="0" t="str">
        <f aca="false">IF(D657="","",IF(D657=CALENDÁRIO!$L$4,ROW(),""))</f>
        <v/>
      </c>
      <c r="J657" s="0" t="str">
        <f aca="false">IF(D657="","",CHOOSE(WEEKDAY(D657),"Domingo","Segunda","Terça","Quarta","Quinta","Sexta","Sábado"))</f>
        <v/>
      </c>
    </row>
    <row r="658" customFormat="false" ht="15" hidden="false" customHeight="false" outlineLevel="0" collapsed="false">
      <c r="A658" s="0" t="str">
        <f aca="false">IF(AND(ISNUMBER('ANO NOVO'!$C58),'ANO NOVO'!$D58="FOLGA"),"Folga Ano Novo","")</f>
        <v/>
      </c>
      <c r="B658" s="0" t="str">
        <f aca="false">IF(AND(ISNUMBER('ANO NOVO'!$C58),'ANO NOVO'!$D58="FOLGA"),'ANO NOVO'!$A58&amp;"","")</f>
        <v/>
      </c>
      <c r="C658" s="0" t="str">
        <f aca="false">IF(AND(ISNUMBER('ANO NOVO'!$C58),'ANO NOVO'!$D58="FOLGA"),'ANO NOVO'!$B58&amp;"","")</f>
        <v/>
      </c>
      <c r="D658" s="78" t="str">
        <f aca="false">IF(AND(ISNUMBER('ANO NOVO'!$C58),'ANO NOVO'!$D58="FOLGA"),'ANO NOVO'!$C58,"")</f>
        <v/>
      </c>
      <c r="E658" s="0" t="str">
        <f aca="false">IF(AND(ISNUMBER('ANO NOVO'!$C58),'ANO NOVO'!$D58="FOLGA"),'ANO NOVO'!$E58&amp;"","")</f>
        <v/>
      </c>
      <c r="F658" s="0" t="str">
        <f aca="false">IF(AND(ISNUMBER('ANO NOVO'!$C58),'ANO NOVO'!$D58="FOLGA"),'ANO NOVO'!$F58&amp;"","")</f>
        <v/>
      </c>
      <c r="G658" s="0" t="str">
        <f aca="true">IF(D658="","",IF(D658=TODAY(),D658+ROW()/100000,""))</f>
        <v/>
      </c>
      <c r="H658" s="0" t="str">
        <f aca="true">IF(D658="","",IF(AND(D658&gt;TODAY(),D658&lt;=TODAY()+7),D658+ROW()/100000,""))</f>
        <v/>
      </c>
      <c r="I658" s="0" t="str">
        <f aca="false">IF(D658="","",IF(D658=CALENDÁRIO!$L$4,ROW(),""))</f>
        <v/>
      </c>
      <c r="J658" s="0" t="str">
        <f aca="false">IF(D658="","",CHOOSE(WEEKDAY(D658),"Domingo","Segunda","Terça","Quarta","Quinta","Sexta","Sábado"))</f>
        <v/>
      </c>
    </row>
    <row r="659" customFormat="false" ht="15" hidden="false" customHeight="false" outlineLevel="0" collapsed="false">
      <c r="A659" s="0" t="str">
        <f aca="false">IF(AND(ISNUMBER('ANO NOVO'!$C59),'ANO NOVO'!$D59="FOLGA"),"Folga Ano Novo","")</f>
        <v/>
      </c>
      <c r="B659" s="0" t="str">
        <f aca="false">IF(AND(ISNUMBER('ANO NOVO'!$C59),'ANO NOVO'!$D59="FOLGA"),'ANO NOVO'!$A59&amp;"","")</f>
        <v/>
      </c>
      <c r="C659" s="0" t="str">
        <f aca="false">IF(AND(ISNUMBER('ANO NOVO'!$C59),'ANO NOVO'!$D59="FOLGA"),'ANO NOVO'!$B59&amp;"","")</f>
        <v/>
      </c>
      <c r="D659" s="78" t="str">
        <f aca="false">IF(AND(ISNUMBER('ANO NOVO'!$C59),'ANO NOVO'!$D59="FOLGA"),'ANO NOVO'!$C59,"")</f>
        <v/>
      </c>
      <c r="E659" s="0" t="str">
        <f aca="false">IF(AND(ISNUMBER('ANO NOVO'!$C59),'ANO NOVO'!$D59="FOLGA"),'ANO NOVO'!$E59&amp;"","")</f>
        <v/>
      </c>
      <c r="F659" s="0" t="str">
        <f aca="false">IF(AND(ISNUMBER('ANO NOVO'!$C59),'ANO NOVO'!$D59="FOLGA"),'ANO NOVO'!$F59&amp;"","")</f>
        <v/>
      </c>
      <c r="G659" s="0" t="str">
        <f aca="true">IF(D659="","",IF(D659=TODAY(),D659+ROW()/100000,""))</f>
        <v/>
      </c>
      <c r="H659" s="0" t="str">
        <f aca="true">IF(D659="","",IF(AND(D659&gt;TODAY(),D659&lt;=TODAY()+7),D659+ROW()/100000,""))</f>
        <v/>
      </c>
      <c r="I659" s="0" t="str">
        <f aca="false">IF(D659="","",IF(D659=CALENDÁRIO!$L$4,ROW(),""))</f>
        <v/>
      </c>
      <c r="J659" s="0" t="str">
        <f aca="false">IF(D659="","",CHOOSE(WEEKDAY(D659),"Domingo","Segunda","Terça","Quarta","Quinta","Sexta","Sábado"))</f>
        <v/>
      </c>
    </row>
    <row r="660" customFormat="false" ht="15" hidden="false" customHeight="false" outlineLevel="0" collapsed="false">
      <c r="A660" s="0" t="str">
        <f aca="false">IF(AND(ISNUMBER('ANO NOVO'!$C60),'ANO NOVO'!$D60="FOLGA"),"Folga Ano Novo","")</f>
        <v/>
      </c>
      <c r="B660" s="0" t="str">
        <f aca="false">IF(AND(ISNUMBER('ANO NOVO'!$C60),'ANO NOVO'!$D60="FOLGA"),'ANO NOVO'!$A60&amp;"","")</f>
        <v/>
      </c>
      <c r="C660" s="0" t="str">
        <f aca="false">IF(AND(ISNUMBER('ANO NOVO'!$C60),'ANO NOVO'!$D60="FOLGA"),'ANO NOVO'!$B60&amp;"","")</f>
        <v/>
      </c>
      <c r="D660" s="78" t="str">
        <f aca="false">IF(AND(ISNUMBER('ANO NOVO'!$C60),'ANO NOVO'!$D60="FOLGA"),'ANO NOVO'!$C60,"")</f>
        <v/>
      </c>
      <c r="E660" s="0" t="str">
        <f aca="false">IF(AND(ISNUMBER('ANO NOVO'!$C60),'ANO NOVO'!$D60="FOLGA"),'ANO NOVO'!$E60&amp;"","")</f>
        <v/>
      </c>
      <c r="F660" s="0" t="str">
        <f aca="false">IF(AND(ISNUMBER('ANO NOVO'!$C60),'ANO NOVO'!$D60="FOLGA"),'ANO NOVO'!$F60&amp;"","")</f>
        <v/>
      </c>
      <c r="G660" s="0" t="str">
        <f aca="true">IF(D660="","",IF(D660=TODAY(),D660+ROW()/100000,""))</f>
        <v/>
      </c>
      <c r="H660" s="0" t="str">
        <f aca="true">IF(D660="","",IF(AND(D660&gt;TODAY(),D660&lt;=TODAY()+7),D660+ROW()/100000,""))</f>
        <v/>
      </c>
      <c r="I660" s="0" t="str">
        <f aca="false">IF(D660="","",IF(D660=CALENDÁRIO!$L$4,ROW(),""))</f>
        <v/>
      </c>
      <c r="J660" s="0" t="str">
        <f aca="false">IF(D660="","",CHOOSE(WEEKDAY(D660),"Domingo","Segunda","Terça","Quarta","Quinta","Sexta","Sábado"))</f>
        <v/>
      </c>
    </row>
    <row r="661" customFormat="false" ht="15" hidden="false" customHeight="false" outlineLevel="0" collapsed="false">
      <c r="A661" s="0" t="str">
        <f aca="false">IF(AND(ISNUMBER('ANO NOVO'!$C61),'ANO NOVO'!$D61="FOLGA"),"Folga Ano Novo","")</f>
        <v/>
      </c>
      <c r="B661" s="0" t="str">
        <f aca="false">IF(AND(ISNUMBER('ANO NOVO'!$C61),'ANO NOVO'!$D61="FOLGA"),'ANO NOVO'!$A61&amp;"","")</f>
        <v/>
      </c>
      <c r="C661" s="0" t="str">
        <f aca="false">IF(AND(ISNUMBER('ANO NOVO'!$C61),'ANO NOVO'!$D61="FOLGA"),'ANO NOVO'!$B61&amp;"","")</f>
        <v/>
      </c>
      <c r="D661" s="78" t="str">
        <f aca="false">IF(AND(ISNUMBER('ANO NOVO'!$C61),'ANO NOVO'!$D61="FOLGA"),'ANO NOVO'!$C61,"")</f>
        <v/>
      </c>
      <c r="E661" s="0" t="str">
        <f aca="false">IF(AND(ISNUMBER('ANO NOVO'!$C61),'ANO NOVO'!$D61="FOLGA"),'ANO NOVO'!$E61&amp;"","")</f>
        <v/>
      </c>
      <c r="F661" s="0" t="str">
        <f aca="false">IF(AND(ISNUMBER('ANO NOVO'!$C61),'ANO NOVO'!$D61="FOLGA"),'ANO NOVO'!$F61&amp;"","")</f>
        <v/>
      </c>
      <c r="G661" s="0" t="str">
        <f aca="true">IF(D661="","",IF(D661=TODAY(),D661+ROW()/100000,""))</f>
        <v/>
      </c>
      <c r="H661" s="0" t="str">
        <f aca="true">IF(D661="","",IF(AND(D661&gt;TODAY(),D661&lt;=TODAY()+7),D661+ROW()/100000,""))</f>
        <v/>
      </c>
      <c r="I661" s="0" t="str">
        <f aca="false">IF(D661="","",IF(D661=CALENDÁRIO!$L$4,ROW(),""))</f>
        <v/>
      </c>
      <c r="J661" s="0" t="str">
        <f aca="false">IF(D661="","",CHOOSE(WEEKDAY(D661),"Domingo","Segunda","Terça","Quarta","Quinta","Sexta","Sábado"))</f>
        <v/>
      </c>
    </row>
    <row r="662" customFormat="false" ht="15" hidden="false" customHeight="false" outlineLevel="0" collapsed="false">
      <c r="A662" s="0" t="str">
        <f aca="false">IF(AND(ISNUMBER('ANO NOVO'!$C62),'ANO NOVO'!$D62="FOLGA"),"Folga Ano Novo","")</f>
        <v/>
      </c>
      <c r="B662" s="0" t="str">
        <f aca="false">IF(AND(ISNUMBER('ANO NOVO'!$C62),'ANO NOVO'!$D62="FOLGA"),'ANO NOVO'!$A62&amp;"","")</f>
        <v/>
      </c>
      <c r="C662" s="0" t="str">
        <f aca="false">IF(AND(ISNUMBER('ANO NOVO'!$C62),'ANO NOVO'!$D62="FOLGA"),'ANO NOVO'!$B62&amp;"","")</f>
        <v/>
      </c>
      <c r="D662" s="78" t="str">
        <f aca="false">IF(AND(ISNUMBER('ANO NOVO'!$C62),'ANO NOVO'!$D62="FOLGA"),'ANO NOVO'!$C62,"")</f>
        <v/>
      </c>
      <c r="E662" s="0" t="str">
        <f aca="false">IF(AND(ISNUMBER('ANO NOVO'!$C62),'ANO NOVO'!$D62="FOLGA"),'ANO NOVO'!$E62&amp;"","")</f>
        <v/>
      </c>
      <c r="F662" s="0" t="str">
        <f aca="false">IF(AND(ISNUMBER('ANO NOVO'!$C62),'ANO NOVO'!$D62="FOLGA"),'ANO NOVO'!$F62&amp;"","")</f>
        <v/>
      </c>
      <c r="G662" s="0" t="str">
        <f aca="true">IF(D662="","",IF(D662=TODAY(),D662+ROW()/100000,""))</f>
        <v/>
      </c>
      <c r="H662" s="0" t="str">
        <f aca="true">IF(D662="","",IF(AND(D662&gt;TODAY(),D662&lt;=TODAY()+7),D662+ROW()/100000,""))</f>
        <v/>
      </c>
      <c r="I662" s="0" t="str">
        <f aca="false">IF(D662="","",IF(D662=CALENDÁRIO!$L$4,ROW(),""))</f>
        <v/>
      </c>
      <c r="J662" s="0" t="str">
        <f aca="false">IF(D662="","",CHOOSE(WEEKDAY(D662),"Domingo","Segunda","Terça","Quarta","Quinta","Sexta","Sábado"))</f>
        <v/>
      </c>
    </row>
    <row r="663" customFormat="false" ht="15" hidden="false" customHeight="false" outlineLevel="0" collapsed="false">
      <c r="A663" s="0" t="str">
        <f aca="false">IF(AND(ISNUMBER('ANO NOVO'!$C63),'ANO NOVO'!$D63="FOLGA"),"Folga Ano Novo","")</f>
        <v/>
      </c>
      <c r="B663" s="0" t="str">
        <f aca="false">IF(AND(ISNUMBER('ANO NOVO'!$C63),'ANO NOVO'!$D63="FOLGA"),'ANO NOVO'!$A63&amp;"","")</f>
        <v/>
      </c>
      <c r="C663" s="0" t="str">
        <f aca="false">IF(AND(ISNUMBER('ANO NOVO'!$C63),'ANO NOVO'!$D63="FOLGA"),'ANO NOVO'!$B63&amp;"","")</f>
        <v/>
      </c>
      <c r="D663" s="78" t="str">
        <f aca="false">IF(AND(ISNUMBER('ANO NOVO'!$C63),'ANO NOVO'!$D63="FOLGA"),'ANO NOVO'!$C63,"")</f>
        <v/>
      </c>
      <c r="E663" s="0" t="str">
        <f aca="false">IF(AND(ISNUMBER('ANO NOVO'!$C63),'ANO NOVO'!$D63="FOLGA"),'ANO NOVO'!$E63&amp;"","")</f>
        <v/>
      </c>
      <c r="F663" s="0" t="str">
        <f aca="false">IF(AND(ISNUMBER('ANO NOVO'!$C63),'ANO NOVO'!$D63="FOLGA"),'ANO NOVO'!$F63&amp;"","")</f>
        <v/>
      </c>
      <c r="G663" s="0" t="str">
        <f aca="true">IF(D663="","",IF(D663=TODAY(),D663+ROW()/100000,""))</f>
        <v/>
      </c>
      <c r="H663" s="0" t="str">
        <f aca="true">IF(D663="","",IF(AND(D663&gt;TODAY(),D663&lt;=TODAY()+7),D663+ROW()/100000,""))</f>
        <v/>
      </c>
      <c r="I663" s="0" t="str">
        <f aca="false">IF(D663="","",IF(D663=CALENDÁRIO!$L$4,ROW(),""))</f>
        <v/>
      </c>
      <c r="J663" s="0" t="str">
        <f aca="false">IF(D663="","",CHOOSE(WEEKDAY(D663),"Domingo","Segunda","Terça","Quarta","Quinta","Sexta","Sábado"))</f>
        <v/>
      </c>
    </row>
    <row r="664" customFormat="false" ht="15" hidden="false" customHeight="false" outlineLevel="0" collapsed="false">
      <c r="A664" s="0" t="str">
        <f aca="false">IF(AND(ISNUMBER('ANO NOVO'!$C64),'ANO NOVO'!$D64="FOLGA"),"Folga Ano Novo","")</f>
        <v/>
      </c>
      <c r="B664" s="0" t="str">
        <f aca="false">IF(AND(ISNUMBER('ANO NOVO'!$C64),'ANO NOVO'!$D64="FOLGA"),'ANO NOVO'!$A64&amp;"","")</f>
        <v/>
      </c>
      <c r="C664" s="0" t="str">
        <f aca="false">IF(AND(ISNUMBER('ANO NOVO'!$C64),'ANO NOVO'!$D64="FOLGA"),'ANO NOVO'!$B64&amp;"","")</f>
        <v/>
      </c>
      <c r="D664" s="78" t="str">
        <f aca="false">IF(AND(ISNUMBER('ANO NOVO'!$C64),'ANO NOVO'!$D64="FOLGA"),'ANO NOVO'!$C64,"")</f>
        <v/>
      </c>
      <c r="E664" s="0" t="str">
        <f aca="false">IF(AND(ISNUMBER('ANO NOVO'!$C64),'ANO NOVO'!$D64="FOLGA"),'ANO NOVO'!$E64&amp;"","")</f>
        <v/>
      </c>
      <c r="F664" s="0" t="str">
        <f aca="false">IF(AND(ISNUMBER('ANO NOVO'!$C64),'ANO NOVO'!$D64="FOLGA"),'ANO NOVO'!$F64&amp;"","")</f>
        <v/>
      </c>
      <c r="G664" s="0" t="str">
        <f aca="true">IF(D664="","",IF(D664=TODAY(),D664+ROW()/100000,""))</f>
        <v/>
      </c>
      <c r="H664" s="0" t="str">
        <f aca="true">IF(D664="","",IF(AND(D664&gt;TODAY(),D664&lt;=TODAY()+7),D664+ROW()/100000,""))</f>
        <v/>
      </c>
      <c r="I664" s="0" t="str">
        <f aca="false">IF(D664="","",IF(D664=CALENDÁRIO!$L$4,ROW(),""))</f>
        <v/>
      </c>
      <c r="J664" s="0" t="str">
        <f aca="false">IF(D664="","",CHOOSE(WEEKDAY(D664),"Domingo","Segunda","Terça","Quarta","Quinta","Sexta","Sábado"))</f>
        <v/>
      </c>
    </row>
    <row r="665" customFormat="false" ht="15" hidden="false" customHeight="false" outlineLevel="0" collapsed="false">
      <c r="A665" s="0" t="str">
        <f aca="false">IF(AND(ISNUMBER('ANO NOVO'!$C65),'ANO NOVO'!$D65="FOLGA"),"Folga Ano Novo","")</f>
        <v/>
      </c>
      <c r="B665" s="0" t="str">
        <f aca="false">IF(AND(ISNUMBER('ANO NOVO'!$C65),'ANO NOVO'!$D65="FOLGA"),'ANO NOVO'!$A65&amp;"","")</f>
        <v/>
      </c>
      <c r="C665" s="0" t="str">
        <f aca="false">IF(AND(ISNUMBER('ANO NOVO'!$C65),'ANO NOVO'!$D65="FOLGA"),'ANO NOVO'!$B65&amp;"","")</f>
        <v/>
      </c>
      <c r="D665" s="78" t="str">
        <f aca="false">IF(AND(ISNUMBER('ANO NOVO'!$C65),'ANO NOVO'!$D65="FOLGA"),'ANO NOVO'!$C65,"")</f>
        <v/>
      </c>
      <c r="E665" s="0" t="str">
        <f aca="false">IF(AND(ISNUMBER('ANO NOVO'!$C65),'ANO NOVO'!$D65="FOLGA"),'ANO NOVO'!$E65&amp;"","")</f>
        <v/>
      </c>
      <c r="F665" s="0" t="str">
        <f aca="false">IF(AND(ISNUMBER('ANO NOVO'!$C65),'ANO NOVO'!$D65="FOLGA"),'ANO NOVO'!$F65&amp;"","")</f>
        <v/>
      </c>
      <c r="G665" s="0" t="str">
        <f aca="true">IF(D665="","",IF(D665=TODAY(),D665+ROW()/100000,""))</f>
        <v/>
      </c>
      <c r="H665" s="0" t="str">
        <f aca="true">IF(D665="","",IF(AND(D665&gt;TODAY(),D665&lt;=TODAY()+7),D665+ROW()/100000,""))</f>
        <v/>
      </c>
      <c r="I665" s="0" t="str">
        <f aca="false">IF(D665="","",IF(D665=CALENDÁRIO!$L$4,ROW(),""))</f>
        <v/>
      </c>
      <c r="J665" s="0" t="str">
        <f aca="false">IF(D665="","",CHOOSE(WEEKDAY(D665),"Domingo","Segunda","Terça","Quarta","Quinta","Sexta","Sábado"))</f>
        <v/>
      </c>
    </row>
    <row r="666" customFormat="false" ht="15" hidden="false" customHeight="false" outlineLevel="0" collapsed="false">
      <c r="A666" s="0" t="str">
        <f aca="false">IF(AND(ISNUMBER('ANO NOVO'!$C66),'ANO NOVO'!$D66="FOLGA"),"Folga Ano Novo","")</f>
        <v/>
      </c>
      <c r="B666" s="0" t="str">
        <f aca="false">IF(AND(ISNUMBER('ANO NOVO'!$C66),'ANO NOVO'!$D66="FOLGA"),'ANO NOVO'!$A66&amp;"","")</f>
        <v/>
      </c>
      <c r="C666" s="0" t="str">
        <f aca="false">IF(AND(ISNUMBER('ANO NOVO'!$C66),'ANO NOVO'!$D66="FOLGA"),'ANO NOVO'!$B66&amp;"","")</f>
        <v/>
      </c>
      <c r="D666" s="78" t="str">
        <f aca="false">IF(AND(ISNUMBER('ANO NOVO'!$C66),'ANO NOVO'!$D66="FOLGA"),'ANO NOVO'!$C66,"")</f>
        <v/>
      </c>
      <c r="E666" s="0" t="str">
        <f aca="false">IF(AND(ISNUMBER('ANO NOVO'!$C66),'ANO NOVO'!$D66="FOLGA"),'ANO NOVO'!$E66&amp;"","")</f>
        <v/>
      </c>
      <c r="F666" s="0" t="str">
        <f aca="false">IF(AND(ISNUMBER('ANO NOVO'!$C66),'ANO NOVO'!$D66="FOLGA"),'ANO NOVO'!$F66&amp;"","")</f>
        <v/>
      </c>
      <c r="G666" s="0" t="str">
        <f aca="true">IF(D666="","",IF(D666=TODAY(),D666+ROW()/100000,""))</f>
        <v/>
      </c>
      <c r="H666" s="0" t="str">
        <f aca="true">IF(D666="","",IF(AND(D666&gt;TODAY(),D666&lt;=TODAY()+7),D666+ROW()/100000,""))</f>
        <v/>
      </c>
      <c r="I666" s="0" t="str">
        <f aca="false">IF(D666="","",IF(D666=CALENDÁRIO!$L$4,ROW(),""))</f>
        <v/>
      </c>
      <c r="J666" s="0" t="str">
        <f aca="false">IF(D666="","",CHOOSE(WEEKDAY(D666),"Domingo","Segunda","Terça","Quarta","Quinta","Sexta","Sábado"))</f>
        <v/>
      </c>
    </row>
    <row r="667" customFormat="false" ht="15" hidden="false" customHeight="false" outlineLevel="0" collapsed="false">
      <c r="A667" s="0" t="str">
        <f aca="false">IF(AND(ISNUMBER('ANO NOVO'!$C67),'ANO NOVO'!$D67="FOLGA"),"Folga Ano Novo","")</f>
        <v/>
      </c>
      <c r="B667" s="0" t="str">
        <f aca="false">IF(AND(ISNUMBER('ANO NOVO'!$C67),'ANO NOVO'!$D67="FOLGA"),'ANO NOVO'!$A67&amp;"","")</f>
        <v/>
      </c>
      <c r="C667" s="0" t="str">
        <f aca="false">IF(AND(ISNUMBER('ANO NOVO'!$C67),'ANO NOVO'!$D67="FOLGA"),'ANO NOVO'!$B67&amp;"","")</f>
        <v/>
      </c>
      <c r="D667" s="78" t="str">
        <f aca="false">IF(AND(ISNUMBER('ANO NOVO'!$C67),'ANO NOVO'!$D67="FOLGA"),'ANO NOVO'!$C67,"")</f>
        <v/>
      </c>
      <c r="E667" s="0" t="str">
        <f aca="false">IF(AND(ISNUMBER('ANO NOVO'!$C67),'ANO NOVO'!$D67="FOLGA"),'ANO NOVO'!$E67&amp;"","")</f>
        <v/>
      </c>
      <c r="F667" s="0" t="str">
        <f aca="false">IF(AND(ISNUMBER('ANO NOVO'!$C67),'ANO NOVO'!$D67="FOLGA"),'ANO NOVO'!$F67&amp;"","")</f>
        <v/>
      </c>
      <c r="G667" s="0" t="str">
        <f aca="true">IF(D667="","",IF(D667=TODAY(),D667+ROW()/100000,""))</f>
        <v/>
      </c>
      <c r="H667" s="0" t="str">
        <f aca="true">IF(D667="","",IF(AND(D667&gt;TODAY(),D667&lt;=TODAY()+7),D667+ROW()/100000,""))</f>
        <v/>
      </c>
      <c r="I667" s="0" t="str">
        <f aca="false">IF(D667="","",IF(D667=CALENDÁRIO!$L$4,ROW(),""))</f>
        <v/>
      </c>
      <c r="J667" s="0" t="str">
        <f aca="false">IF(D667="","",CHOOSE(WEEKDAY(D667),"Domingo","Segunda","Terça","Quarta","Quinta","Sexta","Sábado"))</f>
        <v/>
      </c>
    </row>
    <row r="668" customFormat="false" ht="15" hidden="false" customHeight="false" outlineLevel="0" collapsed="false">
      <c r="A668" s="0" t="str">
        <f aca="false">IF(AND(ISNUMBER('ANO NOVO'!$C68),'ANO NOVO'!$D68="FOLGA"),"Folga Ano Novo","")</f>
        <v/>
      </c>
      <c r="B668" s="0" t="str">
        <f aca="false">IF(AND(ISNUMBER('ANO NOVO'!$C68),'ANO NOVO'!$D68="FOLGA"),'ANO NOVO'!$A68&amp;"","")</f>
        <v/>
      </c>
      <c r="C668" s="0" t="str">
        <f aca="false">IF(AND(ISNUMBER('ANO NOVO'!$C68),'ANO NOVO'!$D68="FOLGA"),'ANO NOVO'!$B68&amp;"","")</f>
        <v/>
      </c>
      <c r="D668" s="78" t="str">
        <f aca="false">IF(AND(ISNUMBER('ANO NOVO'!$C68),'ANO NOVO'!$D68="FOLGA"),'ANO NOVO'!$C68,"")</f>
        <v/>
      </c>
      <c r="E668" s="0" t="str">
        <f aca="false">IF(AND(ISNUMBER('ANO NOVO'!$C68),'ANO NOVO'!$D68="FOLGA"),'ANO NOVO'!$E68&amp;"","")</f>
        <v/>
      </c>
      <c r="F668" s="0" t="str">
        <f aca="false">IF(AND(ISNUMBER('ANO NOVO'!$C68),'ANO NOVO'!$D68="FOLGA"),'ANO NOVO'!$F68&amp;"","")</f>
        <v/>
      </c>
      <c r="G668" s="0" t="str">
        <f aca="true">IF(D668="","",IF(D668=TODAY(),D668+ROW()/100000,""))</f>
        <v/>
      </c>
      <c r="H668" s="0" t="str">
        <f aca="true">IF(D668="","",IF(AND(D668&gt;TODAY(),D668&lt;=TODAY()+7),D668+ROW()/100000,""))</f>
        <v/>
      </c>
      <c r="I668" s="0" t="str">
        <f aca="false">IF(D668="","",IF(D668=CALENDÁRIO!$L$4,ROW(),""))</f>
        <v/>
      </c>
      <c r="J668" s="0" t="str">
        <f aca="false">IF(D668="","",CHOOSE(WEEKDAY(D668),"Domingo","Segunda","Terça","Quarta","Quinta","Sexta","Sábado"))</f>
        <v/>
      </c>
    </row>
    <row r="669" customFormat="false" ht="15" hidden="false" customHeight="false" outlineLevel="0" collapsed="false">
      <c r="A669" s="0" t="str">
        <f aca="false">IF(AND(ISNUMBER('ANO NOVO'!$C69),'ANO NOVO'!$D69="FOLGA"),"Folga Ano Novo","")</f>
        <v/>
      </c>
      <c r="B669" s="0" t="str">
        <f aca="false">IF(AND(ISNUMBER('ANO NOVO'!$C69),'ANO NOVO'!$D69="FOLGA"),'ANO NOVO'!$A69&amp;"","")</f>
        <v/>
      </c>
      <c r="C669" s="0" t="str">
        <f aca="false">IF(AND(ISNUMBER('ANO NOVO'!$C69),'ANO NOVO'!$D69="FOLGA"),'ANO NOVO'!$B69&amp;"","")</f>
        <v/>
      </c>
      <c r="D669" s="78" t="str">
        <f aca="false">IF(AND(ISNUMBER('ANO NOVO'!$C69),'ANO NOVO'!$D69="FOLGA"),'ANO NOVO'!$C69,"")</f>
        <v/>
      </c>
      <c r="E669" s="0" t="str">
        <f aca="false">IF(AND(ISNUMBER('ANO NOVO'!$C69),'ANO NOVO'!$D69="FOLGA"),'ANO NOVO'!$E69&amp;"","")</f>
        <v/>
      </c>
      <c r="F669" s="0" t="str">
        <f aca="false">IF(AND(ISNUMBER('ANO NOVO'!$C69),'ANO NOVO'!$D69="FOLGA"),'ANO NOVO'!$F69&amp;"","")</f>
        <v/>
      </c>
      <c r="G669" s="0" t="str">
        <f aca="true">IF(D669="","",IF(D669=TODAY(),D669+ROW()/100000,""))</f>
        <v/>
      </c>
      <c r="H669" s="0" t="str">
        <f aca="true">IF(D669="","",IF(AND(D669&gt;TODAY(),D669&lt;=TODAY()+7),D669+ROW()/100000,""))</f>
        <v/>
      </c>
      <c r="I669" s="0" t="str">
        <f aca="false">IF(D669="","",IF(D669=CALENDÁRIO!$L$4,ROW(),""))</f>
        <v/>
      </c>
      <c r="J669" s="0" t="str">
        <f aca="false">IF(D669="","",CHOOSE(WEEKDAY(D669),"Domingo","Segunda","Terça","Quarta","Quinta","Sexta","Sábado"))</f>
        <v/>
      </c>
    </row>
    <row r="670" customFormat="false" ht="15" hidden="false" customHeight="false" outlineLevel="0" collapsed="false">
      <c r="A670" s="0" t="str">
        <f aca="false">IF(AND(ISNUMBER('ANO NOVO'!$C70),'ANO NOVO'!$D70="FOLGA"),"Folga Ano Novo","")</f>
        <v/>
      </c>
      <c r="B670" s="0" t="str">
        <f aca="false">IF(AND(ISNUMBER('ANO NOVO'!$C70),'ANO NOVO'!$D70="FOLGA"),'ANO NOVO'!$A70&amp;"","")</f>
        <v/>
      </c>
      <c r="C670" s="0" t="str">
        <f aca="false">IF(AND(ISNUMBER('ANO NOVO'!$C70),'ANO NOVO'!$D70="FOLGA"),'ANO NOVO'!$B70&amp;"","")</f>
        <v/>
      </c>
      <c r="D670" s="78" t="str">
        <f aca="false">IF(AND(ISNUMBER('ANO NOVO'!$C70),'ANO NOVO'!$D70="FOLGA"),'ANO NOVO'!$C70,"")</f>
        <v/>
      </c>
      <c r="E670" s="0" t="str">
        <f aca="false">IF(AND(ISNUMBER('ANO NOVO'!$C70),'ANO NOVO'!$D70="FOLGA"),'ANO NOVO'!$E70&amp;"","")</f>
        <v/>
      </c>
      <c r="F670" s="0" t="str">
        <f aca="false">IF(AND(ISNUMBER('ANO NOVO'!$C70),'ANO NOVO'!$D70="FOLGA"),'ANO NOVO'!$F70&amp;"","")</f>
        <v/>
      </c>
      <c r="G670" s="0" t="str">
        <f aca="true">IF(D670="","",IF(D670=TODAY(),D670+ROW()/100000,""))</f>
        <v/>
      </c>
      <c r="H670" s="0" t="str">
        <f aca="true">IF(D670="","",IF(AND(D670&gt;TODAY(),D670&lt;=TODAY()+7),D670+ROW()/100000,""))</f>
        <v/>
      </c>
      <c r="I670" s="0" t="str">
        <f aca="false">IF(D670="","",IF(D670=CALENDÁRIO!$L$4,ROW(),""))</f>
        <v/>
      </c>
      <c r="J670" s="0" t="str">
        <f aca="false">IF(D670="","",CHOOSE(WEEKDAY(D670),"Domingo","Segunda","Terça","Quarta","Quinta","Sexta","Sábado"))</f>
        <v/>
      </c>
    </row>
    <row r="671" customFormat="false" ht="15" hidden="false" customHeight="false" outlineLevel="0" collapsed="false">
      <c r="A671" s="0" t="str">
        <f aca="false">IF(AND(ISNUMBER('ANO NOVO'!$C71),'ANO NOVO'!$D71="FOLGA"),"Folga Ano Novo","")</f>
        <v/>
      </c>
      <c r="B671" s="0" t="str">
        <f aca="false">IF(AND(ISNUMBER('ANO NOVO'!$C71),'ANO NOVO'!$D71="FOLGA"),'ANO NOVO'!$A71&amp;"","")</f>
        <v/>
      </c>
      <c r="C671" s="0" t="str">
        <f aca="false">IF(AND(ISNUMBER('ANO NOVO'!$C71),'ANO NOVO'!$D71="FOLGA"),'ANO NOVO'!$B71&amp;"","")</f>
        <v/>
      </c>
      <c r="D671" s="78" t="str">
        <f aca="false">IF(AND(ISNUMBER('ANO NOVO'!$C71),'ANO NOVO'!$D71="FOLGA"),'ANO NOVO'!$C71,"")</f>
        <v/>
      </c>
      <c r="E671" s="0" t="str">
        <f aca="false">IF(AND(ISNUMBER('ANO NOVO'!$C71),'ANO NOVO'!$D71="FOLGA"),'ANO NOVO'!$E71&amp;"","")</f>
        <v/>
      </c>
      <c r="F671" s="0" t="str">
        <f aca="false">IF(AND(ISNUMBER('ANO NOVO'!$C71),'ANO NOVO'!$D71="FOLGA"),'ANO NOVO'!$F71&amp;"","")</f>
        <v/>
      </c>
      <c r="G671" s="0" t="str">
        <f aca="true">IF(D671="","",IF(D671=TODAY(),D671+ROW()/100000,""))</f>
        <v/>
      </c>
      <c r="H671" s="0" t="str">
        <f aca="true">IF(D671="","",IF(AND(D671&gt;TODAY(),D671&lt;=TODAY()+7),D671+ROW()/100000,""))</f>
        <v/>
      </c>
      <c r="I671" s="0" t="str">
        <f aca="false">IF(D671="","",IF(D671=CALENDÁRIO!$L$4,ROW(),""))</f>
        <v/>
      </c>
      <c r="J671" s="0" t="str">
        <f aca="false">IF(D671="","",CHOOSE(WEEKDAY(D671),"Domingo","Segunda","Terça","Quarta","Quinta","Sexta","Sábado"))</f>
        <v/>
      </c>
    </row>
    <row r="672" customFormat="false" ht="15" hidden="false" customHeight="false" outlineLevel="0" collapsed="false">
      <c r="A672" s="0" t="str">
        <f aca="false">IF(AND(ISNUMBER('ANO NOVO'!$C72),'ANO NOVO'!$D72="FOLGA"),"Folga Ano Novo","")</f>
        <v/>
      </c>
      <c r="B672" s="0" t="str">
        <f aca="false">IF(AND(ISNUMBER('ANO NOVO'!$C72),'ANO NOVO'!$D72="FOLGA"),'ANO NOVO'!$A72&amp;"","")</f>
        <v/>
      </c>
      <c r="C672" s="0" t="str">
        <f aca="false">IF(AND(ISNUMBER('ANO NOVO'!$C72),'ANO NOVO'!$D72="FOLGA"),'ANO NOVO'!$B72&amp;"","")</f>
        <v/>
      </c>
      <c r="D672" s="78" t="str">
        <f aca="false">IF(AND(ISNUMBER('ANO NOVO'!$C72),'ANO NOVO'!$D72="FOLGA"),'ANO NOVO'!$C72,"")</f>
        <v/>
      </c>
      <c r="E672" s="0" t="str">
        <f aca="false">IF(AND(ISNUMBER('ANO NOVO'!$C72),'ANO NOVO'!$D72="FOLGA"),'ANO NOVO'!$E72&amp;"","")</f>
        <v/>
      </c>
      <c r="F672" s="0" t="str">
        <f aca="false">IF(AND(ISNUMBER('ANO NOVO'!$C72),'ANO NOVO'!$D72="FOLGA"),'ANO NOVO'!$F72&amp;"","")</f>
        <v/>
      </c>
      <c r="G672" s="0" t="str">
        <f aca="true">IF(D672="","",IF(D672=TODAY(),D672+ROW()/100000,""))</f>
        <v/>
      </c>
      <c r="H672" s="0" t="str">
        <f aca="true">IF(D672="","",IF(AND(D672&gt;TODAY(),D672&lt;=TODAY()+7),D672+ROW()/100000,""))</f>
        <v/>
      </c>
      <c r="I672" s="0" t="str">
        <f aca="false">IF(D672="","",IF(D672=CALENDÁRIO!$L$4,ROW(),""))</f>
        <v/>
      </c>
      <c r="J672" s="0" t="str">
        <f aca="false">IF(D672="","",CHOOSE(WEEKDAY(D672),"Domingo","Segunda","Terça","Quarta","Quinta","Sexta","Sábado"))</f>
        <v/>
      </c>
    </row>
    <row r="673" customFormat="false" ht="15" hidden="false" customHeight="false" outlineLevel="0" collapsed="false">
      <c r="A673" s="0" t="str">
        <f aca="false">IF(AND(ISNUMBER('ANO NOVO'!$C73),'ANO NOVO'!$D73="FOLGA"),"Folga Ano Novo","")</f>
        <v/>
      </c>
      <c r="B673" s="0" t="str">
        <f aca="false">IF(AND(ISNUMBER('ANO NOVO'!$C73),'ANO NOVO'!$D73="FOLGA"),'ANO NOVO'!$A73&amp;"","")</f>
        <v/>
      </c>
      <c r="C673" s="0" t="str">
        <f aca="false">IF(AND(ISNUMBER('ANO NOVO'!$C73),'ANO NOVO'!$D73="FOLGA"),'ANO NOVO'!$B73&amp;"","")</f>
        <v/>
      </c>
      <c r="D673" s="78" t="str">
        <f aca="false">IF(AND(ISNUMBER('ANO NOVO'!$C73),'ANO NOVO'!$D73="FOLGA"),'ANO NOVO'!$C73,"")</f>
        <v/>
      </c>
      <c r="E673" s="0" t="str">
        <f aca="false">IF(AND(ISNUMBER('ANO NOVO'!$C73),'ANO NOVO'!$D73="FOLGA"),'ANO NOVO'!$E73&amp;"","")</f>
        <v/>
      </c>
      <c r="F673" s="0" t="str">
        <f aca="false">IF(AND(ISNUMBER('ANO NOVO'!$C73),'ANO NOVO'!$D73="FOLGA"),'ANO NOVO'!$F73&amp;"","")</f>
        <v/>
      </c>
      <c r="G673" s="0" t="str">
        <f aca="true">IF(D673="","",IF(D673=TODAY(),D673+ROW()/100000,""))</f>
        <v/>
      </c>
      <c r="H673" s="0" t="str">
        <f aca="true">IF(D673="","",IF(AND(D673&gt;TODAY(),D673&lt;=TODAY()+7),D673+ROW()/100000,""))</f>
        <v/>
      </c>
      <c r="I673" s="0" t="str">
        <f aca="false">IF(D673="","",IF(D673=CALENDÁRIO!$L$4,ROW(),""))</f>
        <v/>
      </c>
      <c r="J673" s="0" t="str">
        <f aca="false">IF(D673="","",CHOOSE(WEEKDAY(D673),"Domingo","Segunda","Terça","Quarta","Quinta","Sexta","Sábado"))</f>
        <v/>
      </c>
    </row>
    <row r="674" customFormat="false" ht="15" hidden="false" customHeight="false" outlineLevel="0" collapsed="false">
      <c r="A674" s="0" t="str">
        <f aca="false">IF(AND(ISNUMBER('ANO NOVO'!$C74),'ANO NOVO'!$D74="FOLGA"),"Folga Ano Novo","")</f>
        <v/>
      </c>
      <c r="B674" s="0" t="str">
        <f aca="false">IF(AND(ISNUMBER('ANO NOVO'!$C74),'ANO NOVO'!$D74="FOLGA"),'ANO NOVO'!$A74&amp;"","")</f>
        <v/>
      </c>
      <c r="C674" s="0" t="str">
        <f aca="false">IF(AND(ISNUMBER('ANO NOVO'!$C74),'ANO NOVO'!$D74="FOLGA"),'ANO NOVO'!$B74&amp;"","")</f>
        <v/>
      </c>
      <c r="D674" s="78" t="str">
        <f aca="false">IF(AND(ISNUMBER('ANO NOVO'!$C74),'ANO NOVO'!$D74="FOLGA"),'ANO NOVO'!$C74,"")</f>
        <v/>
      </c>
      <c r="E674" s="0" t="str">
        <f aca="false">IF(AND(ISNUMBER('ANO NOVO'!$C74),'ANO NOVO'!$D74="FOLGA"),'ANO NOVO'!$E74&amp;"","")</f>
        <v/>
      </c>
      <c r="F674" s="0" t="str">
        <f aca="false">IF(AND(ISNUMBER('ANO NOVO'!$C74),'ANO NOVO'!$D74="FOLGA"),'ANO NOVO'!$F74&amp;"","")</f>
        <v/>
      </c>
      <c r="G674" s="0" t="str">
        <f aca="true">IF(D674="","",IF(D674=TODAY(),D674+ROW()/100000,""))</f>
        <v/>
      </c>
      <c r="H674" s="0" t="str">
        <f aca="true">IF(D674="","",IF(AND(D674&gt;TODAY(),D674&lt;=TODAY()+7),D674+ROW()/100000,""))</f>
        <v/>
      </c>
      <c r="I674" s="0" t="str">
        <f aca="false">IF(D674="","",IF(D674=CALENDÁRIO!$L$4,ROW(),""))</f>
        <v/>
      </c>
      <c r="J674" s="0" t="str">
        <f aca="false">IF(D674="","",CHOOSE(WEEKDAY(D674),"Domingo","Segunda","Terça","Quarta","Quinta","Sexta","Sábado"))</f>
        <v/>
      </c>
    </row>
    <row r="675" customFormat="false" ht="15" hidden="false" customHeight="false" outlineLevel="0" collapsed="false">
      <c r="A675" s="0" t="str">
        <f aca="false">IF(AND(ISNUMBER('ANO NOVO'!$C75),'ANO NOVO'!$D75="FOLGA"),"Folga Ano Novo","")</f>
        <v/>
      </c>
      <c r="B675" s="0" t="str">
        <f aca="false">IF(AND(ISNUMBER('ANO NOVO'!$C75),'ANO NOVO'!$D75="FOLGA"),'ANO NOVO'!$A75&amp;"","")</f>
        <v/>
      </c>
      <c r="C675" s="0" t="str">
        <f aca="false">IF(AND(ISNUMBER('ANO NOVO'!$C75),'ANO NOVO'!$D75="FOLGA"),'ANO NOVO'!$B75&amp;"","")</f>
        <v/>
      </c>
      <c r="D675" s="78" t="str">
        <f aca="false">IF(AND(ISNUMBER('ANO NOVO'!$C75),'ANO NOVO'!$D75="FOLGA"),'ANO NOVO'!$C75,"")</f>
        <v/>
      </c>
      <c r="E675" s="0" t="str">
        <f aca="false">IF(AND(ISNUMBER('ANO NOVO'!$C75),'ANO NOVO'!$D75="FOLGA"),'ANO NOVO'!$E75&amp;"","")</f>
        <v/>
      </c>
      <c r="F675" s="0" t="str">
        <f aca="false">IF(AND(ISNUMBER('ANO NOVO'!$C75),'ANO NOVO'!$D75="FOLGA"),'ANO NOVO'!$F75&amp;"","")</f>
        <v/>
      </c>
      <c r="G675" s="0" t="str">
        <f aca="true">IF(D675="","",IF(D675=TODAY(),D675+ROW()/100000,""))</f>
        <v/>
      </c>
      <c r="H675" s="0" t="str">
        <f aca="true">IF(D675="","",IF(AND(D675&gt;TODAY(),D675&lt;=TODAY()+7),D675+ROW()/100000,""))</f>
        <v/>
      </c>
      <c r="I675" s="0" t="str">
        <f aca="false">IF(D675="","",IF(D675=CALENDÁRIO!$L$4,ROW(),""))</f>
        <v/>
      </c>
      <c r="J675" s="0" t="str">
        <f aca="false">IF(D675="","",CHOOSE(WEEKDAY(D675),"Domingo","Segunda","Terça","Quarta","Quinta","Sexta","Sábado"))</f>
        <v/>
      </c>
    </row>
    <row r="676" customFormat="false" ht="15" hidden="false" customHeight="false" outlineLevel="0" collapsed="false">
      <c r="A676" s="0" t="str">
        <f aca="false">IF(AND(ISNUMBER('ANO NOVO'!$C76),'ANO NOVO'!$D76="FOLGA"),"Folga Ano Novo","")</f>
        <v/>
      </c>
      <c r="B676" s="0" t="str">
        <f aca="false">IF(AND(ISNUMBER('ANO NOVO'!$C76),'ANO NOVO'!$D76="FOLGA"),'ANO NOVO'!$A76&amp;"","")</f>
        <v/>
      </c>
      <c r="C676" s="0" t="str">
        <f aca="false">IF(AND(ISNUMBER('ANO NOVO'!$C76),'ANO NOVO'!$D76="FOLGA"),'ANO NOVO'!$B76&amp;"","")</f>
        <v/>
      </c>
      <c r="D676" s="78" t="str">
        <f aca="false">IF(AND(ISNUMBER('ANO NOVO'!$C76),'ANO NOVO'!$D76="FOLGA"),'ANO NOVO'!$C76,"")</f>
        <v/>
      </c>
      <c r="E676" s="0" t="str">
        <f aca="false">IF(AND(ISNUMBER('ANO NOVO'!$C76),'ANO NOVO'!$D76="FOLGA"),'ANO NOVO'!$E76&amp;"","")</f>
        <v/>
      </c>
      <c r="F676" s="0" t="str">
        <f aca="false">IF(AND(ISNUMBER('ANO NOVO'!$C76),'ANO NOVO'!$D76="FOLGA"),'ANO NOVO'!$F76&amp;"","")</f>
        <v/>
      </c>
      <c r="G676" s="0" t="str">
        <f aca="true">IF(D676="","",IF(D676=TODAY(),D676+ROW()/100000,""))</f>
        <v/>
      </c>
      <c r="H676" s="0" t="str">
        <f aca="true">IF(D676="","",IF(AND(D676&gt;TODAY(),D676&lt;=TODAY()+7),D676+ROW()/100000,""))</f>
        <v/>
      </c>
      <c r="I676" s="0" t="str">
        <f aca="false">IF(D676="","",IF(D676=CALENDÁRIO!$L$4,ROW(),""))</f>
        <v/>
      </c>
      <c r="J676" s="0" t="str">
        <f aca="false">IF(D676="","",CHOOSE(WEEKDAY(D676),"Domingo","Segunda","Terça","Quarta","Quinta","Sexta","Sábado"))</f>
        <v/>
      </c>
    </row>
    <row r="677" customFormat="false" ht="15" hidden="false" customHeight="false" outlineLevel="0" collapsed="false">
      <c r="A677" s="0" t="str">
        <f aca="false">IF(AND(ISNUMBER('ANO NOVO'!$C77),'ANO NOVO'!$D77="FOLGA"),"Folga Ano Novo","")</f>
        <v/>
      </c>
      <c r="B677" s="0" t="str">
        <f aca="false">IF(AND(ISNUMBER('ANO NOVO'!$C77),'ANO NOVO'!$D77="FOLGA"),'ANO NOVO'!$A77&amp;"","")</f>
        <v/>
      </c>
      <c r="C677" s="0" t="str">
        <f aca="false">IF(AND(ISNUMBER('ANO NOVO'!$C77),'ANO NOVO'!$D77="FOLGA"),'ANO NOVO'!$B77&amp;"","")</f>
        <v/>
      </c>
      <c r="D677" s="78" t="str">
        <f aca="false">IF(AND(ISNUMBER('ANO NOVO'!$C77),'ANO NOVO'!$D77="FOLGA"),'ANO NOVO'!$C77,"")</f>
        <v/>
      </c>
      <c r="E677" s="0" t="str">
        <f aca="false">IF(AND(ISNUMBER('ANO NOVO'!$C77),'ANO NOVO'!$D77="FOLGA"),'ANO NOVO'!$E77&amp;"","")</f>
        <v/>
      </c>
      <c r="F677" s="0" t="str">
        <f aca="false">IF(AND(ISNUMBER('ANO NOVO'!$C77),'ANO NOVO'!$D77="FOLGA"),'ANO NOVO'!$F77&amp;"","")</f>
        <v/>
      </c>
      <c r="G677" s="0" t="str">
        <f aca="true">IF(D677="","",IF(D677=TODAY(),D677+ROW()/100000,""))</f>
        <v/>
      </c>
      <c r="H677" s="0" t="str">
        <f aca="true">IF(D677="","",IF(AND(D677&gt;TODAY(),D677&lt;=TODAY()+7),D677+ROW()/100000,""))</f>
        <v/>
      </c>
      <c r="I677" s="0" t="str">
        <f aca="false">IF(D677="","",IF(D677=CALENDÁRIO!$L$4,ROW(),""))</f>
        <v/>
      </c>
      <c r="J677" s="0" t="str">
        <f aca="false">IF(D677="","",CHOOSE(WEEKDAY(D677),"Domingo","Segunda","Terça","Quarta","Quinta","Sexta","Sábado"))</f>
        <v/>
      </c>
    </row>
    <row r="678" customFormat="false" ht="15" hidden="false" customHeight="false" outlineLevel="0" collapsed="false">
      <c r="A678" s="0" t="str">
        <f aca="false">IF(AND(ISNUMBER('ANO NOVO'!$C78),'ANO NOVO'!$D78="FOLGA"),"Folga Ano Novo","")</f>
        <v/>
      </c>
      <c r="B678" s="0" t="str">
        <f aca="false">IF(AND(ISNUMBER('ANO NOVO'!$C78),'ANO NOVO'!$D78="FOLGA"),'ANO NOVO'!$A78&amp;"","")</f>
        <v/>
      </c>
      <c r="C678" s="0" t="str">
        <f aca="false">IF(AND(ISNUMBER('ANO NOVO'!$C78),'ANO NOVO'!$D78="FOLGA"),'ANO NOVO'!$B78&amp;"","")</f>
        <v/>
      </c>
      <c r="D678" s="78" t="str">
        <f aca="false">IF(AND(ISNUMBER('ANO NOVO'!$C78),'ANO NOVO'!$D78="FOLGA"),'ANO NOVO'!$C78,"")</f>
        <v/>
      </c>
      <c r="E678" s="0" t="str">
        <f aca="false">IF(AND(ISNUMBER('ANO NOVO'!$C78),'ANO NOVO'!$D78="FOLGA"),'ANO NOVO'!$E78&amp;"","")</f>
        <v/>
      </c>
      <c r="F678" s="0" t="str">
        <f aca="false">IF(AND(ISNUMBER('ANO NOVO'!$C78),'ANO NOVO'!$D78="FOLGA"),'ANO NOVO'!$F78&amp;"","")</f>
        <v/>
      </c>
      <c r="G678" s="0" t="str">
        <f aca="true">IF(D678="","",IF(D678=TODAY(),D678+ROW()/100000,""))</f>
        <v/>
      </c>
      <c r="H678" s="0" t="str">
        <f aca="true">IF(D678="","",IF(AND(D678&gt;TODAY(),D678&lt;=TODAY()+7),D678+ROW()/100000,""))</f>
        <v/>
      </c>
      <c r="I678" s="0" t="str">
        <f aca="false">IF(D678="","",IF(D678=CALENDÁRIO!$L$4,ROW(),""))</f>
        <v/>
      </c>
      <c r="J678" s="0" t="str">
        <f aca="false">IF(D678="","",CHOOSE(WEEKDAY(D678),"Domingo","Segunda","Terça","Quarta","Quinta","Sexta","Sábado"))</f>
        <v/>
      </c>
    </row>
    <row r="679" customFormat="false" ht="15" hidden="false" customHeight="false" outlineLevel="0" collapsed="false">
      <c r="A679" s="0" t="str">
        <f aca="false">IF(AND(ISNUMBER('ANO NOVO'!$C79),'ANO NOVO'!$D79="FOLGA"),"Folga Ano Novo","")</f>
        <v/>
      </c>
      <c r="B679" s="0" t="str">
        <f aca="false">IF(AND(ISNUMBER('ANO NOVO'!$C79),'ANO NOVO'!$D79="FOLGA"),'ANO NOVO'!$A79&amp;"","")</f>
        <v/>
      </c>
      <c r="C679" s="0" t="str">
        <f aca="false">IF(AND(ISNUMBER('ANO NOVO'!$C79),'ANO NOVO'!$D79="FOLGA"),'ANO NOVO'!$B79&amp;"","")</f>
        <v/>
      </c>
      <c r="D679" s="78" t="str">
        <f aca="false">IF(AND(ISNUMBER('ANO NOVO'!$C79),'ANO NOVO'!$D79="FOLGA"),'ANO NOVO'!$C79,"")</f>
        <v/>
      </c>
      <c r="E679" s="0" t="str">
        <f aca="false">IF(AND(ISNUMBER('ANO NOVO'!$C79),'ANO NOVO'!$D79="FOLGA"),'ANO NOVO'!$E79&amp;"","")</f>
        <v/>
      </c>
      <c r="F679" s="0" t="str">
        <f aca="false">IF(AND(ISNUMBER('ANO NOVO'!$C79),'ANO NOVO'!$D79="FOLGA"),'ANO NOVO'!$F79&amp;"","")</f>
        <v/>
      </c>
      <c r="G679" s="0" t="str">
        <f aca="true">IF(D679="","",IF(D679=TODAY(),D679+ROW()/100000,""))</f>
        <v/>
      </c>
      <c r="H679" s="0" t="str">
        <f aca="true">IF(D679="","",IF(AND(D679&gt;TODAY(),D679&lt;=TODAY()+7),D679+ROW()/100000,""))</f>
        <v/>
      </c>
      <c r="I679" s="0" t="str">
        <f aca="false">IF(D679="","",IF(D679=CALENDÁRIO!$L$4,ROW(),""))</f>
        <v/>
      </c>
      <c r="J679" s="0" t="str">
        <f aca="false">IF(D679="","",CHOOSE(WEEKDAY(D679),"Domingo","Segunda","Terça","Quarta","Quinta","Sexta","Sábado"))</f>
        <v/>
      </c>
    </row>
    <row r="680" customFormat="false" ht="15" hidden="false" customHeight="false" outlineLevel="0" collapsed="false">
      <c r="A680" s="0" t="str">
        <f aca="false">IF(AND(ISNUMBER('ANO NOVO'!$C80),'ANO NOVO'!$D80="FOLGA"),"Folga Ano Novo","")</f>
        <v/>
      </c>
      <c r="B680" s="0" t="str">
        <f aca="false">IF(AND(ISNUMBER('ANO NOVO'!$C80),'ANO NOVO'!$D80="FOLGA"),'ANO NOVO'!$A80&amp;"","")</f>
        <v/>
      </c>
      <c r="C680" s="0" t="str">
        <f aca="false">IF(AND(ISNUMBER('ANO NOVO'!$C80),'ANO NOVO'!$D80="FOLGA"),'ANO NOVO'!$B80&amp;"","")</f>
        <v/>
      </c>
      <c r="D680" s="78" t="str">
        <f aca="false">IF(AND(ISNUMBER('ANO NOVO'!$C80),'ANO NOVO'!$D80="FOLGA"),'ANO NOVO'!$C80,"")</f>
        <v/>
      </c>
      <c r="E680" s="0" t="str">
        <f aca="false">IF(AND(ISNUMBER('ANO NOVO'!$C80),'ANO NOVO'!$D80="FOLGA"),'ANO NOVO'!$E80&amp;"","")</f>
        <v/>
      </c>
      <c r="F680" s="0" t="str">
        <f aca="false">IF(AND(ISNUMBER('ANO NOVO'!$C80),'ANO NOVO'!$D80="FOLGA"),'ANO NOVO'!$F80&amp;"","")</f>
        <v/>
      </c>
      <c r="G680" s="0" t="str">
        <f aca="true">IF(D680="","",IF(D680=TODAY(),D680+ROW()/100000,""))</f>
        <v/>
      </c>
      <c r="H680" s="0" t="str">
        <f aca="true">IF(D680="","",IF(AND(D680&gt;TODAY(),D680&lt;=TODAY()+7),D680+ROW()/100000,""))</f>
        <v/>
      </c>
      <c r="I680" s="0" t="str">
        <f aca="false">IF(D680="","",IF(D680=CALENDÁRIO!$L$4,ROW(),""))</f>
        <v/>
      </c>
      <c r="J680" s="0" t="str">
        <f aca="false">IF(D680="","",CHOOSE(WEEKDAY(D680),"Domingo","Segunda","Terça","Quarta","Quinta","Sexta","Sábado"))</f>
        <v/>
      </c>
    </row>
    <row r="681" customFormat="false" ht="15" hidden="false" customHeight="false" outlineLevel="0" collapsed="false">
      <c r="A681" s="0" t="str">
        <f aca="false">IF(AND(ISNUMBER('ANO NOVO'!$C81),'ANO NOVO'!$D81="FOLGA"),"Folga Ano Novo","")</f>
        <v/>
      </c>
      <c r="B681" s="0" t="str">
        <f aca="false">IF(AND(ISNUMBER('ANO NOVO'!$C81),'ANO NOVO'!$D81="FOLGA"),'ANO NOVO'!$A81&amp;"","")</f>
        <v/>
      </c>
      <c r="C681" s="0" t="str">
        <f aca="false">IF(AND(ISNUMBER('ANO NOVO'!$C81),'ANO NOVO'!$D81="FOLGA"),'ANO NOVO'!$B81&amp;"","")</f>
        <v/>
      </c>
      <c r="D681" s="78" t="str">
        <f aca="false">IF(AND(ISNUMBER('ANO NOVO'!$C81),'ANO NOVO'!$D81="FOLGA"),'ANO NOVO'!$C81,"")</f>
        <v/>
      </c>
      <c r="E681" s="0" t="str">
        <f aca="false">IF(AND(ISNUMBER('ANO NOVO'!$C81),'ANO NOVO'!$D81="FOLGA"),'ANO NOVO'!$E81&amp;"","")</f>
        <v/>
      </c>
      <c r="F681" s="0" t="str">
        <f aca="false">IF(AND(ISNUMBER('ANO NOVO'!$C81),'ANO NOVO'!$D81="FOLGA"),'ANO NOVO'!$F81&amp;"","")</f>
        <v/>
      </c>
      <c r="G681" s="0" t="str">
        <f aca="true">IF(D681="","",IF(D681=TODAY(),D681+ROW()/100000,""))</f>
        <v/>
      </c>
      <c r="H681" s="0" t="str">
        <f aca="true">IF(D681="","",IF(AND(D681&gt;TODAY(),D681&lt;=TODAY()+7),D681+ROW()/100000,""))</f>
        <v/>
      </c>
      <c r="I681" s="0" t="str">
        <f aca="false">IF(D681="","",IF(D681=CALENDÁRIO!$L$4,ROW(),""))</f>
        <v/>
      </c>
      <c r="J681" s="0" t="str">
        <f aca="false">IF(D681="","",CHOOSE(WEEKDAY(D681),"Domingo","Segunda","Terça","Quarta","Quinta","Sexta","Sábado"))</f>
        <v/>
      </c>
    </row>
    <row r="682" customFormat="false" ht="15" hidden="false" customHeight="false" outlineLevel="0" collapsed="false">
      <c r="A682" s="0" t="str">
        <f aca="false">IF(AND(ISNUMBER('ANO NOVO'!$C82),'ANO NOVO'!$D82="FOLGA"),"Folga Ano Novo","")</f>
        <v/>
      </c>
      <c r="B682" s="0" t="str">
        <f aca="false">IF(AND(ISNUMBER('ANO NOVO'!$C82),'ANO NOVO'!$D82="FOLGA"),'ANO NOVO'!$A82&amp;"","")</f>
        <v/>
      </c>
      <c r="C682" s="0" t="str">
        <f aca="false">IF(AND(ISNUMBER('ANO NOVO'!$C82),'ANO NOVO'!$D82="FOLGA"),'ANO NOVO'!$B82&amp;"","")</f>
        <v/>
      </c>
      <c r="D682" s="78" t="str">
        <f aca="false">IF(AND(ISNUMBER('ANO NOVO'!$C82),'ANO NOVO'!$D82="FOLGA"),'ANO NOVO'!$C82,"")</f>
        <v/>
      </c>
      <c r="E682" s="0" t="str">
        <f aca="false">IF(AND(ISNUMBER('ANO NOVO'!$C82),'ANO NOVO'!$D82="FOLGA"),'ANO NOVO'!$E82&amp;"","")</f>
        <v/>
      </c>
      <c r="F682" s="0" t="str">
        <f aca="false">IF(AND(ISNUMBER('ANO NOVO'!$C82),'ANO NOVO'!$D82="FOLGA"),'ANO NOVO'!$F82&amp;"","")</f>
        <v/>
      </c>
      <c r="G682" s="0" t="str">
        <f aca="true">IF(D682="","",IF(D682=TODAY(),D682+ROW()/100000,""))</f>
        <v/>
      </c>
      <c r="H682" s="0" t="str">
        <f aca="true">IF(D682="","",IF(AND(D682&gt;TODAY(),D682&lt;=TODAY()+7),D682+ROW()/100000,""))</f>
        <v/>
      </c>
      <c r="I682" s="0" t="str">
        <f aca="false">IF(D682="","",IF(D682=CALENDÁRIO!$L$4,ROW(),""))</f>
        <v/>
      </c>
      <c r="J682" s="0" t="str">
        <f aca="false">IF(D682="","",CHOOSE(WEEKDAY(D682),"Domingo","Segunda","Terça","Quarta","Quinta","Sexta","Sábado"))</f>
        <v/>
      </c>
    </row>
    <row r="683" customFormat="false" ht="15" hidden="false" customHeight="false" outlineLevel="0" collapsed="false">
      <c r="A683" s="0" t="str">
        <f aca="false">IF(AND(ISNUMBER('ANO NOVO'!$C83),'ANO NOVO'!$D83="FOLGA"),"Folga Ano Novo","")</f>
        <v/>
      </c>
      <c r="B683" s="0" t="str">
        <f aca="false">IF(AND(ISNUMBER('ANO NOVO'!$C83),'ANO NOVO'!$D83="FOLGA"),'ANO NOVO'!$A83&amp;"","")</f>
        <v/>
      </c>
      <c r="C683" s="0" t="str">
        <f aca="false">IF(AND(ISNUMBER('ANO NOVO'!$C83),'ANO NOVO'!$D83="FOLGA"),'ANO NOVO'!$B83&amp;"","")</f>
        <v/>
      </c>
      <c r="D683" s="78" t="str">
        <f aca="false">IF(AND(ISNUMBER('ANO NOVO'!$C83),'ANO NOVO'!$D83="FOLGA"),'ANO NOVO'!$C83,"")</f>
        <v/>
      </c>
      <c r="E683" s="0" t="str">
        <f aca="false">IF(AND(ISNUMBER('ANO NOVO'!$C83),'ANO NOVO'!$D83="FOLGA"),'ANO NOVO'!$E83&amp;"","")</f>
        <v/>
      </c>
      <c r="F683" s="0" t="str">
        <f aca="false">IF(AND(ISNUMBER('ANO NOVO'!$C83),'ANO NOVO'!$D83="FOLGA"),'ANO NOVO'!$F83&amp;"","")</f>
        <v/>
      </c>
      <c r="G683" s="0" t="str">
        <f aca="true">IF(D683="","",IF(D683=TODAY(),D683+ROW()/100000,""))</f>
        <v/>
      </c>
      <c r="H683" s="0" t="str">
        <f aca="true">IF(D683="","",IF(AND(D683&gt;TODAY(),D683&lt;=TODAY()+7),D683+ROW()/100000,""))</f>
        <v/>
      </c>
      <c r="I683" s="0" t="str">
        <f aca="false">IF(D683="","",IF(D683=CALENDÁRIO!$L$4,ROW(),""))</f>
        <v/>
      </c>
      <c r="J683" s="0" t="str">
        <f aca="false">IF(D683="","",CHOOSE(WEEKDAY(D683),"Domingo","Segunda","Terça","Quarta","Quinta","Sexta","Sábado"))</f>
        <v/>
      </c>
    </row>
    <row r="684" customFormat="false" ht="15" hidden="false" customHeight="false" outlineLevel="0" collapsed="false">
      <c r="A684" s="0" t="str">
        <f aca="false">IF(AND(ISNUMBER('ANO NOVO'!$C84),'ANO NOVO'!$D84="FOLGA"),"Folga Ano Novo","")</f>
        <v/>
      </c>
      <c r="B684" s="0" t="str">
        <f aca="false">IF(AND(ISNUMBER('ANO NOVO'!$C84),'ANO NOVO'!$D84="FOLGA"),'ANO NOVO'!$A84&amp;"","")</f>
        <v/>
      </c>
      <c r="C684" s="0" t="str">
        <f aca="false">IF(AND(ISNUMBER('ANO NOVO'!$C84),'ANO NOVO'!$D84="FOLGA"),'ANO NOVO'!$B84&amp;"","")</f>
        <v/>
      </c>
      <c r="D684" s="78" t="str">
        <f aca="false">IF(AND(ISNUMBER('ANO NOVO'!$C84),'ANO NOVO'!$D84="FOLGA"),'ANO NOVO'!$C84,"")</f>
        <v/>
      </c>
      <c r="E684" s="0" t="str">
        <f aca="false">IF(AND(ISNUMBER('ANO NOVO'!$C84),'ANO NOVO'!$D84="FOLGA"),'ANO NOVO'!$E84&amp;"","")</f>
        <v/>
      </c>
      <c r="F684" s="0" t="str">
        <f aca="false">IF(AND(ISNUMBER('ANO NOVO'!$C84),'ANO NOVO'!$D84="FOLGA"),'ANO NOVO'!$F84&amp;"","")</f>
        <v/>
      </c>
      <c r="G684" s="0" t="str">
        <f aca="true">IF(D684="","",IF(D684=TODAY(),D684+ROW()/100000,""))</f>
        <v/>
      </c>
      <c r="H684" s="0" t="str">
        <f aca="true">IF(D684="","",IF(AND(D684&gt;TODAY(),D684&lt;=TODAY()+7),D684+ROW()/100000,""))</f>
        <v/>
      </c>
      <c r="I684" s="0" t="str">
        <f aca="false">IF(D684="","",IF(D684=CALENDÁRIO!$L$4,ROW(),""))</f>
        <v/>
      </c>
      <c r="J684" s="0" t="str">
        <f aca="false">IF(D684="","",CHOOSE(WEEKDAY(D684),"Domingo","Segunda","Terça","Quarta","Quinta","Sexta","Sábado"))</f>
        <v/>
      </c>
    </row>
    <row r="685" customFormat="false" ht="15" hidden="false" customHeight="false" outlineLevel="0" collapsed="false">
      <c r="A685" s="0" t="str">
        <f aca="false">IF(AND(ISNUMBER('ANO NOVO'!$C85),'ANO NOVO'!$D85="FOLGA"),"Folga Ano Novo","")</f>
        <v/>
      </c>
      <c r="B685" s="0" t="str">
        <f aca="false">IF(AND(ISNUMBER('ANO NOVO'!$C85),'ANO NOVO'!$D85="FOLGA"),'ANO NOVO'!$A85&amp;"","")</f>
        <v/>
      </c>
      <c r="C685" s="0" t="str">
        <f aca="false">IF(AND(ISNUMBER('ANO NOVO'!$C85),'ANO NOVO'!$D85="FOLGA"),'ANO NOVO'!$B85&amp;"","")</f>
        <v/>
      </c>
      <c r="D685" s="78" t="str">
        <f aca="false">IF(AND(ISNUMBER('ANO NOVO'!$C85),'ANO NOVO'!$D85="FOLGA"),'ANO NOVO'!$C85,"")</f>
        <v/>
      </c>
      <c r="E685" s="0" t="str">
        <f aca="false">IF(AND(ISNUMBER('ANO NOVO'!$C85),'ANO NOVO'!$D85="FOLGA"),'ANO NOVO'!$E85&amp;"","")</f>
        <v/>
      </c>
      <c r="F685" s="0" t="str">
        <f aca="false">IF(AND(ISNUMBER('ANO NOVO'!$C85),'ANO NOVO'!$D85="FOLGA"),'ANO NOVO'!$F85&amp;"","")</f>
        <v/>
      </c>
      <c r="G685" s="0" t="str">
        <f aca="true">IF(D685="","",IF(D685=TODAY(),D685+ROW()/100000,""))</f>
        <v/>
      </c>
      <c r="H685" s="0" t="str">
        <f aca="true">IF(D685="","",IF(AND(D685&gt;TODAY(),D685&lt;=TODAY()+7),D685+ROW()/100000,""))</f>
        <v/>
      </c>
      <c r="I685" s="0" t="str">
        <f aca="false">IF(D685="","",IF(D685=CALENDÁRIO!$L$4,ROW(),""))</f>
        <v/>
      </c>
      <c r="J685" s="0" t="str">
        <f aca="false">IF(D685="","",CHOOSE(WEEKDAY(D685),"Domingo","Segunda","Terça","Quarta","Quinta","Sexta","Sábado"))</f>
        <v/>
      </c>
    </row>
    <row r="686" customFormat="false" ht="15" hidden="false" customHeight="false" outlineLevel="0" collapsed="false">
      <c r="A686" s="0" t="str">
        <f aca="false">IF(AND(ISNUMBER('ANO NOVO'!$C86),'ANO NOVO'!$D86="FOLGA"),"Folga Ano Novo","")</f>
        <v/>
      </c>
      <c r="B686" s="0" t="str">
        <f aca="false">IF(AND(ISNUMBER('ANO NOVO'!$C86),'ANO NOVO'!$D86="FOLGA"),'ANO NOVO'!$A86&amp;"","")</f>
        <v/>
      </c>
      <c r="C686" s="0" t="str">
        <f aca="false">IF(AND(ISNUMBER('ANO NOVO'!$C86),'ANO NOVO'!$D86="FOLGA"),'ANO NOVO'!$B86&amp;"","")</f>
        <v/>
      </c>
      <c r="D686" s="78" t="str">
        <f aca="false">IF(AND(ISNUMBER('ANO NOVO'!$C86),'ANO NOVO'!$D86="FOLGA"),'ANO NOVO'!$C86,"")</f>
        <v/>
      </c>
      <c r="E686" s="0" t="str">
        <f aca="false">IF(AND(ISNUMBER('ANO NOVO'!$C86),'ANO NOVO'!$D86="FOLGA"),'ANO NOVO'!$E86&amp;"","")</f>
        <v/>
      </c>
      <c r="F686" s="0" t="str">
        <f aca="false">IF(AND(ISNUMBER('ANO NOVO'!$C86),'ANO NOVO'!$D86="FOLGA"),'ANO NOVO'!$F86&amp;"","")</f>
        <v/>
      </c>
      <c r="G686" s="0" t="str">
        <f aca="true">IF(D686="","",IF(D686=TODAY(),D686+ROW()/100000,""))</f>
        <v/>
      </c>
      <c r="H686" s="0" t="str">
        <f aca="true">IF(D686="","",IF(AND(D686&gt;TODAY(),D686&lt;=TODAY()+7),D686+ROW()/100000,""))</f>
        <v/>
      </c>
      <c r="I686" s="0" t="str">
        <f aca="false">IF(D686="","",IF(D686=CALENDÁRIO!$L$4,ROW(),""))</f>
        <v/>
      </c>
      <c r="J686" s="0" t="str">
        <f aca="false">IF(D686="","",CHOOSE(WEEKDAY(D686),"Domingo","Segunda","Terça","Quarta","Quinta","Sexta","Sábado"))</f>
        <v/>
      </c>
    </row>
    <row r="687" customFormat="false" ht="15" hidden="false" customHeight="false" outlineLevel="0" collapsed="false">
      <c r="A687" s="0" t="str">
        <f aca="false">IF(AND(ISNUMBER('ANO NOVO'!$C87),'ANO NOVO'!$D87="FOLGA"),"Folga Ano Novo","")</f>
        <v/>
      </c>
      <c r="B687" s="0" t="str">
        <f aca="false">IF(AND(ISNUMBER('ANO NOVO'!$C87),'ANO NOVO'!$D87="FOLGA"),'ANO NOVO'!$A87&amp;"","")</f>
        <v/>
      </c>
      <c r="C687" s="0" t="str">
        <f aca="false">IF(AND(ISNUMBER('ANO NOVO'!$C87),'ANO NOVO'!$D87="FOLGA"),'ANO NOVO'!$B87&amp;"","")</f>
        <v/>
      </c>
      <c r="D687" s="78" t="str">
        <f aca="false">IF(AND(ISNUMBER('ANO NOVO'!$C87),'ANO NOVO'!$D87="FOLGA"),'ANO NOVO'!$C87,"")</f>
        <v/>
      </c>
      <c r="E687" s="0" t="str">
        <f aca="false">IF(AND(ISNUMBER('ANO NOVO'!$C87),'ANO NOVO'!$D87="FOLGA"),'ANO NOVO'!$E87&amp;"","")</f>
        <v/>
      </c>
      <c r="F687" s="0" t="str">
        <f aca="false">IF(AND(ISNUMBER('ANO NOVO'!$C87),'ANO NOVO'!$D87="FOLGA"),'ANO NOVO'!$F87&amp;"","")</f>
        <v/>
      </c>
      <c r="G687" s="0" t="str">
        <f aca="true">IF(D687="","",IF(D687=TODAY(),D687+ROW()/100000,""))</f>
        <v/>
      </c>
      <c r="H687" s="0" t="str">
        <f aca="true">IF(D687="","",IF(AND(D687&gt;TODAY(),D687&lt;=TODAY()+7),D687+ROW()/100000,""))</f>
        <v/>
      </c>
      <c r="I687" s="0" t="str">
        <f aca="false">IF(D687="","",IF(D687=CALENDÁRIO!$L$4,ROW(),""))</f>
        <v/>
      </c>
      <c r="J687" s="0" t="str">
        <f aca="false">IF(D687="","",CHOOSE(WEEKDAY(D687),"Domingo","Segunda","Terça","Quarta","Quinta","Sexta","Sábado"))</f>
        <v/>
      </c>
    </row>
    <row r="688" customFormat="false" ht="15" hidden="false" customHeight="false" outlineLevel="0" collapsed="false">
      <c r="A688" s="0" t="str">
        <f aca="false">IF(AND(ISNUMBER('ANO NOVO'!$C88),'ANO NOVO'!$D88="FOLGA"),"Folga Ano Novo","")</f>
        <v/>
      </c>
      <c r="B688" s="0" t="str">
        <f aca="false">IF(AND(ISNUMBER('ANO NOVO'!$C88),'ANO NOVO'!$D88="FOLGA"),'ANO NOVO'!$A88&amp;"","")</f>
        <v/>
      </c>
      <c r="C688" s="0" t="str">
        <f aca="false">IF(AND(ISNUMBER('ANO NOVO'!$C88),'ANO NOVO'!$D88="FOLGA"),'ANO NOVO'!$B88&amp;"","")</f>
        <v/>
      </c>
      <c r="D688" s="78" t="str">
        <f aca="false">IF(AND(ISNUMBER('ANO NOVO'!$C88),'ANO NOVO'!$D88="FOLGA"),'ANO NOVO'!$C88,"")</f>
        <v/>
      </c>
      <c r="E688" s="0" t="str">
        <f aca="false">IF(AND(ISNUMBER('ANO NOVO'!$C88),'ANO NOVO'!$D88="FOLGA"),'ANO NOVO'!$E88&amp;"","")</f>
        <v/>
      </c>
      <c r="F688" s="0" t="str">
        <f aca="false">IF(AND(ISNUMBER('ANO NOVO'!$C88),'ANO NOVO'!$D88="FOLGA"),'ANO NOVO'!$F88&amp;"","")</f>
        <v/>
      </c>
      <c r="G688" s="0" t="str">
        <f aca="true">IF(D688="","",IF(D688=TODAY(),D688+ROW()/100000,""))</f>
        <v/>
      </c>
      <c r="H688" s="0" t="str">
        <f aca="true">IF(D688="","",IF(AND(D688&gt;TODAY(),D688&lt;=TODAY()+7),D688+ROW()/100000,""))</f>
        <v/>
      </c>
      <c r="I688" s="0" t="str">
        <f aca="false">IF(D688="","",IF(D688=CALENDÁRIO!$L$4,ROW(),""))</f>
        <v/>
      </c>
      <c r="J688" s="0" t="str">
        <f aca="false">IF(D688="","",CHOOSE(WEEKDAY(D688),"Domingo","Segunda","Terça","Quarta","Quinta","Sexta","Sábado"))</f>
        <v/>
      </c>
    </row>
    <row r="689" customFormat="false" ht="15" hidden="false" customHeight="false" outlineLevel="0" collapsed="false">
      <c r="A689" s="0" t="str">
        <f aca="false">IF(AND(ISNUMBER('ANO NOVO'!$C89),'ANO NOVO'!$D89="FOLGA"),"Folga Ano Novo","")</f>
        <v/>
      </c>
      <c r="B689" s="0" t="str">
        <f aca="false">IF(AND(ISNUMBER('ANO NOVO'!$C89),'ANO NOVO'!$D89="FOLGA"),'ANO NOVO'!$A89&amp;"","")</f>
        <v/>
      </c>
      <c r="C689" s="0" t="str">
        <f aca="false">IF(AND(ISNUMBER('ANO NOVO'!$C89),'ANO NOVO'!$D89="FOLGA"),'ANO NOVO'!$B89&amp;"","")</f>
        <v/>
      </c>
      <c r="D689" s="78" t="str">
        <f aca="false">IF(AND(ISNUMBER('ANO NOVO'!$C89),'ANO NOVO'!$D89="FOLGA"),'ANO NOVO'!$C89,"")</f>
        <v/>
      </c>
      <c r="E689" s="0" t="str">
        <f aca="false">IF(AND(ISNUMBER('ANO NOVO'!$C89),'ANO NOVO'!$D89="FOLGA"),'ANO NOVO'!$E89&amp;"","")</f>
        <v/>
      </c>
      <c r="F689" s="0" t="str">
        <f aca="false">IF(AND(ISNUMBER('ANO NOVO'!$C89),'ANO NOVO'!$D89="FOLGA"),'ANO NOVO'!$F89&amp;"","")</f>
        <v/>
      </c>
      <c r="G689" s="0" t="str">
        <f aca="true">IF(D689="","",IF(D689=TODAY(),D689+ROW()/100000,""))</f>
        <v/>
      </c>
      <c r="H689" s="0" t="str">
        <f aca="true">IF(D689="","",IF(AND(D689&gt;TODAY(),D689&lt;=TODAY()+7),D689+ROW()/100000,""))</f>
        <v/>
      </c>
      <c r="I689" s="0" t="str">
        <f aca="false">IF(D689="","",IF(D689=CALENDÁRIO!$L$4,ROW(),""))</f>
        <v/>
      </c>
      <c r="J689" s="0" t="str">
        <f aca="false">IF(D689="","",CHOOSE(WEEKDAY(D689),"Domingo","Segunda","Terça","Quarta","Quinta","Sexta","Sábado"))</f>
        <v/>
      </c>
    </row>
    <row r="690" customFormat="false" ht="15" hidden="false" customHeight="false" outlineLevel="0" collapsed="false">
      <c r="A690" s="0" t="str">
        <f aca="false">IF(AND(ISNUMBER('ANO NOVO'!$C90),'ANO NOVO'!$D90="FOLGA"),"Folga Ano Novo","")</f>
        <v/>
      </c>
      <c r="B690" s="0" t="str">
        <f aca="false">IF(AND(ISNUMBER('ANO NOVO'!$C90),'ANO NOVO'!$D90="FOLGA"),'ANO NOVO'!$A90&amp;"","")</f>
        <v/>
      </c>
      <c r="C690" s="0" t="str">
        <f aca="false">IF(AND(ISNUMBER('ANO NOVO'!$C90),'ANO NOVO'!$D90="FOLGA"),'ANO NOVO'!$B90&amp;"","")</f>
        <v/>
      </c>
      <c r="D690" s="78" t="str">
        <f aca="false">IF(AND(ISNUMBER('ANO NOVO'!$C90),'ANO NOVO'!$D90="FOLGA"),'ANO NOVO'!$C90,"")</f>
        <v/>
      </c>
      <c r="E690" s="0" t="str">
        <f aca="false">IF(AND(ISNUMBER('ANO NOVO'!$C90),'ANO NOVO'!$D90="FOLGA"),'ANO NOVO'!$E90&amp;"","")</f>
        <v/>
      </c>
      <c r="F690" s="0" t="str">
        <f aca="false">IF(AND(ISNUMBER('ANO NOVO'!$C90),'ANO NOVO'!$D90="FOLGA"),'ANO NOVO'!$F90&amp;"","")</f>
        <v/>
      </c>
      <c r="G690" s="0" t="str">
        <f aca="true">IF(D690="","",IF(D690=TODAY(),D690+ROW()/100000,""))</f>
        <v/>
      </c>
      <c r="H690" s="0" t="str">
        <f aca="true">IF(D690="","",IF(AND(D690&gt;TODAY(),D690&lt;=TODAY()+7),D690+ROW()/100000,""))</f>
        <v/>
      </c>
      <c r="I690" s="0" t="str">
        <f aca="false">IF(D690="","",IF(D690=CALENDÁRIO!$L$4,ROW(),""))</f>
        <v/>
      </c>
      <c r="J690" s="0" t="str">
        <f aca="false">IF(D690="","",CHOOSE(WEEKDAY(D690),"Domingo","Segunda","Terça","Quarta","Quinta","Sexta","Sábado"))</f>
        <v/>
      </c>
    </row>
    <row r="691" customFormat="false" ht="15" hidden="false" customHeight="false" outlineLevel="0" collapsed="false">
      <c r="A691" s="0" t="str">
        <f aca="false">IF(AND(ISNUMBER('ANO NOVO'!$C91),'ANO NOVO'!$D91="FOLGA"),"Folga Ano Novo","")</f>
        <v/>
      </c>
      <c r="B691" s="0" t="str">
        <f aca="false">IF(AND(ISNUMBER('ANO NOVO'!$C91),'ANO NOVO'!$D91="FOLGA"),'ANO NOVO'!$A91&amp;"","")</f>
        <v/>
      </c>
      <c r="C691" s="0" t="str">
        <f aca="false">IF(AND(ISNUMBER('ANO NOVO'!$C91),'ANO NOVO'!$D91="FOLGA"),'ANO NOVO'!$B91&amp;"","")</f>
        <v/>
      </c>
      <c r="D691" s="78" t="str">
        <f aca="false">IF(AND(ISNUMBER('ANO NOVO'!$C91),'ANO NOVO'!$D91="FOLGA"),'ANO NOVO'!$C91,"")</f>
        <v/>
      </c>
      <c r="E691" s="0" t="str">
        <f aca="false">IF(AND(ISNUMBER('ANO NOVO'!$C91),'ANO NOVO'!$D91="FOLGA"),'ANO NOVO'!$E91&amp;"","")</f>
        <v/>
      </c>
      <c r="F691" s="0" t="str">
        <f aca="false">IF(AND(ISNUMBER('ANO NOVO'!$C91),'ANO NOVO'!$D91="FOLGA"),'ANO NOVO'!$F91&amp;"","")</f>
        <v/>
      </c>
      <c r="G691" s="0" t="str">
        <f aca="true">IF(D691="","",IF(D691=TODAY(),D691+ROW()/100000,""))</f>
        <v/>
      </c>
      <c r="H691" s="0" t="str">
        <f aca="true">IF(D691="","",IF(AND(D691&gt;TODAY(),D691&lt;=TODAY()+7),D691+ROW()/100000,""))</f>
        <v/>
      </c>
      <c r="I691" s="0" t="str">
        <f aca="false">IF(D691="","",IF(D691=CALENDÁRIO!$L$4,ROW(),""))</f>
        <v/>
      </c>
      <c r="J691" s="0" t="str">
        <f aca="false">IF(D691="","",CHOOSE(WEEKDAY(D691),"Domingo","Segunda","Terça","Quarta","Quinta","Sexta","Sábado"))</f>
        <v/>
      </c>
    </row>
    <row r="692" customFormat="false" ht="15" hidden="false" customHeight="false" outlineLevel="0" collapsed="false">
      <c r="A692" s="0" t="str">
        <f aca="false">IF(AND(ISNUMBER('ANO NOVO'!$C92),'ANO NOVO'!$D92="FOLGA"),"Folga Ano Novo","")</f>
        <v/>
      </c>
      <c r="B692" s="0" t="str">
        <f aca="false">IF(AND(ISNUMBER('ANO NOVO'!$C92),'ANO NOVO'!$D92="FOLGA"),'ANO NOVO'!$A92&amp;"","")</f>
        <v/>
      </c>
      <c r="C692" s="0" t="str">
        <f aca="false">IF(AND(ISNUMBER('ANO NOVO'!$C92),'ANO NOVO'!$D92="FOLGA"),'ANO NOVO'!$B92&amp;"","")</f>
        <v/>
      </c>
      <c r="D692" s="78" t="str">
        <f aca="false">IF(AND(ISNUMBER('ANO NOVO'!$C92),'ANO NOVO'!$D92="FOLGA"),'ANO NOVO'!$C92,"")</f>
        <v/>
      </c>
      <c r="E692" s="0" t="str">
        <f aca="false">IF(AND(ISNUMBER('ANO NOVO'!$C92),'ANO NOVO'!$D92="FOLGA"),'ANO NOVO'!$E92&amp;"","")</f>
        <v/>
      </c>
      <c r="F692" s="0" t="str">
        <f aca="false">IF(AND(ISNUMBER('ANO NOVO'!$C92),'ANO NOVO'!$D92="FOLGA"),'ANO NOVO'!$F92&amp;"","")</f>
        <v/>
      </c>
      <c r="G692" s="0" t="str">
        <f aca="true">IF(D692="","",IF(D692=TODAY(),D692+ROW()/100000,""))</f>
        <v/>
      </c>
      <c r="H692" s="0" t="str">
        <f aca="true">IF(D692="","",IF(AND(D692&gt;TODAY(),D692&lt;=TODAY()+7),D692+ROW()/100000,""))</f>
        <v/>
      </c>
      <c r="I692" s="0" t="str">
        <f aca="false">IF(D692="","",IF(D692=CALENDÁRIO!$L$4,ROW(),""))</f>
        <v/>
      </c>
      <c r="J692" s="0" t="str">
        <f aca="false">IF(D692="","",CHOOSE(WEEKDAY(D692),"Domingo","Segunda","Terça","Quarta","Quinta","Sexta","Sábado"))</f>
        <v/>
      </c>
    </row>
    <row r="693" customFormat="false" ht="15" hidden="false" customHeight="false" outlineLevel="0" collapsed="false">
      <c r="A693" s="0" t="str">
        <f aca="false">IF(AND(ISNUMBER('ANO NOVO'!$C93),'ANO NOVO'!$D93="FOLGA"),"Folga Ano Novo","")</f>
        <v/>
      </c>
      <c r="B693" s="0" t="str">
        <f aca="false">IF(AND(ISNUMBER('ANO NOVO'!$C93),'ANO NOVO'!$D93="FOLGA"),'ANO NOVO'!$A93&amp;"","")</f>
        <v/>
      </c>
      <c r="C693" s="0" t="str">
        <f aca="false">IF(AND(ISNUMBER('ANO NOVO'!$C93),'ANO NOVO'!$D93="FOLGA"),'ANO NOVO'!$B93&amp;"","")</f>
        <v/>
      </c>
      <c r="D693" s="78" t="str">
        <f aca="false">IF(AND(ISNUMBER('ANO NOVO'!$C93),'ANO NOVO'!$D93="FOLGA"),'ANO NOVO'!$C93,"")</f>
        <v/>
      </c>
      <c r="E693" s="0" t="str">
        <f aca="false">IF(AND(ISNUMBER('ANO NOVO'!$C93),'ANO NOVO'!$D93="FOLGA"),'ANO NOVO'!$E93&amp;"","")</f>
        <v/>
      </c>
      <c r="F693" s="0" t="str">
        <f aca="false">IF(AND(ISNUMBER('ANO NOVO'!$C93),'ANO NOVO'!$D93="FOLGA"),'ANO NOVO'!$F93&amp;"","")</f>
        <v/>
      </c>
      <c r="G693" s="0" t="str">
        <f aca="true">IF(D693="","",IF(D693=TODAY(),D693+ROW()/100000,""))</f>
        <v/>
      </c>
      <c r="H693" s="0" t="str">
        <f aca="true">IF(D693="","",IF(AND(D693&gt;TODAY(),D693&lt;=TODAY()+7),D693+ROW()/100000,""))</f>
        <v/>
      </c>
      <c r="I693" s="0" t="str">
        <f aca="false">IF(D693="","",IF(D693=CALENDÁRIO!$L$4,ROW(),""))</f>
        <v/>
      </c>
      <c r="J693" s="0" t="str">
        <f aca="false">IF(D693="","",CHOOSE(WEEKDAY(D693),"Domingo","Segunda","Terça","Quarta","Quinta","Sexta","Sábado"))</f>
        <v/>
      </c>
    </row>
    <row r="694" customFormat="false" ht="15" hidden="false" customHeight="false" outlineLevel="0" collapsed="false">
      <c r="A694" s="0" t="str">
        <f aca="false">IF(AND(ISNUMBER('ANO NOVO'!$C94),'ANO NOVO'!$D94="FOLGA"),"Folga Ano Novo","")</f>
        <v/>
      </c>
      <c r="B694" s="0" t="str">
        <f aca="false">IF(AND(ISNUMBER('ANO NOVO'!$C94),'ANO NOVO'!$D94="FOLGA"),'ANO NOVO'!$A94&amp;"","")</f>
        <v/>
      </c>
      <c r="C694" s="0" t="str">
        <f aca="false">IF(AND(ISNUMBER('ANO NOVO'!$C94),'ANO NOVO'!$D94="FOLGA"),'ANO NOVO'!$B94&amp;"","")</f>
        <v/>
      </c>
      <c r="D694" s="78" t="str">
        <f aca="false">IF(AND(ISNUMBER('ANO NOVO'!$C94),'ANO NOVO'!$D94="FOLGA"),'ANO NOVO'!$C94,"")</f>
        <v/>
      </c>
      <c r="E694" s="0" t="str">
        <f aca="false">IF(AND(ISNUMBER('ANO NOVO'!$C94),'ANO NOVO'!$D94="FOLGA"),'ANO NOVO'!$E94&amp;"","")</f>
        <v/>
      </c>
      <c r="F694" s="0" t="str">
        <f aca="false">IF(AND(ISNUMBER('ANO NOVO'!$C94),'ANO NOVO'!$D94="FOLGA"),'ANO NOVO'!$F94&amp;"","")</f>
        <v/>
      </c>
      <c r="G694" s="0" t="str">
        <f aca="true">IF(D694="","",IF(D694=TODAY(),D694+ROW()/100000,""))</f>
        <v/>
      </c>
      <c r="H694" s="0" t="str">
        <f aca="true">IF(D694="","",IF(AND(D694&gt;TODAY(),D694&lt;=TODAY()+7),D694+ROW()/100000,""))</f>
        <v/>
      </c>
      <c r="I694" s="0" t="str">
        <f aca="false">IF(D694="","",IF(D694=CALENDÁRIO!$L$4,ROW(),""))</f>
        <v/>
      </c>
      <c r="J694" s="0" t="str">
        <f aca="false">IF(D694="","",CHOOSE(WEEKDAY(D694),"Domingo","Segunda","Terça","Quarta","Quinta","Sexta","Sábado"))</f>
        <v/>
      </c>
    </row>
    <row r="695" customFormat="false" ht="15" hidden="false" customHeight="false" outlineLevel="0" collapsed="false">
      <c r="A695" s="0" t="str">
        <f aca="false">IF(AND(ISNUMBER('ANO NOVO'!$C95),'ANO NOVO'!$D95="FOLGA"),"Folga Ano Novo","")</f>
        <v/>
      </c>
      <c r="B695" s="0" t="str">
        <f aca="false">IF(AND(ISNUMBER('ANO NOVO'!$C95),'ANO NOVO'!$D95="FOLGA"),'ANO NOVO'!$A95&amp;"","")</f>
        <v/>
      </c>
      <c r="C695" s="0" t="str">
        <f aca="false">IF(AND(ISNUMBER('ANO NOVO'!$C95),'ANO NOVO'!$D95="FOLGA"),'ANO NOVO'!$B95&amp;"","")</f>
        <v/>
      </c>
      <c r="D695" s="78" t="str">
        <f aca="false">IF(AND(ISNUMBER('ANO NOVO'!$C95),'ANO NOVO'!$D95="FOLGA"),'ANO NOVO'!$C95,"")</f>
        <v/>
      </c>
      <c r="E695" s="0" t="str">
        <f aca="false">IF(AND(ISNUMBER('ANO NOVO'!$C95),'ANO NOVO'!$D95="FOLGA"),'ANO NOVO'!$E95&amp;"","")</f>
        <v/>
      </c>
      <c r="F695" s="0" t="str">
        <f aca="false">IF(AND(ISNUMBER('ANO NOVO'!$C95),'ANO NOVO'!$D95="FOLGA"),'ANO NOVO'!$F95&amp;"","")</f>
        <v/>
      </c>
      <c r="G695" s="0" t="str">
        <f aca="true">IF(D695="","",IF(D695=TODAY(),D695+ROW()/100000,""))</f>
        <v/>
      </c>
      <c r="H695" s="0" t="str">
        <f aca="true">IF(D695="","",IF(AND(D695&gt;TODAY(),D695&lt;=TODAY()+7),D695+ROW()/100000,""))</f>
        <v/>
      </c>
      <c r="I695" s="0" t="str">
        <f aca="false">IF(D695="","",IF(D695=CALENDÁRIO!$L$4,ROW(),""))</f>
        <v/>
      </c>
      <c r="J695" s="0" t="str">
        <f aca="false">IF(D695="","",CHOOSE(WEEKDAY(D695),"Domingo","Segunda","Terça","Quarta","Quinta","Sexta","Sábado"))</f>
        <v/>
      </c>
    </row>
    <row r="696" customFormat="false" ht="15" hidden="false" customHeight="false" outlineLevel="0" collapsed="false">
      <c r="A696" s="0" t="str">
        <f aca="false">IF(AND(ISNUMBER('ANO NOVO'!$C96),'ANO NOVO'!$D96="FOLGA"),"Folga Ano Novo","")</f>
        <v/>
      </c>
      <c r="B696" s="0" t="str">
        <f aca="false">IF(AND(ISNUMBER('ANO NOVO'!$C96),'ANO NOVO'!$D96="FOLGA"),'ANO NOVO'!$A96&amp;"","")</f>
        <v/>
      </c>
      <c r="C696" s="0" t="str">
        <f aca="false">IF(AND(ISNUMBER('ANO NOVO'!$C96),'ANO NOVO'!$D96="FOLGA"),'ANO NOVO'!$B96&amp;"","")</f>
        <v/>
      </c>
      <c r="D696" s="78" t="str">
        <f aca="false">IF(AND(ISNUMBER('ANO NOVO'!$C96),'ANO NOVO'!$D96="FOLGA"),'ANO NOVO'!$C96,"")</f>
        <v/>
      </c>
      <c r="E696" s="0" t="str">
        <f aca="false">IF(AND(ISNUMBER('ANO NOVO'!$C96),'ANO NOVO'!$D96="FOLGA"),'ANO NOVO'!$E96&amp;"","")</f>
        <v/>
      </c>
      <c r="F696" s="0" t="str">
        <f aca="false">IF(AND(ISNUMBER('ANO NOVO'!$C96),'ANO NOVO'!$D96="FOLGA"),'ANO NOVO'!$F96&amp;"","")</f>
        <v/>
      </c>
      <c r="G696" s="0" t="str">
        <f aca="true">IF(D696="","",IF(D696=TODAY(),D696+ROW()/100000,""))</f>
        <v/>
      </c>
      <c r="H696" s="0" t="str">
        <f aca="true">IF(D696="","",IF(AND(D696&gt;TODAY(),D696&lt;=TODAY()+7),D696+ROW()/100000,""))</f>
        <v/>
      </c>
      <c r="I696" s="0" t="str">
        <f aca="false">IF(D696="","",IF(D696=CALENDÁRIO!$L$4,ROW(),""))</f>
        <v/>
      </c>
      <c r="J696" s="0" t="str">
        <f aca="false">IF(D696="","",CHOOSE(WEEKDAY(D696),"Domingo","Segunda","Terça","Quarta","Quinta","Sexta","Sábado"))</f>
        <v/>
      </c>
    </row>
    <row r="697" customFormat="false" ht="15" hidden="false" customHeight="false" outlineLevel="0" collapsed="false">
      <c r="A697" s="0" t="str">
        <f aca="false">IF(AND(ISNUMBER('ANO NOVO'!$C97),'ANO NOVO'!$D97="FOLGA"),"Folga Ano Novo","")</f>
        <v/>
      </c>
      <c r="B697" s="0" t="str">
        <f aca="false">IF(AND(ISNUMBER('ANO NOVO'!$C97),'ANO NOVO'!$D97="FOLGA"),'ANO NOVO'!$A97&amp;"","")</f>
        <v/>
      </c>
      <c r="C697" s="0" t="str">
        <f aca="false">IF(AND(ISNUMBER('ANO NOVO'!$C97),'ANO NOVO'!$D97="FOLGA"),'ANO NOVO'!$B97&amp;"","")</f>
        <v/>
      </c>
      <c r="D697" s="78" t="str">
        <f aca="false">IF(AND(ISNUMBER('ANO NOVO'!$C97),'ANO NOVO'!$D97="FOLGA"),'ANO NOVO'!$C97,"")</f>
        <v/>
      </c>
      <c r="E697" s="0" t="str">
        <f aca="false">IF(AND(ISNUMBER('ANO NOVO'!$C97),'ANO NOVO'!$D97="FOLGA"),'ANO NOVO'!$E97&amp;"","")</f>
        <v/>
      </c>
      <c r="F697" s="0" t="str">
        <f aca="false">IF(AND(ISNUMBER('ANO NOVO'!$C97),'ANO NOVO'!$D97="FOLGA"),'ANO NOVO'!$F97&amp;"","")</f>
        <v/>
      </c>
      <c r="G697" s="0" t="str">
        <f aca="true">IF(D697="","",IF(D697=TODAY(),D697+ROW()/100000,""))</f>
        <v/>
      </c>
      <c r="H697" s="0" t="str">
        <f aca="true">IF(D697="","",IF(AND(D697&gt;TODAY(),D697&lt;=TODAY()+7),D697+ROW()/100000,""))</f>
        <v/>
      </c>
      <c r="I697" s="0" t="str">
        <f aca="false">IF(D697="","",IF(D697=CALENDÁRIO!$L$4,ROW(),""))</f>
        <v/>
      </c>
      <c r="J697" s="0" t="str">
        <f aca="false">IF(D697="","",CHOOSE(WEEKDAY(D697),"Domingo","Segunda","Terça","Quarta","Quinta","Sexta","Sábado"))</f>
        <v/>
      </c>
    </row>
    <row r="698" customFormat="false" ht="15" hidden="false" customHeight="false" outlineLevel="0" collapsed="false">
      <c r="A698" s="0" t="str">
        <f aca="false">IF(AND(ISNUMBER('ANO NOVO'!$C98),'ANO NOVO'!$D98="FOLGA"),"Folga Ano Novo","")</f>
        <v/>
      </c>
      <c r="B698" s="0" t="str">
        <f aca="false">IF(AND(ISNUMBER('ANO NOVO'!$C98),'ANO NOVO'!$D98="FOLGA"),'ANO NOVO'!$A98&amp;"","")</f>
        <v/>
      </c>
      <c r="C698" s="0" t="str">
        <f aca="false">IF(AND(ISNUMBER('ANO NOVO'!$C98),'ANO NOVO'!$D98="FOLGA"),'ANO NOVO'!$B98&amp;"","")</f>
        <v/>
      </c>
      <c r="D698" s="78" t="str">
        <f aca="false">IF(AND(ISNUMBER('ANO NOVO'!$C98),'ANO NOVO'!$D98="FOLGA"),'ANO NOVO'!$C98,"")</f>
        <v/>
      </c>
      <c r="E698" s="0" t="str">
        <f aca="false">IF(AND(ISNUMBER('ANO NOVO'!$C98),'ANO NOVO'!$D98="FOLGA"),'ANO NOVO'!$E98&amp;"","")</f>
        <v/>
      </c>
      <c r="F698" s="0" t="str">
        <f aca="false">IF(AND(ISNUMBER('ANO NOVO'!$C98),'ANO NOVO'!$D98="FOLGA"),'ANO NOVO'!$F98&amp;"","")</f>
        <v/>
      </c>
      <c r="G698" s="0" t="str">
        <f aca="true">IF(D698="","",IF(D698=TODAY(),D698+ROW()/100000,""))</f>
        <v/>
      </c>
      <c r="H698" s="0" t="str">
        <f aca="true">IF(D698="","",IF(AND(D698&gt;TODAY(),D698&lt;=TODAY()+7),D698+ROW()/100000,""))</f>
        <v/>
      </c>
      <c r="I698" s="0" t="str">
        <f aca="false">IF(D698="","",IF(D698=CALENDÁRIO!$L$4,ROW(),""))</f>
        <v/>
      </c>
      <c r="J698" s="0" t="str">
        <f aca="false">IF(D698="","",CHOOSE(WEEKDAY(D698),"Domingo","Segunda","Terça","Quarta","Quinta","Sexta","Sábado"))</f>
        <v/>
      </c>
    </row>
    <row r="699" customFormat="false" ht="15" hidden="false" customHeight="false" outlineLevel="0" collapsed="false">
      <c r="A699" s="0" t="str">
        <f aca="false">IF(AND(ISNUMBER('ANO NOVO'!$C99),'ANO NOVO'!$D99="FOLGA"),"Folga Ano Novo","")</f>
        <v/>
      </c>
      <c r="B699" s="0" t="str">
        <f aca="false">IF(AND(ISNUMBER('ANO NOVO'!$C99),'ANO NOVO'!$D99="FOLGA"),'ANO NOVO'!$A99&amp;"","")</f>
        <v/>
      </c>
      <c r="C699" s="0" t="str">
        <f aca="false">IF(AND(ISNUMBER('ANO NOVO'!$C99),'ANO NOVO'!$D99="FOLGA"),'ANO NOVO'!$B99&amp;"","")</f>
        <v/>
      </c>
      <c r="D699" s="78" t="str">
        <f aca="false">IF(AND(ISNUMBER('ANO NOVO'!$C99),'ANO NOVO'!$D99="FOLGA"),'ANO NOVO'!$C99,"")</f>
        <v/>
      </c>
      <c r="E699" s="0" t="str">
        <f aca="false">IF(AND(ISNUMBER('ANO NOVO'!$C99),'ANO NOVO'!$D99="FOLGA"),'ANO NOVO'!$E99&amp;"","")</f>
        <v/>
      </c>
      <c r="F699" s="0" t="str">
        <f aca="false">IF(AND(ISNUMBER('ANO NOVO'!$C99),'ANO NOVO'!$D99="FOLGA"),'ANO NOVO'!$F99&amp;"","")</f>
        <v/>
      </c>
      <c r="G699" s="0" t="str">
        <f aca="true">IF(D699="","",IF(D699=TODAY(),D699+ROW()/100000,""))</f>
        <v/>
      </c>
      <c r="H699" s="0" t="str">
        <f aca="true">IF(D699="","",IF(AND(D699&gt;TODAY(),D699&lt;=TODAY()+7),D699+ROW()/100000,""))</f>
        <v/>
      </c>
      <c r="I699" s="0" t="str">
        <f aca="false">IF(D699="","",IF(D699=CALENDÁRIO!$L$4,ROW(),""))</f>
        <v/>
      </c>
      <c r="J699" s="0" t="str">
        <f aca="false">IF(D699="","",CHOOSE(WEEKDAY(D699),"Domingo","Segunda","Terça","Quarta","Quinta","Sexta","Sábado"))</f>
        <v/>
      </c>
    </row>
    <row r="700" customFormat="false" ht="15" hidden="false" customHeight="false" outlineLevel="0" collapsed="false">
      <c r="A700" s="0" t="str">
        <f aca="false">IF(AND(ISNUMBER('ANO NOVO'!$C100),'ANO NOVO'!$D100="FOLGA"),"Folga Ano Novo","")</f>
        <v/>
      </c>
      <c r="B700" s="0" t="str">
        <f aca="false">IF(AND(ISNUMBER('ANO NOVO'!$C100),'ANO NOVO'!$D100="FOLGA"),'ANO NOVO'!$A100&amp;"","")</f>
        <v/>
      </c>
      <c r="C700" s="0" t="str">
        <f aca="false">IF(AND(ISNUMBER('ANO NOVO'!$C100),'ANO NOVO'!$D100="FOLGA"),'ANO NOVO'!$B100&amp;"","")</f>
        <v/>
      </c>
      <c r="D700" s="78" t="str">
        <f aca="false">IF(AND(ISNUMBER('ANO NOVO'!$C100),'ANO NOVO'!$D100="FOLGA"),'ANO NOVO'!$C100,"")</f>
        <v/>
      </c>
      <c r="E700" s="0" t="str">
        <f aca="false">IF(AND(ISNUMBER('ANO NOVO'!$C100),'ANO NOVO'!$D100="FOLGA"),'ANO NOVO'!$E100&amp;"","")</f>
        <v/>
      </c>
      <c r="F700" s="0" t="str">
        <f aca="false">IF(AND(ISNUMBER('ANO NOVO'!$C100),'ANO NOVO'!$D100="FOLGA"),'ANO NOVO'!$F100&amp;"","")</f>
        <v/>
      </c>
      <c r="G700" s="0" t="str">
        <f aca="true">IF(D700="","",IF(D700=TODAY(),D700+ROW()/100000,""))</f>
        <v/>
      </c>
      <c r="H700" s="0" t="str">
        <f aca="true">IF(D700="","",IF(AND(D700&gt;TODAY(),D700&lt;=TODAY()+7),D700+ROW()/100000,""))</f>
        <v/>
      </c>
      <c r="I700" s="0" t="str">
        <f aca="false">IF(D700="","",IF(D700=CALENDÁRIO!$L$4,ROW(),""))</f>
        <v/>
      </c>
      <c r="J700" s="0" t="str">
        <f aca="false">IF(D700="","",CHOOSE(WEEKDAY(D700),"Domingo","Segunda","Terça","Quarta","Quinta","Sexta","Sábado"))</f>
        <v/>
      </c>
    </row>
    <row r="701" customFormat="false" ht="15" hidden="false" customHeight="false" outlineLevel="0" collapsed="false">
      <c r="A701" s="0" t="str">
        <f aca="false">IF(AND(ISNUMBER('ANO NOVO'!$C101),'ANO NOVO'!$D101="FOLGA"),"Folga Ano Novo","")</f>
        <v/>
      </c>
      <c r="B701" s="0" t="str">
        <f aca="false">IF(AND(ISNUMBER('ANO NOVO'!$C101),'ANO NOVO'!$D101="FOLGA"),'ANO NOVO'!$A101&amp;"","")</f>
        <v/>
      </c>
      <c r="C701" s="0" t="str">
        <f aca="false">IF(AND(ISNUMBER('ANO NOVO'!$C101),'ANO NOVO'!$D101="FOLGA"),'ANO NOVO'!$B101&amp;"","")</f>
        <v/>
      </c>
      <c r="D701" s="78" t="str">
        <f aca="false">IF(AND(ISNUMBER('ANO NOVO'!$C101),'ANO NOVO'!$D101="FOLGA"),'ANO NOVO'!$C101,"")</f>
        <v/>
      </c>
      <c r="E701" s="0" t="str">
        <f aca="false">IF(AND(ISNUMBER('ANO NOVO'!$C101),'ANO NOVO'!$D101="FOLGA"),'ANO NOVO'!$E101&amp;"","")</f>
        <v/>
      </c>
      <c r="F701" s="0" t="str">
        <f aca="false">IF(AND(ISNUMBER('ANO NOVO'!$C101),'ANO NOVO'!$D101="FOLGA"),'ANO NOVO'!$F101&amp;"","")</f>
        <v/>
      </c>
      <c r="G701" s="0" t="str">
        <f aca="true">IF(D701="","",IF(D701=TODAY(),D701+ROW()/100000,""))</f>
        <v/>
      </c>
      <c r="H701" s="0" t="str">
        <f aca="true">IF(D701="","",IF(AND(D701&gt;TODAY(),D701&lt;=TODAY()+7),D701+ROW()/100000,""))</f>
        <v/>
      </c>
      <c r="I701" s="0" t="str">
        <f aca="false">IF(D701="","",IF(D701=CALENDÁRIO!$L$4,ROW(),""))</f>
        <v/>
      </c>
      <c r="J701" s="0" t="str">
        <f aca="false">IF(D701="","",CHOOSE(WEEKDAY(D701),"Domingo","Segunda","Terça","Quarta","Quinta","Sexta","Sábado"))</f>
        <v/>
      </c>
    </row>
    <row r="702" customFormat="false" ht="15" hidden="false" customHeight="false" outlineLevel="0" collapsed="false">
      <c r="A702" s="0" t="str">
        <f aca="false">IF(AND(ISNUMBER('ANO NOVO'!$C102),'ANO NOVO'!$D102="FOLGA"),"Folga Ano Novo","")</f>
        <v/>
      </c>
      <c r="B702" s="0" t="str">
        <f aca="false">IF(AND(ISNUMBER('ANO NOVO'!$C102),'ANO NOVO'!$D102="FOLGA"),'ANO NOVO'!$A102&amp;"","")</f>
        <v/>
      </c>
      <c r="C702" s="0" t="str">
        <f aca="false">IF(AND(ISNUMBER('ANO NOVO'!$C102),'ANO NOVO'!$D102="FOLGA"),'ANO NOVO'!$B102&amp;"","")</f>
        <v/>
      </c>
      <c r="D702" s="78" t="str">
        <f aca="false">IF(AND(ISNUMBER('ANO NOVO'!$C102),'ANO NOVO'!$D102="FOLGA"),'ANO NOVO'!$C102,"")</f>
        <v/>
      </c>
      <c r="E702" s="0" t="str">
        <f aca="false">IF(AND(ISNUMBER('ANO NOVO'!$C102),'ANO NOVO'!$D102="FOLGA"),'ANO NOVO'!$E102&amp;"","")</f>
        <v/>
      </c>
      <c r="F702" s="0" t="str">
        <f aca="false">IF(AND(ISNUMBER('ANO NOVO'!$C102),'ANO NOVO'!$D102="FOLGA"),'ANO NOVO'!$F102&amp;"","")</f>
        <v/>
      </c>
      <c r="G702" s="0" t="str">
        <f aca="true">IF(D702="","",IF(D702=TODAY(),D702+ROW()/100000,""))</f>
        <v/>
      </c>
      <c r="H702" s="0" t="str">
        <f aca="true">IF(D702="","",IF(AND(D702&gt;TODAY(),D702&lt;=TODAY()+7),D702+ROW()/100000,""))</f>
        <v/>
      </c>
      <c r="I702" s="0" t="str">
        <f aca="false">IF(D702="","",IF(D702=CALENDÁRIO!$L$4,ROW(),""))</f>
        <v/>
      </c>
      <c r="J702" s="0" t="str">
        <f aca="false">IF(D702="","",CHOOSE(WEEKDAY(D702),"Domingo","Segunda","Terça","Quarta","Quinta","Sexta","Sábado"))</f>
        <v/>
      </c>
    </row>
    <row r="703" customFormat="false" ht="15" hidden="false" customHeight="false" outlineLevel="0" collapsed="false">
      <c r="A703" s="0" t="str">
        <f aca="false">IF(AND(ISNUMBER('ANO NOVO'!$C103),'ANO NOVO'!$D103="FOLGA"),"Folga Ano Novo","")</f>
        <v/>
      </c>
      <c r="B703" s="0" t="str">
        <f aca="false">IF(AND(ISNUMBER('ANO NOVO'!$C103),'ANO NOVO'!$D103="FOLGA"),'ANO NOVO'!$A103&amp;"","")</f>
        <v/>
      </c>
      <c r="C703" s="0" t="str">
        <f aca="false">IF(AND(ISNUMBER('ANO NOVO'!$C103),'ANO NOVO'!$D103="FOLGA"),'ANO NOVO'!$B103&amp;"","")</f>
        <v/>
      </c>
      <c r="D703" s="78" t="str">
        <f aca="false">IF(AND(ISNUMBER('ANO NOVO'!$C103),'ANO NOVO'!$D103="FOLGA"),'ANO NOVO'!$C103,"")</f>
        <v/>
      </c>
      <c r="E703" s="0" t="str">
        <f aca="false">IF(AND(ISNUMBER('ANO NOVO'!$C103),'ANO NOVO'!$D103="FOLGA"),'ANO NOVO'!$E103&amp;"","")</f>
        <v/>
      </c>
      <c r="F703" s="0" t="str">
        <f aca="false">IF(AND(ISNUMBER('ANO NOVO'!$C103),'ANO NOVO'!$D103="FOLGA"),'ANO NOVO'!$F103&amp;"","")</f>
        <v/>
      </c>
      <c r="G703" s="0" t="str">
        <f aca="true">IF(D703="","",IF(D703=TODAY(),D703+ROW()/100000,""))</f>
        <v/>
      </c>
      <c r="H703" s="0" t="str">
        <f aca="true">IF(D703="","",IF(AND(D703&gt;TODAY(),D703&lt;=TODAY()+7),D703+ROW()/100000,""))</f>
        <v/>
      </c>
      <c r="I703" s="0" t="str">
        <f aca="false">IF(D703="","",IF(D703=CALENDÁRIO!$L$4,ROW(),""))</f>
        <v/>
      </c>
      <c r="J703" s="0" t="str">
        <f aca="false">IF(D703="","",CHOOSE(WEEKDAY(D703),"Domingo","Segunda","Terça","Quarta","Quinta","Sexta","Sábado"))</f>
        <v/>
      </c>
    </row>
    <row r="704" customFormat="false" ht="15" hidden="false" customHeight="false" outlineLevel="0" collapsed="false">
      <c r="A704" s="0" t="str">
        <f aca="false">IF(AND(ISNUMBER('ANO NOVO'!$C104),'ANO NOVO'!$D104="FOLGA"),"Folga Ano Novo","")</f>
        <v/>
      </c>
      <c r="B704" s="0" t="str">
        <f aca="false">IF(AND(ISNUMBER('ANO NOVO'!$C104),'ANO NOVO'!$D104="FOLGA"),'ANO NOVO'!$A104&amp;"","")</f>
        <v/>
      </c>
      <c r="C704" s="0" t="str">
        <f aca="false">IF(AND(ISNUMBER('ANO NOVO'!$C104),'ANO NOVO'!$D104="FOLGA"),'ANO NOVO'!$B104&amp;"","")</f>
        <v/>
      </c>
      <c r="D704" s="78" t="str">
        <f aca="false">IF(AND(ISNUMBER('ANO NOVO'!$C104),'ANO NOVO'!$D104="FOLGA"),'ANO NOVO'!$C104,"")</f>
        <v/>
      </c>
      <c r="E704" s="0" t="str">
        <f aca="false">IF(AND(ISNUMBER('ANO NOVO'!$C104),'ANO NOVO'!$D104="FOLGA"),'ANO NOVO'!$E104&amp;"","")</f>
        <v/>
      </c>
      <c r="F704" s="0" t="str">
        <f aca="false">IF(AND(ISNUMBER('ANO NOVO'!$C104),'ANO NOVO'!$D104="FOLGA"),'ANO NOVO'!$F104&amp;"","")</f>
        <v/>
      </c>
      <c r="G704" s="0" t="str">
        <f aca="true">IF(D704="","",IF(D704=TODAY(),D704+ROW()/100000,""))</f>
        <v/>
      </c>
      <c r="H704" s="0" t="str">
        <f aca="true">IF(D704="","",IF(AND(D704&gt;TODAY(),D704&lt;=TODAY()+7),D704+ROW()/100000,""))</f>
        <v/>
      </c>
      <c r="I704" s="0" t="str">
        <f aca="false">IF(D704="","",IF(D704=CALENDÁRIO!$L$4,ROW(),""))</f>
        <v/>
      </c>
      <c r="J704" s="0" t="str">
        <f aca="false">IF(D704="","",CHOOSE(WEEKDAY(D704),"Domingo","Segunda","Terça","Quarta","Quinta","Sexta","Sábado"))</f>
        <v/>
      </c>
    </row>
    <row r="705" customFormat="false" ht="15" hidden="false" customHeight="false" outlineLevel="0" collapsed="false">
      <c r="A705" s="0" t="str">
        <f aca="false">IF(AND(ISNUMBER('ANO NOVO'!$C105),'ANO NOVO'!$D105="FOLGA"),"Folga Ano Novo","")</f>
        <v/>
      </c>
      <c r="B705" s="0" t="str">
        <f aca="false">IF(AND(ISNUMBER('ANO NOVO'!$C105),'ANO NOVO'!$D105="FOLGA"),'ANO NOVO'!$A105&amp;"","")</f>
        <v/>
      </c>
      <c r="C705" s="0" t="str">
        <f aca="false">IF(AND(ISNUMBER('ANO NOVO'!$C105),'ANO NOVO'!$D105="FOLGA"),'ANO NOVO'!$B105&amp;"","")</f>
        <v/>
      </c>
      <c r="D705" s="78" t="str">
        <f aca="false">IF(AND(ISNUMBER('ANO NOVO'!$C105),'ANO NOVO'!$D105="FOLGA"),'ANO NOVO'!$C105,"")</f>
        <v/>
      </c>
      <c r="E705" s="0" t="str">
        <f aca="false">IF(AND(ISNUMBER('ANO NOVO'!$C105),'ANO NOVO'!$D105="FOLGA"),'ANO NOVO'!$E105&amp;"","")</f>
        <v/>
      </c>
      <c r="F705" s="0" t="str">
        <f aca="false">IF(AND(ISNUMBER('ANO NOVO'!$C105),'ANO NOVO'!$D105="FOLGA"),'ANO NOVO'!$F105&amp;"","")</f>
        <v/>
      </c>
      <c r="G705" s="0" t="str">
        <f aca="true">IF(D705="","",IF(D705=TODAY(),D705+ROW()/100000,""))</f>
        <v/>
      </c>
      <c r="H705" s="0" t="str">
        <f aca="true">IF(D705="","",IF(AND(D705&gt;TODAY(),D705&lt;=TODAY()+7),D705+ROW()/100000,""))</f>
        <v/>
      </c>
      <c r="I705" s="0" t="str">
        <f aca="false">IF(D705="","",IF(D705=CALENDÁRIO!$L$4,ROW(),""))</f>
        <v/>
      </c>
      <c r="J705" s="0" t="str">
        <f aca="false">IF(D705="","",CHOOSE(WEEKDAY(D705),"Domingo","Segunda","Terça","Quarta","Quinta","Sexta","Sábado"))</f>
        <v/>
      </c>
    </row>
    <row r="706" customFormat="false" ht="15" hidden="false" customHeight="false" outlineLevel="0" collapsed="false">
      <c r="A706" s="0" t="str">
        <f aca="false">IF(AND(ISNUMBER('ANO NOVO'!$C106),'ANO NOVO'!$D106="FOLGA"),"Folga Ano Novo","")</f>
        <v/>
      </c>
      <c r="B706" s="0" t="str">
        <f aca="false">IF(AND(ISNUMBER('ANO NOVO'!$C106),'ANO NOVO'!$D106="FOLGA"),'ANO NOVO'!$A106&amp;"","")</f>
        <v/>
      </c>
      <c r="C706" s="0" t="str">
        <f aca="false">IF(AND(ISNUMBER('ANO NOVO'!$C106),'ANO NOVO'!$D106="FOLGA"),'ANO NOVO'!$B106&amp;"","")</f>
        <v/>
      </c>
      <c r="D706" s="78" t="str">
        <f aca="false">IF(AND(ISNUMBER('ANO NOVO'!$C106),'ANO NOVO'!$D106="FOLGA"),'ANO NOVO'!$C106,"")</f>
        <v/>
      </c>
      <c r="E706" s="0" t="str">
        <f aca="false">IF(AND(ISNUMBER('ANO NOVO'!$C106),'ANO NOVO'!$D106="FOLGA"),'ANO NOVO'!$E106&amp;"","")</f>
        <v/>
      </c>
      <c r="F706" s="0" t="str">
        <f aca="false">IF(AND(ISNUMBER('ANO NOVO'!$C106),'ANO NOVO'!$D106="FOLGA"),'ANO NOVO'!$F106&amp;"","")</f>
        <v/>
      </c>
      <c r="G706" s="0" t="str">
        <f aca="true">IF(D706="","",IF(D706=TODAY(),D706+ROW()/100000,""))</f>
        <v/>
      </c>
      <c r="H706" s="0" t="str">
        <f aca="true">IF(D706="","",IF(AND(D706&gt;TODAY(),D706&lt;=TODAY()+7),D706+ROW()/100000,""))</f>
        <v/>
      </c>
      <c r="I706" s="0" t="str">
        <f aca="false">IF(D706="","",IF(D706=CALENDÁRIO!$L$4,ROW(),""))</f>
        <v/>
      </c>
      <c r="J706" s="0" t="str">
        <f aca="false">IF(D706="","",CHOOSE(WEEKDAY(D706),"Domingo","Segunda","Terça","Quarta","Quinta","Sexta","Sábado"))</f>
        <v/>
      </c>
    </row>
    <row r="707" customFormat="false" ht="15" hidden="false" customHeight="false" outlineLevel="0" collapsed="false">
      <c r="A707" s="0" t="str">
        <f aca="false">IF(AND(ISNUMBER('ANO NOVO'!$C107),'ANO NOVO'!$D107="FOLGA"),"Folga Ano Novo","")</f>
        <v/>
      </c>
      <c r="B707" s="0" t="str">
        <f aca="false">IF(AND(ISNUMBER('ANO NOVO'!$C107),'ANO NOVO'!$D107="FOLGA"),'ANO NOVO'!$A107&amp;"","")</f>
        <v/>
      </c>
      <c r="C707" s="0" t="str">
        <f aca="false">IF(AND(ISNUMBER('ANO NOVO'!$C107),'ANO NOVO'!$D107="FOLGA"),'ANO NOVO'!$B107&amp;"","")</f>
        <v/>
      </c>
      <c r="D707" s="78" t="str">
        <f aca="false">IF(AND(ISNUMBER('ANO NOVO'!$C107),'ANO NOVO'!$D107="FOLGA"),'ANO NOVO'!$C107,"")</f>
        <v/>
      </c>
      <c r="E707" s="0" t="str">
        <f aca="false">IF(AND(ISNUMBER('ANO NOVO'!$C107),'ANO NOVO'!$D107="FOLGA"),'ANO NOVO'!$E107&amp;"","")</f>
        <v/>
      </c>
      <c r="F707" s="0" t="str">
        <f aca="false">IF(AND(ISNUMBER('ANO NOVO'!$C107),'ANO NOVO'!$D107="FOLGA"),'ANO NOVO'!$F107&amp;"","")</f>
        <v/>
      </c>
      <c r="G707" s="0" t="str">
        <f aca="true">IF(D707="","",IF(D707=TODAY(),D707+ROW()/100000,""))</f>
        <v/>
      </c>
      <c r="H707" s="0" t="str">
        <f aca="true">IF(D707="","",IF(AND(D707&gt;TODAY(),D707&lt;=TODAY()+7),D707+ROW()/100000,""))</f>
        <v/>
      </c>
      <c r="I707" s="0" t="str">
        <f aca="false">IF(D707="","",IF(D707=CALENDÁRIO!$L$4,ROW(),""))</f>
        <v/>
      </c>
      <c r="J707" s="0" t="str">
        <f aca="false">IF(D707="","",CHOOSE(WEEKDAY(D707),"Domingo","Segunda","Terça","Quarta","Quinta","Sexta","Sábado"))</f>
        <v/>
      </c>
    </row>
    <row r="708" customFormat="false" ht="15" hidden="false" customHeight="false" outlineLevel="0" collapsed="false">
      <c r="A708" s="0" t="str">
        <f aca="false">IF(AND(ISNUMBER('ANO NOVO'!$C108),'ANO NOVO'!$D108="FOLGA"),"Folga Ano Novo","")</f>
        <v/>
      </c>
      <c r="B708" s="0" t="str">
        <f aca="false">IF(AND(ISNUMBER('ANO NOVO'!$C108),'ANO NOVO'!$D108="FOLGA"),'ANO NOVO'!$A108&amp;"","")</f>
        <v/>
      </c>
      <c r="C708" s="0" t="str">
        <f aca="false">IF(AND(ISNUMBER('ANO NOVO'!$C108),'ANO NOVO'!$D108="FOLGA"),'ANO NOVO'!$B108&amp;"","")</f>
        <v/>
      </c>
      <c r="D708" s="78" t="str">
        <f aca="false">IF(AND(ISNUMBER('ANO NOVO'!$C108),'ANO NOVO'!$D108="FOLGA"),'ANO NOVO'!$C108,"")</f>
        <v/>
      </c>
      <c r="E708" s="0" t="str">
        <f aca="false">IF(AND(ISNUMBER('ANO NOVO'!$C108),'ANO NOVO'!$D108="FOLGA"),'ANO NOVO'!$E108&amp;"","")</f>
        <v/>
      </c>
      <c r="F708" s="0" t="str">
        <f aca="false">IF(AND(ISNUMBER('ANO NOVO'!$C108),'ANO NOVO'!$D108="FOLGA"),'ANO NOVO'!$F108&amp;"","")</f>
        <v/>
      </c>
      <c r="G708" s="0" t="str">
        <f aca="true">IF(D708="","",IF(D708=TODAY(),D708+ROW()/100000,""))</f>
        <v/>
      </c>
      <c r="H708" s="0" t="str">
        <f aca="true">IF(D708="","",IF(AND(D708&gt;TODAY(),D708&lt;=TODAY()+7),D708+ROW()/100000,""))</f>
        <v/>
      </c>
      <c r="I708" s="0" t="str">
        <f aca="false">IF(D708="","",IF(D708=CALENDÁRIO!$L$4,ROW(),""))</f>
        <v/>
      </c>
      <c r="J708" s="0" t="str">
        <f aca="false">IF(D708="","",CHOOSE(WEEKDAY(D708),"Domingo","Segunda","Terça","Quarta","Quinta","Sexta","Sábado"))</f>
        <v/>
      </c>
    </row>
    <row r="709" customFormat="false" ht="15" hidden="false" customHeight="false" outlineLevel="0" collapsed="false">
      <c r="A709" s="0" t="str">
        <f aca="false">IF(AND(ISNUMBER('ANO NOVO'!$C109),'ANO NOVO'!$D109="FOLGA"),"Folga Ano Novo","")</f>
        <v/>
      </c>
      <c r="B709" s="0" t="str">
        <f aca="false">IF(AND(ISNUMBER('ANO NOVO'!$C109),'ANO NOVO'!$D109="FOLGA"),'ANO NOVO'!$A109&amp;"","")</f>
        <v/>
      </c>
      <c r="C709" s="0" t="str">
        <f aca="false">IF(AND(ISNUMBER('ANO NOVO'!$C109),'ANO NOVO'!$D109="FOLGA"),'ANO NOVO'!$B109&amp;"","")</f>
        <v/>
      </c>
      <c r="D709" s="78" t="str">
        <f aca="false">IF(AND(ISNUMBER('ANO NOVO'!$C109),'ANO NOVO'!$D109="FOLGA"),'ANO NOVO'!$C109,"")</f>
        <v/>
      </c>
      <c r="E709" s="0" t="str">
        <f aca="false">IF(AND(ISNUMBER('ANO NOVO'!$C109),'ANO NOVO'!$D109="FOLGA"),'ANO NOVO'!$E109&amp;"","")</f>
        <v/>
      </c>
      <c r="F709" s="0" t="str">
        <f aca="false">IF(AND(ISNUMBER('ANO NOVO'!$C109),'ANO NOVO'!$D109="FOLGA"),'ANO NOVO'!$F109&amp;"","")</f>
        <v/>
      </c>
      <c r="G709" s="0" t="str">
        <f aca="true">IF(D709="","",IF(D709=TODAY(),D709+ROW()/100000,""))</f>
        <v/>
      </c>
      <c r="H709" s="0" t="str">
        <f aca="true">IF(D709="","",IF(AND(D709&gt;TODAY(),D709&lt;=TODAY()+7),D709+ROW()/100000,""))</f>
        <v/>
      </c>
      <c r="I709" s="0" t="str">
        <f aca="false">IF(D709="","",IF(D709=CALENDÁRIO!$L$4,ROW(),""))</f>
        <v/>
      </c>
      <c r="J709" s="0" t="str">
        <f aca="false">IF(D709="","",CHOOSE(WEEKDAY(D709),"Domingo","Segunda","Terça","Quarta","Quinta","Sexta","Sábado"))</f>
        <v/>
      </c>
    </row>
    <row r="710" customFormat="false" ht="15" hidden="false" customHeight="false" outlineLevel="0" collapsed="false">
      <c r="A710" s="0" t="str">
        <f aca="false">IF(AND(ISNUMBER('ANO NOVO'!$C110),'ANO NOVO'!$D110="FOLGA"),"Folga Ano Novo","")</f>
        <v/>
      </c>
      <c r="B710" s="0" t="str">
        <f aca="false">IF(AND(ISNUMBER('ANO NOVO'!$C110),'ANO NOVO'!$D110="FOLGA"),'ANO NOVO'!$A110&amp;"","")</f>
        <v/>
      </c>
      <c r="C710" s="0" t="str">
        <f aca="false">IF(AND(ISNUMBER('ANO NOVO'!$C110),'ANO NOVO'!$D110="FOLGA"),'ANO NOVO'!$B110&amp;"","")</f>
        <v/>
      </c>
      <c r="D710" s="78" t="str">
        <f aca="false">IF(AND(ISNUMBER('ANO NOVO'!$C110),'ANO NOVO'!$D110="FOLGA"),'ANO NOVO'!$C110,"")</f>
        <v/>
      </c>
      <c r="E710" s="0" t="str">
        <f aca="false">IF(AND(ISNUMBER('ANO NOVO'!$C110),'ANO NOVO'!$D110="FOLGA"),'ANO NOVO'!$E110&amp;"","")</f>
        <v/>
      </c>
      <c r="F710" s="0" t="str">
        <f aca="false">IF(AND(ISNUMBER('ANO NOVO'!$C110),'ANO NOVO'!$D110="FOLGA"),'ANO NOVO'!$F110&amp;"","")</f>
        <v/>
      </c>
      <c r="G710" s="0" t="str">
        <f aca="true">IF(D710="","",IF(D710=TODAY(),D710+ROW()/100000,""))</f>
        <v/>
      </c>
      <c r="H710" s="0" t="str">
        <f aca="true">IF(D710="","",IF(AND(D710&gt;TODAY(),D710&lt;=TODAY()+7),D710+ROW()/100000,""))</f>
        <v/>
      </c>
      <c r="I710" s="0" t="str">
        <f aca="false">IF(D710="","",IF(D710=CALENDÁRIO!$L$4,ROW(),""))</f>
        <v/>
      </c>
      <c r="J710" s="0" t="str">
        <f aca="false">IF(D710="","",CHOOSE(WEEKDAY(D710),"Domingo","Segunda","Terça","Quarta","Quinta","Sexta","Sábado"))</f>
        <v/>
      </c>
    </row>
    <row r="711" customFormat="false" ht="15" hidden="false" customHeight="false" outlineLevel="0" collapsed="false">
      <c r="A711" s="0" t="str">
        <f aca="false">IF(AND(ISNUMBER('ANO NOVO'!$C111),'ANO NOVO'!$D111="FOLGA"),"Folga Ano Novo","")</f>
        <v/>
      </c>
      <c r="B711" s="0" t="str">
        <f aca="false">IF(AND(ISNUMBER('ANO NOVO'!$C111),'ANO NOVO'!$D111="FOLGA"),'ANO NOVO'!$A111&amp;"","")</f>
        <v/>
      </c>
      <c r="C711" s="0" t="str">
        <f aca="false">IF(AND(ISNUMBER('ANO NOVO'!$C111),'ANO NOVO'!$D111="FOLGA"),'ANO NOVO'!$B111&amp;"","")</f>
        <v/>
      </c>
      <c r="D711" s="78" t="str">
        <f aca="false">IF(AND(ISNUMBER('ANO NOVO'!$C111),'ANO NOVO'!$D111="FOLGA"),'ANO NOVO'!$C111,"")</f>
        <v/>
      </c>
      <c r="E711" s="0" t="str">
        <f aca="false">IF(AND(ISNUMBER('ANO NOVO'!$C111),'ANO NOVO'!$D111="FOLGA"),'ANO NOVO'!$E111&amp;"","")</f>
        <v/>
      </c>
      <c r="F711" s="0" t="str">
        <f aca="false">IF(AND(ISNUMBER('ANO NOVO'!$C111),'ANO NOVO'!$D111="FOLGA"),'ANO NOVO'!$F111&amp;"","")</f>
        <v/>
      </c>
      <c r="G711" s="0" t="str">
        <f aca="true">IF(D711="","",IF(D711=TODAY(),D711+ROW()/100000,""))</f>
        <v/>
      </c>
      <c r="H711" s="0" t="str">
        <f aca="true">IF(D711="","",IF(AND(D711&gt;TODAY(),D711&lt;=TODAY()+7),D711+ROW()/100000,""))</f>
        <v/>
      </c>
      <c r="I711" s="0" t="str">
        <f aca="false">IF(D711="","",IF(D711=CALENDÁRIO!$L$4,ROW(),""))</f>
        <v/>
      </c>
      <c r="J711" s="0" t="str">
        <f aca="false">IF(D711="","",CHOOSE(WEEKDAY(D711),"Domingo","Segunda","Terça","Quarta","Quinta","Sexta","Sábado"))</f>
        <v/>
      </c>
    </row>
    <row r="712" customFormat="false" ht="15" hidden="false" customHeight="false" outlineLevel="0" collapsed="false">
      <c r="A712" s="0" t="str">
        <f aca="false">IF(AND(ISNUMBER('ANO NOVO'!$C112),'ANO NOVO'!$D112="FOLGA"),"Folga Ano Novo","")</f>
        <v/>
      </c>
      <c r="B712" s="0" t="str">
        <f aca="false">IF(AND(ISNUMBER('ANO NOVO'!$C112),'ANO NOVO'!$D112="FOLGA"),'ANO NOVO'!$A112&amp;"","")</f>
        <v/>
      </c>
      <c r="C712" s="0" t="str">
        <f aca="false">IF(AND(ISNUMBER('ANO NOVO'!$C112),'ANO NOVO'!$D112="FOLGA"),'ANO NOVO'!$B112&amp;"","")</f>
        <v/>
      </c>
      <c r="D712" s="78" t="str">
        <f aca="false">IF(AND(ISNUMBER('ANO NOVO'!$C112),'ANO NOVO'!$D112="FOLGA"),'ANO NOVO'!$C112,"")</f>
        <v/>
      </c>
      <c r="E712" s="0" t="str">
        <f aca="false">IF(AND(ISNUMBER('ANO NOVO'!$C112),'ANO NOVO'!$D112="FOLGA"),'ANO NOVO'!$E112&amp;"","")</f>
        <v/>
      </c>
      <c r="F712" s="0" t="str">
        <f aca="false">IF(AND(ISNUMBER('ANO NOVO'!$C112),'ANO NOVO'!$D112="FOLGA"),'ANO NOVO'!$F112&amp;"","")</f>
        <v/>
      </c>
      <c r="G712" s="0" t="str">
        <f aca="true">IF(D712="","",IF(D712=TODAY(),D712+ROW()/100000,""))</f>
        <v/>
      </c>
      <c r="H712" s="0" t="str">
        <f aca="true">IF(D712="","",IF(AND(D712&gt;TODAY(),D712&lt;=TODAY()+7),D712+ROW()/100000,""))</f>
        <v/>
      </c>
      <c r="I712" s="0" t="str">
        <f aca="false">IF(D712="","",IF(D712=CALENDÁRIO!$L$4,ROW(),""))</f>
        <v/>
      </c>
      <c r="J712" s="0" t="str">
        <f aca="false">IF(D712="","",CHOOSE(WEEKDAY(D712),"Domingo","Segunda","Terça","Quarta","Quinta","Sexta","Sábado"))</f>
        <v/>
      </c>
    </row>
    <row r="713" customFormat="false" ht="15" hidden="false" customHeight="false" outlineLevel="0" collapsed="false">
      <c r="A713" s="0" t="str">
        <f aca="false">IF(AND(ISNUMBER('ANO NOVO'!$C113),'ANO NOVO'!$D113="FOLGA"),"Folga Ano Novo","")</f>
        <v/>
      </c>
      <c r="B713" s="0" t="str">
        <f aca="false">IF(AND(ISNUMBER('ANO NOVO'!$C113),'ANO NOVO'!$D113="FOLGA"),'ANO NOVO'!$A113&amp;"","")</f>
        <v/>
      </c>
      <c r="C713" s="0" t="str">
        <f aca="false">IF(AND(ISNUMBER('ANO NOVO'!$C113),'ANO NOVO'!$D113="FOLGA"),'ANO NOVO'!$B113&amp;"","")</f>
        <v/>
      </c>
      <c r="D713" s="78" t="str">
        <f aca="false">IF(AND(ISNUMBER('ANO NOVO'!$C113),'ANO NOVO'!$D113="FOLGA"),'ANO NOVO'!$C113,"")</f>
        <v/>
      </c>
      <c r="E713" s="0" t="str">
        <f aca="false">IF(AND(ISNUMBER('ANO NOVO'!$C113),'ANO NOVO'!$D113="FOLGA"),'ANO NOVO'!$E113&amp;"","")</f>
        <v/>
      </c>
      <c r="F713" s="0" t="str">
        <f aca="false">IF(AND(ISNUMBER('ANO NOVO'!$C113),'ANO NOVO'!$D113="FOLGA"),'ANO NOVO'!$F113&amp;"","")</f>
        <v/>
      </c>
      <c r="G713" s="0" t="str">
        <f aca="true">IF(D713="","",IF(D713=TODAY(),D713+ROW()/100000,""))</f>
        <v/>
      </c>
      <c r="H713" s="0" t="str">
        <f aca="true">IF(D713="","",IF(AND(D713&gt;TODAY(),D713&lt;=TODAY()+7),D713+ROW()/100000,""))</f>
        <v/>
      </c>
      <c r="I713" s="0" t="str">
        <f aca="false">IF(D713="","",IF(D713=CALENDÁRIO!$L$4,ROW(),""))</f>
        <v/>
      </c>
      <c r="J713" s="0" t="str">
        <f aca="false">IF(D713="","",CHOOSE(WEEKDAY(D713),"Domingo","Segunda","Terça","Quarta","Quinta","Sexta","Sábado"))</f>
        <v/>
      </c>
    </row>
    <row r="714" customFormat="false" ht="15" hidden="false" customHeight="false" outlineLevel="0" collapsed="false">
      <c r="A714" s="0" t="str">
        <f aca="false">IF(AND(ISNUMBER('ANO NOVO'!$C114),'ANO NOVO'!$D114="FOLGA"),"Folga Ano Novo","")</f>
        <v/>
      </c>
      <c r="B714" s="0" t="str">
        <f aca="false">IF(AND(ISNUMBER('ANO NOVO'!$C114),'ANO NOVO'!$D114="FOLGA"),'ANO NOVO'!$A114&amp;"","")</f>
        <v/>
      </c>
      <c r="C714" s="0" t="str">
        <f aca="false">IF(AND(ISNUMBER('ANO NOVO'!$C114),'ANO NOVO'!$D114="FOLGA"),'ANO NOVO'!$B114&amp;"","")</f>
        <v/>
      </c>
      <c r="D714" s="78" t="str">
        <f aca="false">IF(AND(ISNUMBER('ANO NOVO'!$C114),'ANO NOVO'!$D114="FOLGA"),'ANO NOVO'!$C114,"")</f>
        <v/>
      </c>
      <c r="E714" s="0" t="str">
        <f aca="false">IF(AND(ISNUMBER('ANO NOVO'!$C114),'ANO NOVO'!$D114="FOLGA"),'ANO NOVO'!$E114&amp;"","")</f>
        <v/>
      </c>
      <c r="F714" s="0" t="str">
        <f aca="false">IF(AND(ISNUMBER('ANO NOVO'!$C114),'ANO NOVO'!$D114="FOLGA"),'ANO NOVO'!$F114&amp;"","")</f>
        <v/>
      </c>
      <c r="G714" s="0" t="str">
        <f aca="true">IF(D714="","",IF(D714=TODAY(),D714+ROW()/100000,""))</f>
        <v/>
      </c>
      <c r="H714" s="0" t="str">
        <f aca="true">IF(D714="","",IF(AND(D714&gt;TODAY(),D714&lt;=TODAY()+7),D714+ROW()/100000,""))</f>
        <v/>
      </c>
      <c r="I714" s="0" t="str">
        <f aca="false">IF(D714="","",IF(D714=CALENDÁRIO!$L$4,ROW(),""))</f>
        <v/>
      </c>
      <c r="J714" s="0" t="str">
        <f aca="false">IF(D714="","",CHOOSE(WEEKDAY(D714),"Domingo","Segunda","Terça","Quarta","Quinta","Sexta","Sábado"))</f>
        <v/>
      </c>
    </row>
    <row r="715" customFormat="false" ht="15" hidden="false" customHeight="false" outlineLevel="0" collapsed="false">
      <c r="A715" s="0" t="str">
        <f aca="false">IF(AND(ISNUMBER('ANO NOVO'!$C115),'ANO NOVO'!$D115="FOLGA"),"Folga Ano Novo","")</f>
        <v/>
      </c>
      <c r="B715" s="0" t="str">
        <f aca="false">IF(AND(ISNUMBER('ANO NOVO'!$C115),'ANO NOVO'!$D115="FOLGA"),'ANO NOVO'!$A115&amp;"","")</f>
        <v/>
      </c>
      <c r="C715" s="0" t="str">
        <f aca="false">IF(AND(ISNUMBER('ANO NOVO'!$C115),'ANO NOVO'!$D115="FOLGA"),'ANO NOVO'!$B115&amp;"","")</f>
        <v/>
      </c>
      <c r="D715" s="78" t="str">
        <f aca="false">IF(AND(ISNUMBER('ANO NOVO'!$C115),'ANO NOVO'!$D115="FOLGA"),'ANO NOVO'!$C115,"")</f>
        <v/>
      </c>
      <c r="E715" s="0" t="str">
        <f aca="false">IF(AND(ISNUMBER('ANO NOVO'!$C115),'ANO NOVO'!$D115="FOLGA"),'ANO NOVO'!$E115&amp;"","")</f>
        <v/>
      </c>
      <c r="F715" s="0" t="str">
        <f aca="false">IF(AND(ISNUMBER('ANO NOVO'!$C115),'ANO NOVO'!$D115="FOLGA"),'ANO NOVO'!$F115&amp;"","")</f>
        <v/>
      </c>
      <c r="G715" s="0" t="str">
        <f aca="true">IF(D715="","",IF(D715=TODAY(),D715+ROW()/100000,""))</f>
        <v/>
      </c>
      <c r="H715" s="0" t="str">
        <f aca="true">IF(D715="","",IF(AND(D715&gt;TODAY(),D715&lt;=TODAY()+7),D715+ROW()/100000,""))</f>
        <v/>
      </c>
      <c r="I715" s="0" t="str">
        <f aca="false">IF(D715="","",IF(D715=CALENDÁRIO!$L$4,ROW(),""))</f>
        <v/>
      </c>
      <c r="J715" s="0" t="str">
        <f aca="false">IF(D715="","",CHOOSE(WEEKDAY(D715),"Domingo","Segunda","Terça","Quarta","Quinta","Sexta","Sábado"))</f>
        <v/>
      </c>
    </row>
    <row r="716" customFormat="false" ht="15" hidden="false" customHeight="false" outlineLevel="0" collapsed="false">
      <c r="A716" s="0" t="str">
        <f aca="false">IF(AND(ISNUMBER('ANO NOVO'!$C116),'ANO NOVO'!$D116="FOLGA"),"Folga Ano Novo","")</f>
        <v/>
      </c>
      <c r="B716" s="0" t="str">
        <f aca="false">IF(AND(ISNUMBER('ANO NOVO'!$C116),'ANO NOVO'!$D116="FOLGA"),'ANO NOVO'!$A116&amp;"","")</f>
        <v/>
      </c>
      <c r="C716" s="0" t="str">
        <f aca="false">IF(AND(ISNUMBER('ANO NOVO'!$C116),'ANO NOVO'!$D116="FOLGA"),'ANO NOVO'!$B116&amp;"","")</f>
        <v/>
      </c>
      <c r="D716" s="78" t="str">
        <f aca="false">IF(AND(ISNUMBER('ANO NOVO'!$C116),'ANO NOVO'!$D116="FOLGA"),'ANO NOVO'!$C116,"")</f>
        <v/>
      </c>
      <c r="E716" s="0" t="str">
        <f aca="false">IF(AND(ISNUMBER('ANO NOVO'!$C116),'ANO NOVO'!$D116="FOLGA"),'ANO NOVO'!$E116&amp;"","")</f>
        <v/>
      </c>
      <c r="F716" s="0" t="str">
        <f aca="false">IF(AND(ISNUMBER('ANO NOVO'!$C116),'ANO NOVO'!$D116="FOLGA"),'ANO NOVO'!$F116&amp;"","")</f>
        <v/>
      </c>
      <c r="G716" s="0" t="str">
        <f aca="true">IF(D716="","",IF(D716=TODAY(),D716+ROW()/100000,""))</f>
        <v/>
      </c>
      <c r="H716" s="0" t="str">
        <f aca="true">IF(D716="","",IF(AND(D716&gt;TODAY(),D716&lt;=TODAY()+7),D716+ROW()/100000,""))</f>
        <v/>
      </c>
      <c r="I716" s="0" t="str">
        <f aca="false">IF(D716="","",IF(D716=CALENDÁRIO!$L$4,ROW(),""))</f>
        <v/>
      </c>
      <c r="J716" s="0" t="str">
        <f aca="false">IF(D716="","",CHOOSE(WEEKDAY(D716),"Domingo","Segunda","Terça","Quarta","Quinta","Sexta","Sábado"))</f>
        <v/>
      </c>
    </row>
    <row r="717" customFormat="false" ht="15" hidden="false" customHeight="false" outlineLevel="0" collapsed="false">
      <c r="A717" s="0" t="str">
        <f aca="false">IF(AND(ISNUMBER('ANO NOVO'!$C117),'ANO NOVO'!$D117="FOLGA"),"Folga Ano Novo","")</f>
        <v/>
      </c>
      <c r="B717" s="0" t="str">
        <f aca="false">IF(AND(ISNUMBER('ANO NOVO'!$C117),'ANO NOVO'!$D117="FOLGA"),'ANO NOVO'!$A117&amp;"","")</f>
        <v/>
      </c>
      <c r="C717" s="0" t="str">
        <f aca="false">IF(AND(ISNUMBER('ANO NOVO'!$C117),'ANO NOVO'!$D117="FOLGA"),'ANO NOVO'!$B117&amp;"","")</f>
        <v/>
      </c>
      <c r="D717" s="78" t="str">
        <f aca="false">IF(AND(ISNUMBER('ANO NOVO'!$C117),'ANO NOVO'!$D117="FOLGA"),'ANO NOVO'!$C117,"")</f>
        <v/>
      </c>
      <c r="E717" s="0" t="str">
        <f aca="false">IF(AND(ISNUMBER('ANO NOVO'!$C117),'ANO NOVO'!$D117="FOLGA"),'ANO NOVO'!$E117&amp;"","")</f>
        <v/>
      </c>
      <c r="F717" s="0" t="str">
        <f aca="false">IF(AND(ISNUMBER('ANO NOVO'!$C117),'ANO NOVO'!$D117="FOLGA"),'ANO NOVO'!$F117&amp;"","")</f>
        <v/>
      </c>
      <c r="G717" s="0" t="str">
        <f aca="true">IF(D717="","",IF(D717=TODAY(),D717+ROW()/100000,""))</f>
        <v/>
      </c>
      <c r="H717" s="0" t="str">
        <f aca="true">IF(D717="","",IF(AND(D717&gt;TODAY(),D717&lt;=TODAY()+7),D717+ROW()/100000,""))</f>
        <v/>
      </c>
      <c r="I717" s="0" t="str">
        <f aca="false">IF(D717="","",IF(D717=CALENDÁRIO!$L$4,ROW(),""))</f>
        <v/>
      </c>
      <c r="J717" s="0" t="str">
        <f aca="false">IF(D717="","",CHOOSE(WEEKDAY(D717),"Domingo","Segunda","Terça","Quarta","Quinta","Sexta","Sábado"))</f>
        <v/>
      </c>
    </row>
    <row r="718" customFormat="false" ht="15" hidden="false" customHeight="false" outlineLevel="0" collapsed="false">
      <c r="A718" s="0" t="str">
        <f aca="false">IF(AND(ISNUMBER('ANO NOVO'!$C118),'ANO NOVO'!$D118="FOLGA"),"Folga Ano Novo","")</f>
        <v/>
      </c>
      <c r="B718" s="0" t="str">
        <f aca="false">IF(AND(ISNUMBER('ANO NOVO'!$C118),'ANO NOVO'!$D118="FOLGA"),'ANO NOVO'!$A118&amp;"","")</f>
        <v/>
      </c>
      <c r="C718" s="0" t="str">
        <f aca="false">IF(AND(ISNUMBER('ANO NOVO'!$C118),'ANO NOVO'!$D118="FOLGA"),'ANO NOVO'!$B118&amp;"","")</f>
        <v/>
      </c>
      <c r="D718" s="78" t="str">
        <f aca="false">IF(AND(ISNUMBER('ANO NOVO'!$C118),'ANO NOVO'!$D118="FOLGA"),'ANO NOVO'!$C118,"")</f>
        <v/>
      </c>
      <c r="E718" s="0" t="str">
        <f aca="false">IF(AND(ISNUMBER('ANO NOVO'!$C118),'ANO NOVO'!$D118="FOLGA"),'ANO NOVO'!$E118&amp;"","")</f>
        <v/>
      </c>
      <c r="F718" s="0" t="str">
        <f aca="false">IF(AND(ISNUMBER('ANO NOVO'!$C118),'ANO NOVO'!$D118="FOLGA"),'ANO NOVO'!$F118&amp;"","")</f>
        <v/>
      </c>
      <c r="G718" s="0" t="str">
        <f aca="true">IF(D718="","",IF(D718=TODAY(),D718+ROW()/100000,""))</f>
        <v/>
      </c>
      <c r="H718" s="0" t="str">
        <f aca="true">IF(D718="","",IF(AND(D718&gt;TODAY(),D718&lt;=TODAY()+7),D718+ROW()/100000,""))</f>
        <v/>
      </c>
      <c r="I718" s="0" t="str">
        <f aca="false">IF(D718="","",IF(D718=CALENDÁRIO!$L$4,ROW(),""))</f>
        <v/>
      </c>
      <c r="J718" s="0" t="str">
        <f aca="false">IF(D718="","",CHOOSE(WEEKDAY(D718),"Domingo","Segunda","Terça","Quarta","Quinta","Sexta","Sábado"))</f>
        <v/>
      </c>
    </row>
    <row r="719" customFormat="false" ht="15" hidden="false" customHeight="false" outlineLevel="0" collapsed="false">
      <c r="A719" s="0" t="str">
        <f aca="false">IF(AND(ISNUMBER('ANO NOVO'!$C119),'ANO NOVO'!$D119="FOLGA"),"Folga Ano Novo","")</f>
        <v/>
      </c>
      <c r="B719" s="0" t="str">
        <f aca="false">IF(AND(ISNUMBER('ANO NOVO'!$C119),'ANO NOVO'!$D119="FOLGA"),'ANO NOVO'!$A119&amp;"","")</f>
        <v/>
      </c>
      <c r="C719" s="0" t="str">
        <f aca="false">IF(AND(ISNUMBER('ANO NOVO'!$C119),'ANO NOVO'!$D119="FOLGA"),'ANO NOVO'!$B119&amp;"","")</f>
        <v/>
      </c>
      <c r="D719" s="78" t="str">
        <f aca="false">IF(AND(ISNUMBER('ANO NOVO'!$C119),'ANO NOVO'!$D119="FOLGA"),'ANO NOVO'!$C119,"")</f>
        <v/>
      </c>
      <c r="E719" s="0" t="str">
        <f aca="false">IF(AND(ISNUMBER('ANO NOVO'!$C119),'ANO NOVO'!$D119="FOLGA"),'ANO NOVO'!$E119&amp;"","")</f>
        <v/>
      </c>
      <c r="F719" s="0" t="str">
        <f aca="false">IF(AND(ISNUMBER('ANO NOVO'!$C119),'ANO NOVO'!$D119="FOLGA"),'ANO NOVO'!$F119&amp;"","")</f>
        <v/>
      </c>
      <c r="G719" s="0" t="str">
        <f aca="true">IF(D719="","",IF(D719=TODAY(),D719+ROW()/100000,""))</f>
        <v/>
      </c>
      <c r="H719" s="0" t="str">
        <f aca="true">IF(D719="","",IF(AND(D719&gt;TODAY(),D719&lt;=TODAY()+7),D719+ROW()/100000,""))</f>
        <v/>
      </c>
      <c r="I719" s="0" t="str">
        <f aca="false">IF(D719="","",IF(D719=CALENDÁRIO!$L$4,ROW(),""))</f>
        <v/>
      </c>
      <c r="J719" s="0" t="str">
        <f aca="false">IF(D719="","",CHOOSE(WEEKDAY(D719),"Domingo","Segunda","Terça","Quarta","Quinta","Sexta","Sábado"))</f>
        <v/>
      </c>
    </row>
    <row r="720" customFormat="false" ht="15" hidden="false" customHeight="false" outlineLevel="0" collapsed="false">
      <c r="A720" s="0" t="str">
        <f aca="false">IF(AND(ISNUMBER('ANO NOVO'!$C120),'ANO NOVO'!$D120="FOLGA"),"Folga Ano Novo","")</f>
        <v/>
      </c>
      <c r="B720" s="0" t="str">
        <f aca="false">IF(AND(ISNUMBER('ANO NOVO'!$C120),'ANO NOVO'!$D120="FOLGA"),'ANO NOVO'!$A120&amp;"","")</f>
        <v/>
      </c>
      <c r="C720" s="0" t="str">
        <f aca="false">IF(AND(ISNUMBER('ANO NOVO'!$C120),'ANO NOVO'!$D120="FOLGA"),'ANO NOVO'!$B120&amp;"","")</f>
        <v/>
      </c>
      <c r="D720" s="78" t="str">
        <f aca="false">IF(AND(ISNUMBER('ANO NOVO'!$C120),'ANO NOVO'!$D120="FOLGA"),'ANO NOVO'!$C120,"")</f>
        <v/>
      </c>
      <c r="E720" s="0" t="str">
        <f aca="false">IF(AND(ISNUMBER('ANO NOVO'!$C120),'ANO NOVO'!$D120="FOLGA"),'ANO NOVO'!$E120&amp;"","")</f>
        <v/>
      </c>
      <c r="F720" s="0" t="str">
        <f aca="false">IF(AND(ISNUMBER('ANO NOVO'!$C120),'ANO NOVO'!$D120="FOLGA"),'ANO NOVO'!$F120&amp;"","")</f>
        <v/>
      </c>
      <c r="G720" s="0" t="str">
        <f aca="true">IF(D720="","",IF(D720=TODAY(),D720+ROW()/100000,""))</f>
        <v/>
      </c>
      <c r="H720" s="0" t="str">
        <f aca="true">IF(D720="","",IF(AND(D720&gt;TODAY(),D720&lt;=TODAY()+7),D720+ROW()/100000,""))</f>
        <v/>
      </c>
      <c r="I720" s="0" t="str">
        <f aca="false">IF(D720="","",IF(D720=CALENDÁRIO!$L$4,ROW(),""))</f>
        <v/>
      </c>
      <c r="J720" s="0" t="str">
        <f aca="false">IF(D720="","",CHOOSE(WEEKDAY(D720),"Domingo","Segunda","Terça","Quarta","Quinta","Sexta","Sábado"))</f>
        <v/>
      </c>
    </row>
    <row r="721" customFormat="false" ht="15" hidden="false" customHeight="false" outlineLevel="0" collapsed="false">
      <c r="A721" s="0" t="str">
        <f aca="false">IF(AND(ISNUMBER('ANO NOVO'!$C121),'ANO NOVO'!$D121="FOLGA"),"Folga Ano Novo","")</f>
        <v/>
      </c>
      <c r="B721" s="0" t="str">
        <f aca="false">IF(AND(ISNUMBER('ANO NOVO'!$C121),'ANO NOVO'!$D121="FOLGA"),'ANO NOVO'!$A121&amp;"","")</f>
        <v/>
      </c>
      <c r="C721" s="0" t="str">
        <f aca="false">IF(AND(ISNUMBER('ANO NOVO'!$C121),'ANO NOVO'!$D121="FOLGA"),'ANO NOVO'!$B121&amp;"","")</f>
        <v/>
      </c>
      <c r="D721" s="78" t="str">
        <f aca="false">IF(AND(ISNUMBER('ANO NOVO'!$C121),'ANO NOVO'!$D121="FOLGA"),'ANO NOVO'!$C121,"")</f>
        <v/>
      </c>
      <c r="E721" s="0" t="str">
        <f aca="false">IF(AND(ISNUMBER('ANO NOVO'!$C121),'ANO NOVO'!$D121="FOLGA"),'ANO NOVO'!$E121&amp;"","")</f>
        <v/>
      </c>
      <c r="F721" s="0" t="str">
        <f aca="false">IF(AND(ISNUMBER('ANO NOVO'!$C121),'ANO NOVO'!$D121="FOLGA"),'ANO NOVO'!$F121&amp;"","")</f>
        <v/>
      </c>
      <c r="G721" s="0" t="str">
        <f aca="true">IF(D721="","",IF(D721=TODAY(),D721+ROW()/100000,""))</f>
        <v/>
      </c>
      <c r="H721" s="0" t="str">
        <f aca="true">IF(D721="","",IF(AND(D721&gt;TODAY(),D721&lt;=TODAY()+7),D721+ROW()/100000,""))</f>
        <v/>
      </c>
      <c r="I721" s="0" t="str">
        <f aca="false">IF(D721="","",IF(D721=CALENDÁRIO!$L$4,ROW(),""))</f>
        <v/>
      </c>
      <c r="J721" s="0" t="str">
        <f aca="false">IF(D721="","",CHOOSE(WEEKDAY(D721),"Domingo","Segunda","Terça","Quarta","Quinta","Sexta","Sábado"))</f>
        <v/>
      </c>
    </row>
    <row r="722" customFormat="false" ht="15" hidden="false" customHeight="false" outlineLevel="0" collapsed="false">
      <c r="A722" s="0" t="str">
        <f aca="false">IF(AND(ISNUMBER('ANO NOVO'!$C122),'ANO NOVO'!$D122="FOLGA"),"Folga Ano Novo","")</f>
        <v/>
      </c>
      <c r="B722" s="0" t="str">
        <f aca="false">IF(AND(ISNUMBER('ANO NOVO'!$C122),'ANO NOVO'!$D122="FOLGA"),'ANO NOVO'!$A122&amp;"","")</f>
        <v/>
      </c>
      <c r="C722" s="0" t="str">
        <f aca="false">IF(AND(ISNUMBER('ANO NOVO'!$C122),'ANO NOVO'!$D122="FOLGA"),'ANO NOVO'!$B122&amp;"","")</f>
        <v/>
      </c>
      <c r="D722" s="78" t="str">
        <f aca="false">IF(AND(ISNUMBER('ANO NOVO'!$C122),'ANO NOVO'!$D122="FOLGA"),'ANO NOVO'!$C122,"")</f>
        <v/>
      </c>
      <c r="E722" s="0" t="str">
        <f aca="false">IF(AND(ISNUMBER('ANO NOVO'!$C122),'ANO NOVO'!$D122="FOLGA"),'ANO NOVO'!$E122&amp;"","")</f>
        <v/>
      </c>
      <c r="F722" s="0" t="str">
        <f aca="false">IF(AND(ISNUMBER('ANO NOVO'!$C122),'ANO NOVO'!$D122="FOLGA"),'ANO NOVO'!$F122&amp;"","")</f>
        <v/>
      </c>
      <c r="G722" s="0" t="str">
        <f aca="true">IF(D722="","",IF(D722=TODAY(),D722+ROW()/100000,""))</f>
        <v/>
      </c>
      <c r="H722" s="0" t="str">
        <f aca="true">IF(D722="","",IF(AND(D722&gt;TODAY(),D722&lt;=TODAY()+7),D722+ROW()/100000,""))</f>
        <v/>
      </c>
      <c r="I722" s="0" t="str">
        <f aca="false">IF(D722="","",IF(D722=CALENDÁRIO!$L$4,ROW(),""))</f>
        <v/>
      </c>
      <c r="J722" s="0" t="str">
        <f aca="false">IF(D722="","",CHOOSE(WEEKDAY(D722),"Domingo","Segunda","Terça","Quarta","Quinta","Sexta","Sábado"))</f>
        <v/>
      </c>
    </row>
    <row r="723" customFormat="false" ht="15" hidden="false" customHeight="false" outlineLevel="0" collapsed="false">
      <c r="A723" s="0" t="str">
        <f aca="false">IF(AND(ISNUMBER('ANO NOVO'!$C123),'ANO NOVO'!$D123="FOLGA"),"Folga Ano Novo","")</f>
        <v/>
      </c>
      <c r="B723" s="0" t="str">
        <f aca="false">IF(AND(ISNUMBER('ANO NOVO'!$C123),'ANO NOVO'!$D123="FOLGA"),'ANO NOVO'!$A123&amp;"","")</f>
        <v/>
      </c>
      <c r="C723" s="0" t="str">
        <f aca="false">IF(AND(ISNUMBER('ANO NOVO'!$C123),'ANO NOVO'!$D123="FOLGA"),'ANO NOVO'!$B123&amp;"","")</f>
        <v/>
      </c>
      <c r="D723" s="78" t="str">
        <f aca="false">IF(AND(ISNUMBER('ANO NOVO'!$C123),'ANO NOVO'!$D123="FOLGA"),'ANO NOVO'!$C123,"")</f>
        <v/>
      </c>
      <c r="E723" s="0" t="str">
        <f aca="false">IF(AND(ISNUMBER('ANO NOVO'!$C123),'ANO NOVO'!$D123="FOLGA"),'ANO NOVO'!$E123&amp;"","")</f>
        <v/>
      </c>
      <c r="F723" s="0" t="str">
        <f aca="false">IF(AND(ISNUMBER('ANO NOVO'!$C123),'ANO NOVO'!$D123="FOLGA"),'ANO NOVO'!$F123&amp;"","")</f>
        <v/>
      </c>
      <c r="G723" s="0" t="str">
        <f aca="true">IF(D723="","",IF(D723=TODAY(),D723+ROW()/100000,""))</f>
        <v/>
      </c>
      <c r="H723" s="0" t="str">
        <f aca="true">IF(D723="","",IF(AND(D723&gt;TODAY(),D723&lt;=TODAY()+7),D723+ROW()/100000,""))</f>
        <v/>
      </c>
      <c r="I723" s="0" t="str">
        <f aca="false">IF(D723="","",IF(D723=CALENDÁRIO!$L$4,ROW(),""))</f>
        <v/>
      </c>
      <c r="J723" s="0" t="str">
        <f aca="false">IF(D723="","",CHOOSE(WEEKDAY(D723),"Domingo","Segunda","Terça","Quarta","Quinta","Sexta","Sábado"))</f>
        <v/>
      </c>
    </row>
    <row r="724" customFormat="false" ht="15" hidden="false" customHeight="false" outlineLevel="0" collapsed="false">
      <c r="A724" s="0" t="str">
        <f aca="false">IF(AND(ISNUMBER('ANO NOVO'!$C124),'ANO NOVO'!$D124="FOLGA"),"Folga Ano Novo","")</f>
        <v/>
      </c>
      <c r="B724" s="0" t="str">
        <f aca="false">IF(AND(ISNUMBER('ANO NOVO'!$C124),'ANO NOVO'!$D124="FOLGA"),'ANO NOVO'!$A124&amp;"","")</f>
        <v/>
      </c>
      <c r="C724" s="0" t="str">
        <f aca="false">IF(AND(ISNUMBER('ANO NOVO'!$C124),'ANO NOVO'!$D124="FOLGA"),'ANO NOVO'!$B124&amp;"","")</f>
        <v/>
      </c>
      <c r="D724" s="78" t="str">
        <f aca="false">IF(AND(ISNUMBER('ANO NOVO'!$C124),'ANO NOVO'!$D124="FOLGA"),'ANO NOVO'!$C124,"")</f>
        <v/>
      </c>
      <c r="E724" s="0" t="str">
        <f aca="false">IF(AND(ISNUMBER('ANO NOVO'!$C124),'ANO NOVO'!$D124="FOLGA"),'ANO NOVO'!$E124&amp;"","")</f>
        <v/>
      </c>
      <c r="F724" s="0" t="str">
        <f aca="false">IF(AND(ISNUMBER('ANO NOVO'!$C124),'ANO NOVO'!$D124="FOLGA"),'ANO NOVO'!$F124&amp;"","")</f>
        <v/>
      </c>
      <c r="G724" s="0" t="str">
        <f aca="true">IF(D724="","",IF(D724=TODAY(),D724+ROW()/100000,""))</f>
        <v/>
      </c>
      <c r="H724" s="0" t="str">
        <f aca="true">IF(D724="","",IF(AND(D724&gt;TODAY(),D724&lt;=TODAY()+7),D724+ROW()/100000,""))</f>
        <v/>
      </c>
      <c r="I724" s="0" t="str">
        <f aca="false">IF(D724="","",IF(D724=CALENDÁRIO!$L$4,ROW(),""))</f>
        <v/>
      </c>
      <c r="J724" s="0" t="str">
        <f aca="false">IF(D724="","",CHOOSE(WEEKDAY(D724),"Domingo","Segunda","Terça","Quarta","Quinta","Sexta","Sábado"))</f>
        <v/>
      </c>
    </row>
    <row r="725" customFormat="false" ht="15" hidden="false" customHeight="false" outlineLevel="0" collapsed="false">
      <c r="A725" s="0" t="str">
        <f aca="false">IF(AND(ISNUMBER('ANO NOVO'!$C125),'ANO NOVO'!$D125="FOLGA"),"Folga Ano Novo","")</f>
        <v/>
      </c>
      <c r="B725" s="0" t="str">
        <f aca="false">IF(AND(ISNUMBER('ANO NOVO'!$C125),'ANO NOVO'!$D125="FOLGA"),'ANO NOVO'!$A125&amp;"","")</f>
        <v/>
      </c>
      <c r="C725" s="0" t="str">
        <f aca="false">IF(AND(ISNUMBER('ANO NOVO'!$C125),'ANO NOVO'!$D125="FOLGA"),'ANO NOVO'!$B125&amp;"","")</f>
        <v/>
      </c>
      <c r="D725" s="78" t="str">
        <f aca="false">IF(AND(ISNUMBER('ANO NOVO'!$C125),'ANO NOVO'!$D125="FOLGA"),'ANO NOVO'!$C125,"")</f>
        <v/>
      </c>
      <c r="E725" s="0" t="str">
        <f aca="false">IF(AND(ISNUMBER('ANO NOVO'!$C125),'ANO NOVO'!$D125="FOLGA"),'ANO NOVO'!$E125&amp;"","")</f>
        <v/>
      </c>
      <c r="F725" s="0" t="str">
        <f aca="false">IF(AND(ISNUMBER('ANO NOVO'!$C125),'ANO NOVO'!$D125="FOLGA"),'ANO NOVO'!$F125&amp;"","")</f>
        <v/>
      </c>
      <c r="G725" s="0" t="str">
        <f aca="true">IF(D725="","",IF(D725=TODAY(),D725+ROW()/100000,""))</f>
        <v/>
      </c>
      <c r="H725" s="0" t="str">
        <f aca="true">IF(D725="","",IF(AND(D725&gt;TODAY(),D725&lt;=TODAY()+7),D725+ROW()/100000,""))</f>
        <v/>
      </c>
      <c r="I725" s="0" t="str">
        <f aca="false">IF(D725="","",IF(D725=CALENDÁRIO!$L$4,ROW(),""))</f>
        <v/>
      </c>
      <c r="J725" s="0" t="str">
        <f aca="false">IF(D725="","",CHOOSE(WEEKDAY(D725),"Domingo","Segunda","Terça","Quarta","Quinta","Sexta","Sábado"))</f>
        <v/>
      </c>
    </row>
    <row r="726" customFormat="false" ht="15" hidden="false" customHeight="false" outlineLevel="0" collapsed="false">
      <c r="A726" s="0" t="str">
        <f aca="false">IF(AND(ISNUMBER('ANO NOVO'!$C126),'ANO NOVO'!$D126="FOLGA"),"Folga Ano Novo","")</f>
        <v/>
      </c>
      <c r="B726" s="0" t="str">
        <f aca="false">IF(AND(ISNUMBER('ANO NOVO'!$C126),'ANO NOVO'!$D126="FOLGA"),'ANO NOVO'!$A126&amp;"","")</f>
        <v/>
      </c>
      <c r="C726" s="0" t="str">
        <f aca="false">IF(AND(ISNUMBER('ANO NOVO'!$C126),'ANO NOVO'!$D126="FOLGA"),'ANO NOVO'!$B126&amp;"","")</f>
        <v/>
      </c>
      <c r="D726" s="78" t="str">
        <f aca="false">IF(AND(ISNUMBER('ANO NOVO'!$C126),'ANO NOVO'!$D126="FOLGA"),'ANO NOVO'!$C126,"")</f>
        <v/>
      </c>
      <c r="E726" s="0" t="str">
        <f aca="false">IF(AND(ISNUMBER('ANO NOVO'!$C126),'ANO NOVO'!$D126="FOLGA"),'ANO NOVO'!$E126&amp;"","")</f>
        <v/>
      </c>
      <c r="F726" s="0" t="str">
        <f aca="false">IF(AND(ISNUMBER('ANO NOVO'!$C126),'ANO NOVO'!$D126="FOLGA"),'ANO NOVO'!$F126&amp;"","")</f>
        <v/>
      </c>
      <c r="G726" s="0" t="str">
        <f aca="true">IF(D726="","",IF(D726=TODAY(),D726+ROW()/100000,""))</f>
        <v/>
      </c>
      <c r="H726" s="0" t="str">
        <f aca="true">IF(D726="","",IF(AND(D726&gt;TODAY(),D726&lt;=TODAY()+7),D726+ROW()/100000,""))</f>
        <v/>
      </c>
      <c r="I726" s="0" t="str">
        <f aca="false">IF(D726="","",IF(D726=CALENDÁRIO!$L$4,ROW(),""))</f>
        <v/>
      </c>
      <c r="J726" s="0" t="str">
        <f aca="false">IF(D726="","",CHOOSE(WEEKDAY(D726),"Domingo","Segunda","Terça","Quarta","Quinta","Sexta","Sábado"))</f>
        <v/>
      </c>
    </row>
    <row r="727" customFormat="false" ht="15" hidden="false" customHeight="false" outlineLevel="0" collapsed="false">
      <c r="A727" s="0" t="str">
        <f aca="false">IF(AND(ISNUMBER('ANO NOVO'!$C127),'ANO NOVO'!$D127="FOLGA"),"Folga Ano Novo","")</f>
        <v/>
      </c>
      <c r="B727" s="0" t="str">
        <f aca="false">IF(AND(ISNUMBER('ANO NOVO'!$C127),'ANO NOVO'!$D127="FOLGA"),'ANO NOVO'!$A127&amp;"","")</f>
        <v/>
      </c>
      <c r="C727" s="0" t="str">
        <f aca="false">IF(AND(ISNUMBER('ANO NOVO'!$C127),'ANO NOVO'!$D127="FOLGA"),'ANO NOVO'!$B127&amp;"","")</f>
        <v/>
      </c>
      <c r="D727" s="78" t="str">
        <f aca="false">IF(AND(ISNUMBER('ANO NOVO'!$C127),'ANO NOVO'!$D127="FOLGA"),'ANO NOVO'!$C127,"")</f>
        <v/>
      </c>
      <c r="E727" s="0" t="str">
        <f aca="false">IF(AND(ISNUMBER('ANO NOVO'!$C127),'ANO NOVO'!$D127="FOLGA"),'ANO NOVO'!$E127&amp;"","")</f>
        <v/>
      </c>
      <c r="F727" s="0" t="str">
        <f aca="false">IF(AND(ISNUMBER('ANO NOVO'!$C127),'ANO NOVO'!$D127="FOLGA"),'ANO NOVO'!$F127&amp;"","")</f>
        <v/>
      </c>
      <c r="G727" s="0" t="str">
        <f aca="true">IF(D727="","",IF(D727=TODAY(),D727+ROW()/100000,""))</f>
        <v/>
      </c>
      <c r="H727" s="0" t="str">
        <f aca="true">IF(D727="","",IF(AND(D727&gt;TODAY(),D727&lt;=TODAY()+7),D727+ROW()/100000,""))</f>
        <v/>
      </c>
      <c r="I727" s="0" t="str">
        <f aca="false">IF(D727="","",IF(D727=CALENDÁRIO!$L$4,ROW(),""))</f>
        <v/>
      </c>
      <c r="J727" s="0" t="str">
        <f aca="false">IF(D727="","",CHOOSE(WEEKDAY(D727),"Domingo","Segunda","Terça","Quarta","Quinta","Sexta","Sábado"))</f>
        <v/>
      </c>
    </row>
    <row r="728" customFormat="false" ht="15" hidden="false" customHeight="false" outlineLevel="0" collapsed="false">
      <c r="A728" s="0" t="str">
        <f aca="false">IF(AND(ISNUMBER('ANO NOVO'!$C128),'ANO NOVO'!$D128="FOLGA"),"Folga Ano Novo","")</f>
        <v/>
      </c>
      <c r="B728" s="0" t="str">
        <f aca="false">IF(AND(ISNUMBER('ANO NOVO'!$C128),'ANO NOVO'!$D128="FOLGA"),'ANO NOVO'!$A128&amp;"","")</f>
        <v/>
      </c>
      <c r="C728" s="0" t="str">
        <f aca="false">IF(AND(ISNUMBER('ANO NOVO'!$C128),'ANO NOVO'!$D128="FOLGA"),'ANO NOVO'!$B128&amp;"","")</f>
        <v/>
      </c>
      <c r="D728" s="78" t="str">
        <f aca="false">IF(AND(ISNUMBER('ANO NOVO'!$C128),'ANO NOVO'!$D128="FOLGA"),'ANO NOVO'!$C128,"")</f>
        <v/>
      </c>
      <c r="E728" s="0" t="str">
        <f aca="false">IF(AND(ISNUMBER('ANO NOVO'!$C128),'ANO NOVO'!$D128="FOLGA"),'ANO NOVO'!$E128&amp;"","")</f>
        <v/>
      </c>
      <c r="F728" s="0" t="str">
        <f aca="false">IF(AND(ISNUMBER('ANO NOVO'!$C128),'ANO NOVO'!$D128="FOLGA"),'ANO NOVO'!$F128&amp;"","")</f>
        <v/>
      </c>
      <c r="G728" s="0" t="str">
        <f aca="true">IF(D728="","",IF(D728=TODAY(),D728+ROW()/100000,""))</f>
        <v/>
      </c>
      <c r="H728" s="0" t="str">
        <f aca="true">IF(D728="","",IF(AND(D728&gt;TODAY(),D728&lt;=TODAY()+7),D728+ROW()/100000,""))</f>
        <v/>
      </c>
      <c r="I728" s="0" t="str">
        <f aca="false">IF(D728="","",IF(D728=CALENDÁRIO!$L$4,ROW(),""))</f>
        <v/>
      </c>
      <c r="J728" s="0" t="str">
        <f aca="false">IF(D728="","",CHOOSE(WEEKDAY(D728),"Domingo","Segunda","Terça","Quarta","Quinta","Sexta","Sábado"))</f>
        <v/>
      </c>
    </row>
    <row r="729" customFormat="false" ht="15" hidden="false" customHeight="false" outlineLevel="0" collapsed="false">
      <c r="A729" s="0" t="str">
        <f aca="false">IF(AND(ISNUMBER('ANO NOVO'!$C129),'ANO NOVO'!$D129="FOLGA"),"Folga Ano Novo","")</f>
        <v/>
      </c>
      <c r="B729" s="0" t="str">
        <f aca="false">IF(AND(ISNUMBER('ANO NOVO'!$C129),'ANO NOVO'!$D129="FOLGA"),'ANO NOVO'!$A129&amp;"","")</f>
        <v/>
      </c>
      <c r="C729" s="0" t="str">
        <f aca="false">IF(AND(ISNUMBER('ANO NOVO'!$C129),'ANO NOVO'!$D129="FOLGA"),'ANO NOVO'!$B129&amp;"","")</f>
        <v/>
      </c>
      <c r="D729" s="78" t="str">
        <f aca="false">IF(AND(ISNUMBER('ANO NOVO'!$C129),'ANO NOVO'!$D129="FOLGA"),'ANO NOVO'!$C129,"")</f>
        <v/>
      </c>
      <c r="E729" s="0" t="str">
        <f aca="false">IF(AND(ISNUMBER('ANO NOVO'!$C129),'ANO NOVO'!$D129="FOLGA"),'ANO NOVO'!$E129&amp;"","")</f>
        <v/>
      </c>
      <c r="F729" s="0" t="str">
        <f aca="false">IF(AND(ISNUMBER('ANO NOVO'!$C129),'ANO NOVO'!$D129="FOLGA"),'ANO NOVO'!$F129&amp;"","")</f>
        <v/>
      </c>
      <c r="G729" s="0" t="str">
        <f aca="true">IF(D729="","",IF(D729=TODAY(),D729+ROW()/100000,""))</f>
        <v/>
      </c>
      <c r="H729" s="0" t="str">
        <f aca="true">IF(D729="","",IF(AND(D729&gt;TODAY(),D729&lt;=TODAY()+7),D729+ROW()/100000,""))</f>
        <v/>
      </c>
      <c r="I729" s="0" t="str">
        <f aca="false">IF(D729="","",IF(D729=CALENDÁRIO!$L$4,ROW(),""))</f>
        <v/>
      </c>
      <c r="J729" s="0" t="str">
        <f aca="false">IF(D729="","",CHOOSE(WEEKDAY(D729),"Domingo","Segunda","Terça","Quarta","Quinta","Sexta","Sábado"))</f>
        <v/>
      </c>
    </row>
    <row r="730" customFormat="false" ht="15" hidden="false" customHeight="false" outlineLevel="0" collapsed="false">
      <c r="A730" s="0" t="str">
        <f aca="false">IF(AND(ISNUMBER('ANO NOVO'!$C130),'ANO NOVO'!$D130="FOLGA"),"Folga Ano Novo","")</f>
        <v/>
      </c>
      <c r="B730" s="0" t="str">
        <f aca="false">IF(AND(ISNUMBER('ANO NOVO'!$C130),'ANO NOVO'!$D130="FOLGA"),'ANO NOVO'!$A130&amp;"","")</f>
        <v/>
      </c>
      <c r="C730" s="0" t="str">
        <f aca="false">IF(AND(ISNUMBER('ANO NOVO'!$C130),'ANO NOVO'!$D130="FOLGA"),'ANO NOVO'!$B130&amp;"","")</f>
        <v/>
      </c>
      <c r="D730" s="78" t="str">
        <f aca="false">IF(AND(ISNUMBER('ANO NOVO'!$C130),'ANO NOVO'!$D130="FOLGA"),'ANO NOVO'!$C130,"")</f>
        <v/>
      </c>
      <c r="E730" s="0" t="str">
        <f aca="false">IF(AND(ISNUMBER('ANO NOVO'!$C130),'ANO NOVO'!$D130="FOLGA"),'ANO NOVO'!$E130&amp;"","")</f>
        <v/>
      </c>
      <c r="F730" s="0" t="str">
        <f aca="false">IF(AND(ISNUMBER('ANO NOVO'!$C130),'ANO NOVO'!$D130="FOLGA"),'ANO NOVO'!$F130&amp;"","")</f>
        <v/>
      </c>
      <c r="G730" s="0" t="str">
        <f aca="true">IF(D730="","",IF(D730=TODAY(),D730+ROW()/100000,""))</f>
        <v/>
      </c>
      <c r="H730" s="0" t="str">
        <f aca="true">IF(D730="","",IF(AND(D730&gt;TODAY(),D730&lt;=TODAY()+7),D730+ROW()/100000,""))</f>
        <v/>
      </c>
      <c r="I730" s="0" t="str">
        <f aca="false">IF(D730="","",IF(D730=CALENDÁRIO!$L$4,ROW(),""))</f>
        <v/>
      </c>
      <c r="J730" s="0" t="str">
        <f aca="false">IF(D730="","",CHOOSE(WEEKDAY(D730),"Domingo","Segunda","Terça","Quarta","Quinta","Sexta","Sábado"))</f>
        <v/>
      </c>
    </row>
    <row r="731" customFormat="false" ht="15" hidden="false" customHeight="false" outlineLevel="0" collapsed="false">
      <c r="A731" s="0" t="str">
        <f aca="false">IF(AND(ISNUMBER('ANO NOVO'!$C131),'ANO NOVO'!$D131="FOLGA"),"Folga Ano Novo","")</f>
        <v/>
      </c>
      <c r="B731" s="0" t="str">
        <f aca="false">IF(AND(ISNUMBER('ANO NOVO'!$C131),'ANO NOVO'!$D131="FOLGA"),'ANO NOVO'!$A131&amp;"","")</f>
        <v/>
      </c>
      <c r="C731" s="0" t="str">
        <f aca="false">IF(AND(ISNUMBER('ANO NOVO'!$C131),'ANO NOVO'!$D131="FOLGA"),'ANO NOVO'!$B131&amp;"","")</f>
        <v/>
      </c>
      <c r="D731" s="78" t="str">
        <f aca="false">IF(AND(ISNUMBER('ANO NOVO'!$C131),'ANO NOVO'!$D131="FOLGA"),'ANO NOVO'!$C131,"")</f>
        <v/>
      </c>
      <c r="E731" s="0" t="str">
        <f aca="false">IF(AND(ISNUMBER('ANO NOVO'!$C131),'ANO NOVO'!$D131="FOLGA"),'ANO NOVO'!$E131&amp;"","")</f>
        <v/>
      </c>
      <c r="F731" s="0" t="str">
        <f aca="false">IF(AND(ISNUMBER('ANO NOVO'!$C131),'ANO NOVO'!$D131="FOLGA"),'ANO NOVO'!$F131&amp;"","")</f>
        <v/>
      </c>
      <c r="G731" s="0" t="str">
        <f aca="true">IF(D731="","",IF(D731=TODAY(),D731+ROW()/100000,""))</f>
        <v/>
      </c>
      <c r="H731" s="0" t="str">
        <f aca="true">IF(D731="","",IF(AND(D731&gt;TODAY(),D731&lt;=TODAY()+7),D731+ROW()/100000,""))</f>
        <v/>
      </c>
      <c r="I731" s="0" t="str">
        <f aca="false">IF(D731="","",IF(D731=CALENDÁRIO!$L$4,ROW(),""))</f>
        <v/>
      </c>
      <c r="J731" s="0" t="str">
        <f aca="false">IF(D731="","",CHOOSE(WEEKDAY(D731),"Domingo","Segunda","Terça","Quarta","Quinta","Sexta","Sábado"))</f>
        <v/>
      </c>
    </row>
    <row r="732" customFormat="false" ht="15" hidden="false" customHeight="false" outlineLevel="0" collapsed="false">
      <c r="A732" s="0" t="str">
        <f aca="false">IF(AND(ISNUMBER('ANO NOVO'!$C132),'ANO NOVO'!$D132="FOLGA"),"Folga Ano Novo","")</f>
        <v/>
      </c>
      <c r="B732" s="0" t="str">
        <f aca="false">IF(AND(ISNUMBER('ANO NOVO'!$C132),'ANO NOVO'!$D132="FOLGA"),'ANO NOVO'!$A132&amp;"","")</f>
        <v/>
      </c>
      <c r="C732" s="0" t="str">
        <f aca="false">IF(AND(ISNUMBER('ANO NOVO'!$C132),'ANO NOVO'!$D132="FOLGA"),'ANO NOVO'!$B132&amp;"","")</f>
        <v/>
      </c>
      <c r="D732" s="78" t="str">
        <f aca="false">IF(AND(ISNUMBER('ANO NOVO'!$C132),'ANO NOVO'!$D132="FOLGA"),'ANO NOVO'!$C132,"")</f>
        <v/>
      </c>
      <c r="E732" s="0" t="str">
        <f aca="false">IF(AND(ISNUMBER('ANO NOVO'!$C132),'ANO NOVO'!$D132="FOLGA"),'ANO NOVO'!$E132&amp;"","")</f>
        <v/>
      </c>
      <c r="F732" s="0" t="str">
        <f aca="false">IF(AND(ISNUMBER('ANO NOVO'!$C132),'ANO NOVO'!$D132="FOLGA"),'ANO NOVO'!$F132&amp;"","")</f>
        <v/>
      </c>
      <c r="G732" s="0" t="str">
        <f aca="true">IF(D732="","",IF(D732=TODAY(),D732+ROW()/100000,""))</f>
        <v/>
      </c>
      <c r="H732" s="0" t="str">
        <f aca="true">IF(D732="","",IF(AND(D732&gt;TODAY(),D732&lt;=TODAY()+7),D732+ROW()/100000,""))</f>
        <v/>
      </c>
      <c r="I732" s="0" t="str">
        <f aca="false">IF(D732="","",IF(D732=CALENDÁRIO!$L$4,ROW(),""))</f>
        <v/>
      </c>
      <c r="J732" s="0" t="str">
        <f aca="false">IF(D732="","",CHOOSE(WEEKDAY(D732),"Domingo","Segunda","Terça","Quarta","Quinta","Sexta","Sábado"))</f>
        <v/>
      </c>
    </row>
    <row r="733" customFormat="false" ht="15" hidden="false" customHeight="false" outlineLevel="0" collapsed="false">
      <c r="A733" s="0" t="str">
        <f aca="false">IF(AND(ISNUMBER('ANO NOVO'!$C133),'ANO NOVO'!$D133="FOLGA"),"Folga Ano Novo","")</f>
        <v/>
      </c>
      <c r="B733" s="0" t="str">
        <f aca="false">IF(AND(ISNUMBER('ANO NOVO'!$C133),'ANO NOVO'!$D133="FOLGA"),'ANO NOVO'!$A133&amp;"","")</f>
        <v/>
      </c>
      <c r="C733" s="0" t="str">
        <f aca="false">IF(AND(ISNUMBER('ANO NOVO'!$C133),'ANO NOVO'!$D133="FOLGA"),'ANO NOVO'!$B133&amp;"","")</f>
        <v/>
      </c>
      <c r="D733" s="78" t="str">
        <f aca="false">IF(AND(ISNUMBER('ANO NOVO'!$C133),'ANO NOVO'!$D133="FOLGA"),'ANO NOVO'!$C133,"")</f>
        <v/>
      </c>
      <c r="E733" s="0" t="str">
        <f aca="false">IF(AND(ISNUMBER('ANO NOVO'!$C133),'ANO NOVO'!$D133="FOLGA"),'ANO NOVO'!$E133&amp;"","")</f>
        <v/>
      </c>
      <c r="F733" s="0" t="str">
        <f aca="false">IF(AND(ISNUMBER('ANO NOVO'!$C133),'ANO NOVO'!$D133="FOLGA"),'ANO NOVO'!$F133&amp;"","")</f>
        <v/>
      </c>
      <c r="G733" s="0" t="str">
        <f aca="true">IF(D733="","",IF(D733=TODAY(),D733+ROW()/100000,""))</f>
        <v/>
      </c>
      <c r="H733" s="0" t="str">
        <f aca="true">IF(D733="","",IF(AND(D733&gt;TODAY(),D733&lt;=TODAY()+7),D733+ROW()/100000,""))</f>
        <v/>
      </c>
      <c r="I733" s="0" t="str">
        <f aca="false">IF(D733="","",IF(D733=CALENDÁRIO!$L$4,ROW(),""))</f>
        <v/>
      </c>
      <c r="J733" s="0" t="str">
        <f aca="false">IF(D733="","",CHOOSE(WEEKDAY(D733),"Domingo","Segunda","Terça","Quarta","Quinta","Sexta","Sábado"))</f>
        <v/>
      </c>
    </row>
    <row r="734" customFormat="false" ht="15" hidden="false" customHeight="false" outlineLevel="0" collapsed="false">
      <c r="A734" s="0" t="str">
        <f aca="false">IF(AND(ISNUMBER('ANO NOVO'!$C134),'ANO NOVO'!$D134="FOLGA"),"Folga Ano Novo","")</f>
        <v/>
      </c>
      <c r="B734" s="0" t="str">
        <f aca="false">IF(AND(ISNUMBER('ANO NOVO'!$C134),'ANO NOVO'!$D134="FOLGA"),'ANO NOVO'!$A134&amp;"","")</f>
        <v/>
      </c>
      <c r="C734" s="0" t="str">
        <f aca="false">IF(AND(ISNUMBER('ANO NOVO'!$C134),'ANO NOVO'!$D134="FOLGA"),'ANO NOVO'!$B134&amp;"","")</f>
        <v/>
      </c>
      <c r="D734" s="78" t="str">
        <f aca="false">IF(AND(ISNUMBER('ANO NOVO'!$C134),'ANO NOVO'!$D134="FOLGA"),'ANO NOVO'!$C134,"")</f>
        <v/>
      </c>
      <c r="E734" s="0" t="str">
        <f aca="false">IF(AND(ISNUMBER('ANO NOVO'!$C134),'ANO NOVO'!$D134="FOLGA"),'ANO NOVO'!$E134&amp;"","")</f>
        <v/>
      </c>
      <c r="F734" s="0" t="str">
        <f aca="false">IF(AND(ISNUMBER('ANO NOVO'!$C134),'ANO NOVO'!$D134="FOLGA"),'ANO NOVO'!$F134&amp;"","")</f>
        <v/>
      </c>
      <c r="G734" s="0" t="str">
        <f aca="true">IF(D734="","",IF(D734=TODAY(),D734+ROW()/100000,""))</f>
        <v/>
      </c>
      <c r="H734" s="0" t="str">
        <f aca="true">IF(D734="","",IF(AND(D734&gt;TODAY(),D734&lt;=TODAY()+7),D734+ROW()/100000,""))</f>
        <v/>
      </c>
      <c r="I734" s="0" t="str">
        <f aca="false">IF(D734="","",IF(D734=CALENDÁRIO!$L$4,ROW(),""))</f>
        <v/>
      </c>
      <c r="J734" s="0" t="str">
        <f aca="false">IF(D734="","",CHOOSE(WEEKDAY(D734),"Domingo","Segunda","Terça","Quarta","Quinta","Sexta","Sábado"))</f>
        <v/>
      </c>
    </row>
    <row r="735" customFormat="false" ht="15" hidden="false" customHeight="false" outlineLevel="0" collapsed="false">
      <c r="A735" s="0" t="str">
        <f aca="false">IF(AND(ISNUMBER('ANO NOVO'!$C135),'ANO NOVO'!$D135="FOLGA"),"Folga Ano Novo","")</f>
        <v/>
      </c>
      <c r="B735" s="0" t="str">
        <f aca="false">IF(AND(ISNUMBER('ANO NOVO'!$C135),'ANO NOVO'!$D135="FOLGA"),'ANO NOVO'!$A135&amp;"","")</f>
        <v/>
      </c>
      <c r="C735" s="0" t="str">
        <f aca="false">IF(AND(ISNUMBER('ANO NOVO'!$C135),'ANO NOVO'!$D135="FOLGA"),'ANO NOVO'!$B135&amp;"","")</f>
        <v/>
      </c>
      <c r="D735" s="78" t="str">
        <f aca="false">IF(AND(ISNUMBER('ANO NOVO'!$C135),'ANO NOVO'!$D135="FOLGA"),'ANO NOVO'!$C135,"")</f>
        <v/>
      </c>
      <c r="E735" s="0" t="str">
        <f aca="false">IF(AND(ISNUMBER('ANO NOVO'!$C135),'ANO NOVO'!$D135="FOLGA"),'ANO NOVO'!$E135&amp;"","")</f>
        <v/>
      </c>
      <c r="F735" s="0" t="str">
        <f aca="false">IF(AND(ISNUMBER('ANO NOVO'!$C135),'ANO NOVO'!$D135="FOLGA"),'ANO NOVO'!$F135&amp;"","")</f>
        <v/>
      </c>
      <c r="G735" s="0" t="str">
        <f aca="true">IF(D735="","",IF(D735=TODAY(),D735+ROW()/100000,""))</f>
        <v/>
      </c>
      <c r="H735" s="0" t="str">
        <f aca="true">IF(D735="","",IF(AND(D735&gt;TODAY(),D735&lt;=TODAY()+7),D735+ROW()/100000,""))</f>
        <v/>
      </c>
      <c r="I735" s="0" t="str">
        <f aca="false">IF(D735="","",IF(D735=CALENDÁRIO!$L$4,ROW(),""))</f>
        <v/>
      </c>
      <c r="J735" s="0" t="str">
        <f aca="false">IF(D735="","",CHOOSE(WEEKDAY(D735),"Domingo","Segunda","Terça","Quarta","Quinta","Sexta","Sábado"))</f>
        <v/>
      </c>
    </row>
    <row r="736" customFormat="false" ht="15" hidden="false" customHeight="false" outlineLevel="0" collapsed="false">
      <c r="A736" s="0" t="str">
        <f aca="false">IF(AND(ISNUMBER('ANO NOVO'!$C136),'ANO NOVO'!$D136="FOLGA"),"Folga Ano Novo","")</f>
        <v/>
      </c>
      <c r="B736" s="0" t="str">
        <f aca="false">IF(AND(ISNUMBER('ANO NOVO'!$C136),'ANO NOVO'!$D136="FOLGA"),'ANO NOVO'!$A136&amp;"","")</f>
        <v/>
      </c>
      <c r="C736" s="0" t="str">
        <f aca="false">IF(AND(ISNUMBER('ANO NOVO'!$C136),'ANO NOVO'!$D136="FOLGA"),'ANO NOVO'!$B136&amp;"","")</f>
        <v/>
      </c>
      <c r="D736" s="78" t="str">
        <f aca="false">IF(AND(ISNUMBER('ANO NOVO'!$C136),'ANO NOVO'!$D136="FOLGA"),'ANO NOVO'!$C136,"")</f>
        <v/>
      </c>
      <c r="E736" s="0" t="str">
        <f aca="false">IF(AND(ISNUMBER('ANO NOVO'!$C136),'ANO NOVO'!$D136="FOLGA"),'ANO NOVO'!$E136&amp;"","")</f>
        <v/>
      </c>
      <c r="F736" s="0" t="str">
        <f aca="false">IF(AND(ISNUMBER('ANO NOVO'!$C136),'ANO NOVO'!$D136="FOLGA"),'ANO NOVO'!$F136&amp;"","")</f>
        <v/>
      </c>
      <c r="G736" s="0" t="str">
        <f aca="true">IF(D736="","",IF(D736=TODAY(),D736+ROW()/100000,""))</f>
        <v/>
      </c>
      <c r="H736" s="0" t="str">
        <f aca="true">IF(D736="","",IF(AND(D736&gt;TODAY(),D736&lt;=TODAY()+7),D736+ROW()/100000,""))</f>
        <v/>
      </c>
      <c r="I736" s="0" t="str">
        <f aca="false">IF(D736="","",IF(D736=CALENDÁRIO!$L$4,ROW(),""))</f>
        <v/>
      </c>
      <c r="J736" s="0" t="str">
        <f aca="false">IF(D736="","",CHOOSE(WEEKDAY(D736),"Domingo","Segunda","Terça","Quarta","Quinta","Sexta","Sábado"))</f>
        <v/>
      </c>
    </row>
    <row r="737" customFormat="false" ht="15" hidden="false" customHeight="false" outlineLevel="0" collapsed="false">
      <c r="A737" s="0" t="str">
        <f aca="false">IF(AND(ISNUMBER('ANO NOVO'!$C137),'ANO NOVO'!$D137="FOLGA"),"Folga Ano Novo","")</f>
        <v/>
      </c>
      <c r="B737" s="0" t="str">
        <f aca="false">IF(AND(ISNUMBER('ANO NOVO'!$C137),'ANO NOVO'!$D137="FOLGA"),'ANO NOVO'!$A137&amp;"","")</f>
        <v/>
      </c>
      <c r="C737" s="0" t="str">
        <f aca="false">IF(AND(ISNUMBER('ANO NOVO'!$C137),'ANO NOVO'!$D137="FOLGA"),'ANO NOVO'!$B137&amp;"","")</f>
        <v/>
      </c>
      <c r="D737" s="78" t="str">
        <f aca="false">IF(AND(ISNUMBER('ANO NOVO'!$C137),'ANO NOVO'!$D137="FOLGA"),'ANO NOVO'!$C137,"")</f>
        <v/>
      </c>
      <c r="E737" s="0" t="str">
        <f aca="false">IF(AND(ISNUMBER('ANO NOVO'!$C137),'ANO NOVO'!$D137="FOLGA"),'ANO NOVO'!$E137&amp;"","")</f>
        <v/>
      </c>
      <c r="F737" s="0" t="str">
        <f aca="false">IF(AND(ISNUMBER('ANO NOVO'!$C137),'ANO NOVO'!$D137="FOLGA"),'ANO NOVO'!$F137&amp;"","")</f>
        <v/>
      </c>
      <c r="G737" s="0" t="str">
        <f aca="true">IF(D737="","",IF(D737=TODAY(),D737+ROW()/100000,""))</f>
        <v/>
      </c>
      <c r="H737" s="0" t="str">
        <f aca="true">IF(D737="","",IF(AND(D737&gt;TODAY(),D737&lt;=TODAY()+7),D737+ROW()/100000,""))</f>
        <v/>
      </c>
      <c r="I737" s="0" t="str">
        <f aca="false">IF(D737="","",IF(D737=CALENDÁRIO!$L$4,ROW(),""))</f>
        <v/>
      </c>
      <c r="J737" s="0" t="str">
        <f aca="false">IF(D737="","",CHOOSE(WEEKDAY(D737),"Domingo","Segunda","Terça","Quarta","Quinta","Sexta","Sábado"))</f>
        <v/>
      </c>
    </row>
    <row r="738" customFormat="false" ht="15" hidden="false" customHeight="false" outlineLevel="0" collapsed="false">
      <c r="A738" s="0" t="str">
        <f aca="false">IF(AND(ISNUMBER('ANO NOVO'!$C138),'ANO NOVO'!$D138="FOLGA"),"Folga Ano Novo","")</f>
        <v/>
      </c>
      <c r="B738" s="0" t="str">
        <f aca="false">IF(AND(ISNUMBER('ANO NOVO'!$C138),'ANO NOVO'!$D138="FOLGA"),'ANO NOVO'!$A138&amp;"","")</f>
        <v/>
      </c>
      <c r="C738" s="0" t="str">
        <f aca="false">IF(AND(ISNUMBER('ANO NOVO'!$C138),'ANO NOVO'!$D138="FOLGA"),'ANO NOVO'!$B138&amp;"","")</f>
        <v/>
      </c>
      <c r="D738" s="78" t="str">
        <f aca="false">IF(AND(ISNUMBER('ANO NOVO'!$C138),'ANO NOVO'!$D138="FOLGA"),'ANO NOVO'!$C138,"")</f>
        <v/>
      </c>
      <c r="E738" s="0" t="str">
        <f aca="false">IF(AND(ISNUMBER('ANO NOVO'!$C138),'ANO NOVO'!$D138="FOLGA"),'ANO NOVO'!$E138&amp;"","")</f>
        <v/>
      </c>
      <c r="F738" s="0" t="str">
        <f aca="false">IF(AND(ISNUMBER('ANO NOVO'!$C138),'ANO NOVO'!$D138="FOLGA"),'ANO NOVO'!$F138&amp;"","")</f>
        <v/>
      </c>
      <c r="G738" s="0" t="str">
        <f aca="true">IF(D738="","",IF(D738=TODAY(),D738+ROW()/100000,""))</f>
        <v/>
      </c>
      <c r="H738" s="0" t="str">
        <f aca="true">IF(D738="","",IF(AND(D738&gt;TODAY(),D738&lt;=TODAY()+7),D738+ROW()/100000,""))</f>
        <v/>
      </c>
      <c r="I738" s="0" t="str">
        <f aca="false">IF(D738="","",IF(D738=CALENDÁRIO!$L$4,ROW(),""))</f>
        <v/>
      </c>
      <c r="J738" s="0" t="str">
        <f aca="false">IF(D738="","",CHOOSE(WEEKDAY(D738),"Domingo","Segunda","Terça","Quarta","Quinta","Sexta","Sábado"))</f>
        <v/>
      </c>
    </row>
    <row r="739" customFormat="false" ht="15" hidden="false" customHeight="false" outlineLevel="0" collapsed="false">
      <c r="A739" s="0" t="str">
        <f aca="false">IF(AND(ISNUMBER('ANO NOVO'!$C139),'ANO NOVO'!$D139="FOLGA"),"Folga Ano Novo","")</f>
        <v/>
      </c>
      <c r="B739" s="0" t="str">
        <f aca="false">IF(AND(ISNUMBER('ANO NOVO'!$C139),'ANO NOVO'!$D139="FOLGA"),'ANO NOVO'!$A139&amp;"","")</f>
        <v/>
      </c>
      <c r="C739" s="0" t="str">
        <f aca="false">IF(AND(ISNUMBER('ANO NOVO'!$C139),'ANO NOVO'!$D139="FOLGA"),'ANO NOVO'!$B139&amp;"","")</f>
        <v/>
      </c>
      <c r="D739" s="78" t="str">
        <f aca="false">IF(AND(ISNUMBER('ANO NOVO'!$C139),'ANO NOVO'!$D139="FOLGA"),'ANO NOVO'!$C139,"")</f>
        <v/>
      </c>
      <c r="E739" s="0" t="str">
        <f aca="false">IF(AND(ISNUMBER('ANO NOVO'!$C139),'ANO NOVO'!$D139="FOLGA"),'ANO NOVO'!$E139&amp;"","")</f>
        <v/>
      </c>
      <c r="F739" s="0" t="str">
        <f aca="false">IF(AND(ISNUMBER('ANO NOVO'!$C139),'ANO NOVO'!$D139="FOLGA"),'ANO NOVO'!$F139&amp;"","")</f>
        <v/>
      </c>
      <c r="G739" s="0" t="str">
        <f aca="true">IF(D739="","",IF(D739=TODAY(),D739+ROW()/100000,""))</f>
        <v/>
      </c>
      <c r="H739" s="0" t="str">
        <f aca="true">IF(D739="","",IF(AND(D739&gt;TODAY(),D739&lt;=TODAY()+7),D739+ROW()/100000,""))</f>
        <v/>
      </c>
      <c r="I739" s="0" t="str">
        <f aca="false">IF(D739="","",IF(D739=CALENDÁRIO!$L$4,ROW(),""))</f>
        <v/>
      </c>
      <c r="J739" s="0" t="str">
        <f aca="false">IF(D739="","",CHOOSE(WEEKDAY(D739),"Domingo","Segunda","Terça","Quarta","Quinta","Sexta","Sábado"))</f>
        <v/>
      </c>
    </row>
    <row r="740" customFormat="false" ht="15" hidden="false" customHeight="false" outlineLevel="0" collapsed="false">
      <c r="A740" s="0" t="str">
        <f aca="false">IF(AND(ISNUMBER('ANO NOVO'!$C140),'ANO NOVO'!$D140="FOLGA"),"Folga Ano Novo","")</f>
        <v/>
      </c>
      <c r="B740" s="0" t="str">
        <f aca="false">IF(AND(ISNUMBER('ANO NOVO'!$C140),'ANO NOVO'!$D140="FOLGA"),'ANO NOVO'!$A140&amp;"","")</f>
        <v/>
      </c>
      <c r="C740" s="0" t="str">
        <f aca="false">IF(AND(ISNUMBER('ANO NOVO'!$C140),'ANO NOVO'!$D140="FOLGA"),'ANO NOVO'!$B140&amp;"","")</f>
        <v/>
      </c>
      <c r="D740" s="78" t="str">
        <f aca="false">IF(AND(ISNUMBER('ANO NOVO'!$C140),'ANO NOVO'!$D140="FOLGA"),'ANO NOVO'!$C140,"")</f>
        <v/>
      </c>
      <c r="E740" s="0" t="str">
        <f aca="false">IF(AND(ISNUMBER('ANO NOVO'!$C140),'ANO NOVO'!$D140="FOLGA"),'ANO NOVO'!$E140&amp;"","")</f>
        <v/>
      </c>
      <c r="F740" s="0" t="str">
        <f aca="false">IF(AND(ISNUMBER('ANO NOVO'!$C140),'ANO NOVO'!$D140="FOLGA"),'ANO NOVO'!$F140&amp;"","")</f>
        <v/>
      </c>
      <c r="G740" s="0" t="str">
        <f aca="true">IF(D740="","",IF(D740=TODAY(),D740+ROW()/100000,""))</f>
        <v/>
      </c>
      <c r="H740" s="0" t="str">
        <f aca="true">IF(D740="","",IF(AND(D740&gt;TODAY(),D740&lt;=TODAY()+7),D740+ROW()/100000,""))</f>
        <v/>
      </c>
      <c r="I740" s="0" t="str">
        <f aca="false">IF(D740="","",IF(D740=CALENDÁRIO!$L$4,ROW(),""))</f>
        <v/>
      </c>
      <c r="J740" s="0" t="str">
        <f aca="false">IF(D740="","",CHOOSE(WEEKDAY(D740),"Domingo","Segunda","Terça","Quarta","Quinta","Sexta","Sábado"))</f>
        <v/>
      </c>
    </row>
    <row r="741" customFormat="false" ht="15" hidden="false" customHeight="false" outlineLevel="0" collapsed="false">
      <c r="A741" s="0" t="str">
        <f aca="false">IF(AND(ISNUMBER('ANO NOVO'!$C141),'ANO NOVO'!$D141="FOLGA"),"Folga Ano Novo","")</f>
        <v/>
      </c>
      <c r="B741" s="0" t="str">
        <f aca="false">IF(AND(ISNUMBER('ANO NOVO'!$C141),'ANO NOVO'!$D141="FOLGA"),'ANO NOVO'!$A141&amp;"","")</f>
        <v/>
      </c>
      <c r="C741" s="0" t="str">
        <f aca="false">IF(AND(ISNUMBER('ANO NOVO'!$C141),'ANO NOVO'!$D141="FOLGA"),'ANO NOVO'!$B141&amp;"","")</f>
        <v/>
      </c>
      <c r="D741" s="78" t="str">
        <f aca="false">IF(AND(ISNUMBER('ANO NOVO'!$C141),'ANO NOVO'!$D141="FOLGA"),'ANO NOVO'!$C141,"")</f>
        <v/>
      </c>
      <c r="E741" s="0" t="str">
        <f aca="false">IF(AND(ISNUMBER('ANO NOVO'!$C141),'ANO NOVO'!$D141="FOLGA"),'ANO NOVO'!$E141&amp;"","")</f>
        <v/>
      </c>
      <c r="F741" s="0" t="str">
        <f aca="false">IF(AND(ISNUMBER('ANO NOVO'!$C141),'ANO NOVO'!$D141="FOLGA"),'ANO NOVO'!$F141&amp;"","")</f>
        <v/>
      </c>
      <c r="G741" s="0" t="str">
        <f aca="true">IF(D741="","",IF(D741=TODAY(),D741+ROW()/100000,""))</f>
        <v/>
      </c>
      <c r="H741" s="0" t="str">
        <f aca="true">IF(D741="","",IF(AND(D741&gt;TODAY(),D741&lt;=TODAY()+7),D741+ROW()/100000,""))</f>
        <v/>
      </c>
      <c r="I741" s="0" t="str">
        <f aca="false">IF(D741="","",IF(D741=CALENDÁRIO!$L$4,ROW(),""))</f>
        <v/>
      </c>
      <c r="J741" s="0" t="str">
        <f aca="false">IF(D741="","",CHOOSE(WEEKDAY(D741),"Domingo","Segunda","Terça","Quarta","Quinta","Sexta","Sábado"))</f>
        <v/>
      </c>
    </row>
    <row r="742" customFormat="false" ht="15" hidden="false" customHeight="false" outlineLevel="0" collapsed="false">
      <c r="A742" s="0" t="str">
        <f aca="false">IF(AND(ISNUMBER('ANO NOVO'!$C142),'ANO NOVO'!$D142="FOLGA"),"Folga Ano Novo","")</f>
        <v/>
      </c>
      <c r="B742" s="0" t="str">
        <f aca="false">IF(AND(ISNUMBER('ANO NOVO'!$C142),'ANO NOVO'!$D142="FOLGA"),'ANO NOVO'!$A142&amp;"","")</f>
        <v/>
      </c>
      <c r="C742" s="0" t="str">
        <f aca="false">IF(AND(ISNUMBER('ANO NOVO'!$C142),'ANO NOVO'!$D142="FOLGA"),'ANO NOVO'!$B142&amp;"","")</f>
        <v/>
      </c>
      <c r="D742" s="78" t="str">
        <f aca="false">IF(AND(ISNUMBER('ANO NOVO'!$C142),'ANO NOVO'!$D142="FOLGA"),'ANO NOVO'!$C142,"")</f>
        <v/>
      </c>
      <c r="E742" s="0" t="str">
        <f aca="false">IF(AND(ISNUMBER('ANO NOVO'!$C142),'ANO NOVO'!$D142="FOLGA"),'ANO NOVO'!$E142&amp;"","")</f>
        <v/>
      </c>
      <c r="F742" s="0" t="str">
        <f aca="false">IF(AND(ISNUMBER('ANO NOVO'!$C142),'ANO NOVO'!$D142="FOLGA"),'ANO NOVO'!$F142&amp;"","")</f>
        <v/>
      </c>
      <c r="G742" s="0" t="str">
        <f aca="true">IF(D742="","",IF(D742=TODAY(),D742+ROW()/100000,""))</f>
        <v/>
      </c>
      <c r="H742" s="0" t="str">
        <f aca="true">IF(D742="","",IF(AND(D742&gt;TODAY(),D742&lt;=TODAY()+7),D742+ROW()/100000,""))</f>
        <v/>
      </c>
      <c r="I742" s="0" t="str">
        <f aca="false">IF(D742="","",IF(D742=CALENDÁRIO!$L$4,ROW(),""))</f>
        <v/>
      </c>
      <c r="J742" s="0" t="str">
        <f aca="false">IF(D742="","",CHOOSE(WEEKDAY(D742),"Domingo","Segunda","Terça","Quarta","Quinta","Sexta","Sábado"))</f>
        <v/>
      </c>
    </row>
    <row r="743" customFormat="false" ht="15" hidden="false" customHeight="false" outlineLevel="0" collapsed="false">
      <c r="A743" s="0" t="str">
        <f aca="false">IF(AND(ISNUMBER('ANO NOVO'!$C143),'ANO NOVO'!$D143="FOLGA"),"Folga Ano Novo","")</f>
        <v/>
      </c>
      <c r="B743" s="0" t="str">
        <f aca="false">IF(AND(ISNUMBER('ANO NOVO'!$C143),'ANO NOVO'!$D143="FOLGA"),'ANO NOVO'!$A143&amp;"","")</f>
        <v/>
      </c>
      <c r="C743" s="0" t="str">
        <f aca="false">IF(AND(ISNUMBER('ANO NOVO'!$C143),'ANO NOVO'!$D143="FOLGA"),'ANO NOVO'!$B143&amp;"","")</f>
        <v/>
      </c>
      <c r="D743" s="78" t="str">
        <f aca="false">IF(AND(ISNUMBER('ANO NOVO'!$C143),'ANO NOVO'!$D143="FOLGA"),'ANO NOVO'!$C143,"")</f>
        <v/>
      </c>
      <c r="E743" s="0" t="str">
        <f aca="false">IF(AND(ISNUMBER('ANO NOVO'!$C143),'ANO NOVO'!$D143="FOLGA"),'ANO NOVO'!$E143&amp;"","")</f>
        <v/>
      </c>
      <c r="F743" s="0" t="str">
        <f aca="false">IF(AND(ISNUMBER('ANO NOVO'!$C143),'ANO NOVO'!$D143="FOLGA"),'ANO NOVO'!$F143&amp;"","")</f>
        <v/>
      </c>
      <c r="G743" s="0" t="str">
        <f aca="true">IF(D743="","",IF(D743=TODAY(),D743+ROW()/100000,""))</f>
        <v/>
      </c>
      <c r="H743" s="0" t="str">
        <f aca="true">IF(D743="","",IF(AND(D743&gt;TODAY(),D743&lt;=TODAY()+7),D743+ROW()/100000,""))</f>
        <v/>
      </c>
      <c r="I743" s="0" t="str">
        <f aca="false">IF(D743="","",IF(D743=CALENDÁRIO!$L$4,ROW(),""))</f>
        <v/>
      </c>
      <c r="J743" s="0" t="str">
        <f aca="false">IF(D743="","",CHOOSE(WEEKDAY(D743),"Domingo","Segunda","Terça","Quarta","Quinta","Sexta","Sábado"))</f>
        <v/>
      </c>
    </row>
    <row r="744" customFormat="false" ht="15" hidden="false" customHeight="false" outlineLevel="0" collapsed="false">
      <c r="A744" s="0" t="str">
        <f aca="false">IF(AND(ISNUMBER('ANO NOVO'!$C144),'ANO NOVO'!$D144="FOLGA"),"Folga Ano Novo","")</f>
        <v/>
      </c>
      <c r="B744" s="0" t="str">
        <f aca="false">IF(AND(ISNUMBER('ANO NOVO'!$C144),'ANO NOVO'!$D144="FOLGA"),'ANO NOVO'!$A144&amp;"","")</f>
        <v/>
      </c>
      <c r="C744" s="0" t="str">
        <f aca="false">IF(AND(ISNUMBER('ANO NOVO'!$C144),'ANO NOVO'!$D144="FOLGA"),'ANO NOVO'!$B144&amp;"","")</f>
        <v/>
      </c>
      <c r="D744" s="78" t="str">
        <f aca="false">IF(AND(ISNUMBER('ANO NOVO'!$C144),'ANO NOVO'!$D144="FOLGA"),'ANO NOVO'!$C144,"")</f>
        <v/>
      </c>
      <c r="E744" s="0" t="str">
        <f aca="false">IF(AND(ISNUMBER('ANO NOVO'!$C144),'ANO NOVO'!$D144="FOLGA"),'ANO NOVO'!$E144&amp;"","")</f>
        <v/>
      </c>
      <c r="F744" s="0" t="str">
        <f aca="false">IF(AND(ISNUMBER('ANO NOVO'!$C144),'ANO NOVO'!$D144="FOLGA"),'ANO NOVO'!$F144&amp;"","")</f>
        <v/>
      </c>
      <c r="G744" s="0" t="str">
        <f aca="true">IF(D744="","",IF(D744=TODAY(),D744+ROW()/100000,""))</f>
        <v/>
      </c>
      <c r="H744" s="0" t="str">
        <f aca="true">IF(D744="","",IF(AND(D744&gt;TODAY(),D744&lt;=TODAY()+7),D744+ROW()/100000,""))</f>
        <v/>
      </c>
      <c r="I744" s="0" t="str">
        <f aca="false">IF(D744="","",IF(D744=CALENDÁRIO!$L$4,ROW(),""))</f>
        <v/>
      </c>
      <c r="J744" s="0" t="str">
        <f aca="false">IF(D744="","",CHOOSE(WEEKDAY(D744),"Domingo","Segunda","Terça","Quarta","Quinta","Sexta","Sábado"))</f>
        <v/>
      </c>
    </row>
    <row r="745" customFormat="false" ht="15" hidden="false" customHeight="false" outlineLevel="0" collapsed="false">
      <c r="A745" s="0" t="str">
        <f aca="false">IF(AND(ISNUMBER('ANO NOVO'!$C145),'ANO NOVO'!$D145="FOLGA"),"Folga Ano Novo","")</f>
        <v/>
      </c>
      <c r="B745" s="0" t="str">
        <f aca="false">IF(AND(ISNUMBER('ANO NOVO'!$C145),'ANO NOVO'!$D145="FOLGA"),'ANO NOVO'!$A145&amp;"","")</f>
        <v/>
      </c>
      <c r="C745" s="0" t="str">
        <f aca="false">IF(AND(ISNUMBER('ANO NOVO'!$C145),'ANO NOVO'!$D145="FOLGA"),'ANO NOVO'!$B145&amp;"","")</f>
        <v/>
      </c>
      <c r="D745" s="78" t="str">
        <f aca="false">IF(AND(ISNUMBER('ANO NOVO'!$C145),'ANO NOVO'!$D145="FOLGA"),'ANO NOVO'!$C145,"")</f>
        <v/>
      </c>
      <c r="E745" s="0" t="str">
        <f aca="false">IF(AND(ISNUMBER('ANO NOVO'!$C145),'ANO NOVO'!$D145="FOLGA"),'ANO NOVO'!$E145&amp;"","")</f>
        <v/>
      </c>
      <c r="F745" s="0" t="str">
        <f aca="false">IF(AND(ISNUMBER('ANO NOVO'!$C145),'ANO NOVO'!$D145="FOLGA"),'ANO NOVO'!$F145&amp;"","")</f>
        <v/>
      </c>
      <c r="G745" s="0" t="str">
        <f aca="true">IF(D745="","",IF(D745=TODAY(),D745+ROW()/100000,""))</f>
        <v/>
      </c>
      <c r="H745" s="0" t="str">
        <f aca="true">IF(D745="","",IF(AND(D745&gt;TODAY(),D745&lt;=TODAY()+7),D745+ROW()/100000,""))</f>
        <v/>
      </c>
      <c r="I745" s="0" t="str">
        <f aca="false">IF(D745="","",IF(D745=CALENDÁRIO!$L$4,ROW(),""))</f>
        <v/>
      </c>
      <c r="J745" s="0" t="str">
        <f aca="false">IF(D745="","",CHOOSE(WEEKDAY(D745),"Domingo","Segunda","Terça","Quarta","Quinta","Sexta","Sábado"))</f>
        <v/>
      </c>
    </row>
    <row r="746" customFormat="false" ht="15" hidden="false" customHeight="false" outlineLevel="0" collapsed="false">
      <c r="A746" s="0" t="str">
        <f aca="false">IF(AND(ISNUMBER('ANO NOVO'!$C146),'ANO NOVO'!$D146="FOLGA"),"Folga Ano Novo","")</f>
        <v/>
      </c>
      <c r="B746" s="0" t="str">
        <f aca="false">IF(AND(ISNUMBER('ANO NOVO'!$C146),'ANO NOVO'!$D146="FOLGA"),'ANO NOVO'!$A146&amp;"","")</f>
        <v/>
      </c>
      <c r="C746" s="0" t="str">
        <f aca="false">IF(AND(ISNUMBER('ANO NOVO'!$C146),'ANO NOVO'!$D146="FOLGA"),'ANO NOVO'!$B146&amp;"","")</f>
        <v/>
      </c>
      <c r="D746" s="78" t="str">
        <f aca="false">IF(AND(ISNUMBER('ANO NOVO'!$C146),'ANO NOVO'!$D146="FOLGA"),'ANO NOVO'!$C146,"")</f>
        <v/>
      </c>
      <c r="E746" s="0" t="str">
        <f aca="false">IF(AND(ISNUMBER('ANO NOVO'!$C146),'ANO NOVO'!$D146="FOLGA"),'ANO NOVO'!$E146&amp;"","")</f>
        <v/>
      </c>
      <c r="F746" s="0" t="str">
        <f aca="false">IF(AND(ISNUMBER('ANO NOVO'!$C146),'ANO NOVO'!$D146="FOLGA"),'ANO NOVO'!$F146&amp;"","")</f>
        <v/>
      </c>
      <c r="G746" s="0" t="str">
        <f aca="true">IF(D746="","",IF(D746=TODAY(),D746+ROW()/100000,""))</f>
        <v/>
      </c>
      <c r="H746" s="0" t="str">
        <f aca="true">IF(D746="","",IF(AND(D746&gt;TODAY(),D746&lt;=TODAY()+7),D746+ROW()/100000,""))</f>
        <v/>
      </c>
      <c r="I746" s="0" t="str">
        <f aca="false">IF(D746="","",IF(D746=CALENDÁRIO!$L$4,ROW(),""))</f>
        <v/>
      </c>
      <c r="J746" s="0" t="str">
        <f aca="false">IF(D746="","",CHOOSE(WEEKDAY(D746),"Domingo","Segunda","Terça","Quarta","Quinta","Sexta","Sábado"))</f>
        <v/>
      </c>
    </row>
    <row r="747" customFormat="false" ht="15" hidden="false" customHeight="false" outlineLevel="0" collapsed="false">
      <c r="A747" s="0" t="str">
        <f aca="false">IF(AND(ISNUMBER('ANO NOVO'!$C147),'ANO NOVO'!$D147="FOLGA"),"Folga Ano Novo","")</f>
        <v/>
      </c>
      <c r="B747" s="0" t="str">
        <f aca="false">IF(AND(ISNUMBER('ANO NOVO'!$C147),'ANO NOVO'!$D147="FOLGA"),'ANO NOVO'!$A147&amp;"","")</f>
        <v/>
      </c>
      <c r="C747" s="0" t="str">
        <f aca="false">IF(AND(ISNUMBER('ANO NOVO'!$C147),'ANO NOVO'!$D147="FOLGA"),'ANO NOVO'!$B147&amp;"","")</f>
        <v/>
      </c>
      <c r="D747" s="78" t="str">
        <f aca="false">IF(AND(ISNUMBER('ANO NOVO'!$C147),'ANO NOVO'!$D147="FOLGA"),'ANO NOVO'!$C147,"")</f>
        <v/>
      </c>
      <c r="E747" s="0" t="str">
        <f aca="false">IF(AND(ISNUMBER('ANO NOVO'!$C147),'ANO NOVO'!$D147="FOLGA"),'ANO NOVO'!$E147&amp;"","")</f>
        <v/>
      </c>
      <c r="F747" s="0" t="str">
        <f aca="false">IF(AND(ISNUMBER('ANO NOVO'!$C147),'ANO NOVO'!$D147="FOLGA"),'ANO NOVO'!$F147&amp;"","")</f>
        <v/>
      </c>
      <c r="G747" s="0" t="str">
        <f aca="true">IF(D747="","",IF(D747=TODAY(),D747+ROW()/100000,""))</f>
        <v/>
      </c>
      <c r="H747" s="0" t="str">
        <f aca="true">IF(D747="","",IF(AND(D747&gt;TODAY(),D747&lt;=TODAY()+7),D747+ROW()/100000,""))</f>
        <v/>
      </c>
      <c r="I747" s="0" t="str">
        <f aca="false">IF(D747="","",IF(D747=CALENDÁRIO!$L$4,ROW(),""))</f>
        <v/>
      </c>
      <c r="J747" s="0" t="str">
        <f aca="false">IF(D747="","",CHOOSE(WEEKDAY(D747),"Domingo","Segunda","Terça","Quarta","Quinta","Sexta","Sábado"))</f>
        <v/>
      </c>
    </row>
    <row r="748" customFormat="false" ht="15" hidden="false" customHeight="false" outlineLevel="0" collapsed="false">
      <c r="A748" s="0" t="str">
        <f aca="false">IF(AND(ISNUMBER('ANO NOVO'!$C148),'ANO NOVO'!$D148="FOLGA"),"Folga Ano Novo","")</f>
        <v/>
      </c>
      <c r="B748" s="0" t="str">
        <f aca="false">IF(AND(ISNUMBER('ANO NOVO'!$C148),'ANO NOVO'!$D148="FOLGA"),'ANO NOVO'!$A148&amp;"","")</f>
        <v/>
      </c>
      <c r="C748" s="0" t="str">
        <f aca="false">IF(AND(ISNUMBER('ANO NOVO'!$C148),'ANO NOVO'!$D148="FOLGA"),'ANO NOVO'!$B148&amp;"","")</f>
        <v/>
      </c>
      <c r="D748" s="78" t="str">
        <f aca="false">IF(AND(ISNUMBER('ANO NOVO'!$C148),'ANO NOVO'!$D148="FOLGA"),'ANO NOVO'!$C148,"")</f>
        <v/>
      </c>
      <c r="E748" s="0" t="str">
        <f aca="false">IF(AND(ISNUMBER('ANO NOVO'!$C148),'ANO NOVO'!$D148="FOLGA"),'ANO NOVO'!$E148&amp;"","")</f>
        <v/>
      </c>
      <c r="F748" s="0" t="str">
        <f aca="false">IF(AND(ISNUMBER('ANO NOVO'!$C148),'ANO NOVO'!$D148="FOLGA"),'ANO NOVO'!$F148&amp;"","")</f>
        <v/>
      </c>
      <c r="G748" s="0" t="str">
        <f aca="true">IF(D748="","",IF(D748=TODAY(),D748+ROW()/100000,""))</f>
        <v/>
      </c>
      <c r="H748" s="0" t="str">
        <f aca="true">IF(D748="","",IF(AND(D748&gt;TODAY(),D748&lt;=TODAY()+7),D748+ROW()/100000,""))</f>
        <v/>
      </c>
      <c r="I748" s="0" t="str">
        <f aca="false">IF(D748="","",IF(D748=CALENDÁRIO!$L$4,ROW(),""))</f>
        <v/>
      </c>
      <c r="J748" s="0" t="str">
        <f aca="false">IF(D748="","",CHOOSE(WEEKDAY(D748),"Domingo","Segunda","Terça","Quarta","Quinta","Sexta","Sábado"))</f>
        <v/>
      </c>
    </row>
    <row r="749" customFormat="false" ht="15" hidden="false" customHeight="false" outlineLevel="0" collapsed="false">
      <c r="A749" s="0" t="str">
        <f aca="false">IF(AND(ISNUMBER('ANO NOVO'!$C149),'ANO NOVO'!$D149="FOLGA"),"Folga Ano Novo","")</f>
        <v/>
      </c>
      <c r="B749" s="0" t="str">
        <f aca="false">IF(AND(ISNUMBER('ANO NOVO'!$C149),'ANO NOVO'!$D149="FOLGA"),'ANO NOVO'!$A149&amp;"","")</f>
        <v/>
      </c>
      <c r="C749" s="0" t="str">
        <f aca="false">IF(AND(ISNUMBER('ANO NOVO'!$C149),'ANO NOVO'!$D149="FOLGA"),'ANO NOVO'!$B149&amp;"","")</f>
        <v/>
      </c>
      <c r="D749" s="78" t="str">
        <f aca="false">IF(AND(ISNUMBER('ANO NOVO'!$C149),'ANO NOVO'!$D149="FOLGA"),'ANO NOVO'!$C149,"")</f>
        <v/>
      </c>
      <c r="E749" s="0" t="str">
        <f aca="false">IF(AND(ISNUMBER('ANO NOVO'!$C149),'ANO NOVO'!$D149="FOLGA"),'ANO NOVO'!$E149&amp;"","")</f>
        <v/>
      </c>
      <c r="F749" s="0" t="str">
        <f aca="false">IF(AND(ISNUMBER('ANO NOVO'!$C149),'ANO NOVO'!$D149="FOLGA"),'ANO NOVO'!$F149&amp;"","")</f>
        <v/>
      </c>
      <c r="G749" s="0" t="str">
        <f aca="true">IF(D749="","",IF(D749=TODAY(),D749+ROW()/100000,""))</f>
        <v/>
      </c>
      <c r="H749" s="0" t="str">
        <f aca="true">IF(D749="","",IF(AND(D749&gt;TODAY(),D749&lt;=TODAY()+7),D749+ROW()/100000,""))</f>
        <v/>
      </c>
      <c r="I749" s="0" t="str">
        <f aca="false">IF(D749="","",IF(D749=CALENDÁRIO!$L$4,ROW(),""))</f>
        <v/>
      </c>
      <c r="J749" s="0" t="str">
        <f aca="false">IF(D749="","",CHOOSE(WEEKDAY(D749),"Domingo","Segunda","Terça","Quarta","Quinta","Sexta","Sábado"))</f>
        <v/>
      </c>
    </row>
    <row r="750" customFormat="false" ht="15" hidden="false" customHeight="false" outlineLevel="0" collapsed="false">
      <c r="A750" s="0" t="str">
        <f aca="false">IF(AND(ISNUMBER('ANO NOVO'!$C150),'ANO NOVO'!$D150="FOLGA"),"Folga Ano Novo","")</f>
        <v/>
      </c>
      <c r="B750" s="0" t="str">
        <f aca="false">IF(AND(ISNUMBER('ANO NOVO'!$C150),'ANO NOVO'!$D150="FOLGA"),'ANO NOVO'!$A150&amp;"","")</f>
        <v/>
      </c>
      <c r="C750" s="0" t="str">
        <f aca="false">IF(AND(ISNUMBER('ANO NOVO'!$C150),'ANO NOVO'!$D150="FOLGA"),'ANO NOVO'!$B150&amp;"","")</f>
        <v/>
      </c>
      <c r="D750" s="78" t="str">
        <f aca="false">IF(AND(ISNUMBER('ANO NOVO'!$C150),'ANO NOVO'!$D150="FOLGA"),'ANO NOVO'!$C150,"")</f>
        <v/>
      </c>
      <c r="E750" s="0" t="str">
        <f aca="false">IF(AND(ISNUMBER('ANO NOVO'!$C150),'ANO NOVO'!$D150="FOLGA"),'ANO NOVO'!$E150&amp;"","")</f>
        <v/>
      </c>
      <c r="F750" s="0" t="str">
        <f aca="false">IF(AND(ISNUMBER('ANO NOVO'!$C150),'ANO NOVO'!$D150="FOLGA"),'ANO NOVO'!$F150&amp;"","")</f>
        <v/>
      </c>
      <c r="G750" s="0" t="str">
        <f aca="true">IF(D750="","",IF(D750=TODAY(),D750+ROW()/100000,""))</f>
        <v/>
      </c>
      <c r="H750" s="0" t="str">
        <f aca="true">IF(D750="","",IF(AND(D750&gt;TODAY(),D750&lt;=TODAY()+7),D750+ROW()/100000,""))</f>
        <v/>
      </c>
      <c r="I750" s="0" t="str">
        <f aca="false">IF(D750="","",IF(D750=CALENDÁRIO!$L$4,ROW(),""))</f>
        <v/>
      </c>
      <c r="J750" s="0" t="str">
        <f aca="false">IF(D750="","",CHOOSE(WEEKDAY(D750),"Domingo","Segunda","Terça","Quarta","Quinta","Sexta","Sábado"))</f>
        <v/>
      </c>
    </row>
    <row r="751" customFormat="false" ht="15" hidden="false" customHeight="false" outlineLevel="0" collapsed="false">
      <c r="A751" s="0" t="str">
        <f aca="false">IF(AND(ISNUMBER('ANO NOVO'!$C151),'ANO NOVO'!$D151="FOLGA"),"Folga Ano Novo","")</f>
        <v/>
      </c>
      <c r="B751" s="0" t="str">
        <f aca="false">IF(AND(ISNUMBER('ANO NOVO'!$C151),'ANO NOVO'!$D151="FOLGA"),'ANO NOVO'!$A151&amp;"","")</f>
        <v/>
      </c>
      <c r="C751" s="0" t="str">
        <f aca="false">IF(AND(ISNUMBER('ANO NOVO'!$C151),'ANO NOVO'!$D151="FOLGA"),'ANO NOVO'!$B151&amp;"","")</f>
        <v/>
      </c>
      <c r="D751" s="78" t="str">
        <f aca="false">IF(AND(ISNUMBER('ANO NOVO'!$C151),'ANO NOVO'!$D151="FOLGA"),'ANO NOVO'!$C151,"")</f>
        <v/>
      </c>
      <c r="E751" s="0" t="str">
        <f aca="false">IF(AND(ISNUMBER('ANO NOVO'!$C151),'ANO NOVO'!$D151="FOLGA"),'ANO NOVO'!$E151&amp;"","")</f>
        <v/>
      </c>
      <c r="F751" s="0" t="str">
        <f aca="false">IF(AND(ISNUMBER('ANO NOVO'!$C151),'ANO NOVO'!$D151="FOLGA"),'ANO NOVO'!$F151&amp;"","")</f>
        <v/>
      </c>
      <c r="G751" s="0" t="str">
        <f aca="true">IF(D751="","",IF(D751=TODAY(),D751+ROW()/100000,""))</f>
        <v/>
      </c>
      <c r="H751" s="0" t="str">
        <f aca="true">IF(D751="","",IF(AND(D751&gt;TODAY(),D751&lt;=TODAY()+7),D751+ROW()/100000,""))</f>
        <v/>
      </c>
      <c r="I751" s="0" t="str">
        <f aca="false">IF(D751="","",IF(D751=CALENDÁRIO!$L$4,ROW(),""))</f>
        <v/>
      </c>
      <c r="J751" s="0" t="str">
        <f aca="false">IF(D751="","",CHOOSE(WEEKDAY(D751),"Domingo","Segunda","Terça","Quarta","Quinta","Sexta","Sábado"))</f>
        <v/>
      </c>
    </row>
    <row r="752" customFormat="false" ht="15" hidden="false" customHeight="false" outlineLevel="0" collapsed="false">
      <c r="A752" s="0" t="str">
        <f aca="false">IF(AND(ISNUMBER('ANO NOVO'!$C152),'ANO NOVO'!$D152="FOLGA"),"Folga Ano Novo","")</f>
        <v/>
      </c>
      <c r="B752" s="0" t="str">
        <f aca="false">IF(AND(ISNUMBER('ANO NOVO'!$C152),'ANO NOVO'!$D152="FOLGA"),'ANO NOVO'!$A152&amp;"","")</f>
        <v/>
      </c>
      <c r="C752" s="0" t="str">
        <f aca="false">IF(AND(ISNUMBER('ANO NOVO'!$C152),'ANO NOVO'!$D152="FOLGA"),'ANO NOVO'!$B152&amp;"","")</f>
        <v/>
      </c>
      <c r="D752" s="78" t="str">
        <f aca="false">IF(AND(ISNUMBER('ANO NOVO'!$C152),'ANO NOVO'!$D152="FOLGA"),'ANO NOVO'!$C152,"")</f>
        <v/>
      </c>
      <c r="E752" s="0" t="str">
        <f aca="false">IF(AND(ISNUMBER('ANO NOVO'!$C152),'ANO NOVO'!$D152="FOLGA"),'ANO NOVO'!$E152&amp;"","")</f>
        <v/>
      </c>
      <c r="F752" s="0" t="str">
        <f aca="false">IF(AND(ISNUMBER('ANO NOVO'!$C152),'ANO NOVO'!$D152="FOLGA"),'ANO NOVO'!$F152&amp;"","")</f>
        <v/>
      </c>
      <c r="G752" s="0" t="str">
        <f aca="true">IF(D752="","",IF(D752=TODAY(),D752+ROW()/100000,""))</f>
        <v/>
      </c>
      <c r="H752" s="0" t="str">
        <f aca="true">IF(D752="","",IF(AND(D752&gt;TODAY(),D752&lt;=TODAY()+7),D752+ROW()/100000,""))</f>
        <v/>
      </c>
      <c r="I752" s="0" t="str">
        <f aca="false">IF(D752="","",IF(D752=CALENDÁRIO!$L$4,ROW(),""))</f>
        <v/>
      </c>
      <c r="J752" s="0" t="str">
        <f aca="false">IF(D752="","",CHOOSE(WEEKDAY(D752),"Domingo","Segunda","Terça","Quarta","Quinta","Sexta","Sábado"))</f>
        <v/>
      </c>
    </row>
    <row r="753" customFormat="false" ht="15" hidden="false" customHeight="false" outlineLevel="0" collapsed="false">
      <c r="A753" s="0" t="str">
        <f aca="false">IF(AND(ISNUMBER('ANO NOVO'!$C153),'ANO NOVO'!$D153="FOLGA"),"Folga Ano Novo","")</f>
        <v/>
      </c>
      <c r="B753" s="0" t="str">
        <f aca="false">IF(AND(ISNUMBER('ANO NOVO'!$C153),'ANO NOVO'!$D153="FOLGA"),'ANO NOVO'!$A153&amp;"","")</f>
        <v/>
      </c>
      <c r="C753" s="0" t="str">
        <f aca="false">IF(AND(ISNUMBER('ANO NOVO'!$C153),'ANO NOVO'!$D153="FOLGA"),'ANO NOVO'!$B153&amp;"","")</f>
        <v/>
      </c>
      <c r="D753" s="78" t="str">
        <f aca="false">IF(AND(ISNUMBER('ANO NOVO'!$C153),'ANO NOVO'!$D153="FOLGA"),'ANO NOVO'!$C153,"")</f>
        <v/>
      </c>
      <c r="E753" s="0" t="str">
        <f aca="false">IF(AND(ISNUMBER('ANO NOVO'!$C153),'ANO NOVO'!$D153="FOLGA"),'ANO NOVO'!$E153&amp;"","")</f>
        <v/>
      </c>
      <c r="F753" s="0" t="str">
        <f aca="false">IF(AND(ISNUMBER('ANO NOVO'!$C153),'ANO NOVO'!$D153="FOLGA"),'ANO NOVO'!$F153&amp;"","")</f>
        <v/>
      </c>
      <c r="G753" s="0" t="str">
        <f aca="true">IF(D753="","",IF(D753=TODAY(),D753+ROW()/100000,""))</f>
        <v/>
      </c>
      <c r="H753" s="0" t="str">
        <f aca="true">IF(D753="","",IF(AND(D753&gt;TODAY(),D753&lt;=TODAY()+7),D753+ROW()/100000,""))</f>
        <v/>
      </c>
      <c r="I753" s="0" t="str">
        <f aca="false">IF(D753="","",IF(D753=CALENDÁRIO!$L$4,ROW(),""))</f>
        <v/>
      </c>
      <c r="J753" s="0" t="str">
        <f aca="false">IF(D753="","",CHOOSE(WEEKDAY(D753),"Domingo","Segunda","Terça","Quarta","Quinta","Sexta","Sábado"))</f>
        <v/>
      </c>
    </row>
    <row r="754" customFormat="false" ht="15" hidden="false" customHeight="false" outlineLevel="0" collapsed="false">
      <c r="A754" s="0" t="str">
        <f aca="false">IF(AND(ISNUMBER('ANO NOVO'!$C154),'ANO NOVO'!$D154="FOLGA"),"Folga Ano Novo","")</f>
        <v/>
      </c>
      <c r="B754" s="0" t="str">
        <f aca="false">IF(AND(ISNUMBER('ANO NOVO'!$C154),'ANO NOVO'!$D154="FOLGA"),'ANO NOVO'!$A154&amp;"","")</f>
        <v/>
      </c>
      <c r="C754" s="0" t="str">
        <f aca="false">IF(AND(ISNUMBER('ANO NOVO'!$C154),'ANO NOVO'!$D154="FOLGA"),'ANO NOVO'!$B154&amp;"","")</f>
        <v/>
      </c>
      <c r="D754" s="78" t="str">
        <f aca="false">IF(AND(ISNUMBER('ANO NOVO'!$C154),'ANO NOVO'!$D154="FOLGA"),'ANO NOVO'!$C154,"")</f>
        <v/>
      </c>
      <c r="E754" s="0" t="str">
        <f aca="false">IF(AND(ISNUMBER('ANO NOVO'!$C154),'ANO NOVO'!$D154="FOLGA"),'ANO NOVO'!$E154&amp;"","")</f>
        <v/>
      </c>
      <c r="F754" s="0" t="str">
        <f aca="false">IF(AND(ISNUMBER('ANO NOVO'!$C154),'ANO NOVO'!$D154="FOLGA"),'ANO NOVO'!$F154&amp;"","")</f>
        <v/>
      </c>
      <c r="G754" s="0" t="str">
        <f aca="true">IF(D754="","",IF(D754=TODAY(),D754+ROW()/100000,""))</f>
        <v/>
      </c>
      <c r="H754" s="0" t="str">
        <f aca="true">IF(D754="","",IF(AND(D754&gt;TODAY(),D754&lt;=TODAY()+7),D754+ROW()/100000,""))</f>
        <v/>
      </c>
      <c r="I754" s="0" t="str">
        <f aca="false">IF(D754="","",IF(D754=CALENDÁRIO!$L$4,ROW(),""))</f>
        <v/>
      </c>
      <c r="J754" s="0" t="str">
        <f aca="false">IF(D754="","",CHOOSE(WEEKDAY(D754),"Domingo","Segunda","Terça","Quarta","Quinta","Sexta","Sábado"))</f>
        <v/>
      </c>
    </row>
    <row r="755" customFormat="false" ht="15" hidden="false" customHeight="false" outlineLevel="0" collapsed="false">
      <c r="A755" s="0" t="str">
        <f aca="false">IF(AND(ISNUMBER('ANO NOVO'!$C155),'ANO NOVO'!$D155="FOLGA"),"Folga Ano Novo","")</f>
        <v/>
      </c>
      <c r="B755" s="0" t="str">
        <f aca="false">IF(AND(ISNUMBER('ANO NOVO'!$C155),'ANO NOVO'!$D155="FOLGA"),'ANO NOVO'!$A155&amp;"","")</f>
        <v/>
      </c>
      <c r="C755" s="0" t="str">
        <f aca="false">IF(AND(ISNUMBER('ANO NOVO'!$C155),'ANO NOVO'!$D155="FOLGA"),'ANO NOVO'!$B155&amp;"","")</f>
        <v/>
      </c>
      <c r="D755" s="78" t="str">
        <f aca="false">IF(AND(ISNUMBER('ANO NOVO'!$C155),'ANO NOVO'!$D155="FOLGA"),'ANO NOVO'!$C155,"")</f>
        <v/>
      </c>
      <c r="E755" s="0" t="str">
        <f aca="false">IF(AND(ISNUMBER('ANO NOVO'!$C155),'ANO NOVO'!$D155="FOLGA"),'ANO NOVO'!$E155&amp;"","")</f>
        <v/>
      </c>
      <c r="F755" s="0" t="str">
        <f aca="false">IF(AND(ISNUMBER('ANO NOVO'!$C155),'ANO NOVO'!$D155="FOLGA"),'ANO NOVO'!$F155&amp;"","")</f>
        <v/>
      </c>
      <c r="G755" s="0" t="str">
        <f aca="true">IF(D755="","",IF(D755=TODAY(),D755+ROW()/100000,""))</f>
        <v/>
      </c>
      <c r="H755" s="0" t="str">
        <f aca="true">IF(D755="","",IF(AND(D755&gt;TODAY(),D755&lt;=TODAY()+7),D755+ROW()/100000,""))</f>
        <v/>
      </c>
      <c r="I755" s="0" t="str">
        <f aca="false">IF(D755="","",IF(D755=CALENDÁRIO!$L$4,ROW(),""))</f>
        <v/>
      </c>
      <c r="J755" s="0" t="str">
        <f aca="false">IF(D755="","",CHOOSE(WEEKDAY(D755),"Domingo","Segunda","Terça","Quarta","Quinta","Sexta","Sábado"))</f>
        <v/>
      </c>
    </row>
    <row r="756" customFormat="false" ht="15" hidden="false" customHeight="false" outlineLevel="0" collapsed="false">
      <c r="A756" s="0" t="str">
        <f aca="false">IF(AND(ISNUMBER('ANO NOVO'!$C156),'ANO NOVO'!$D156="FOLGA"),"Folga Ano Novo","")</f>
        <v/>
      </c>
      <c r="B756" s="0" t="str">
        <f aca="false">IF(AND(ISNUMBER('ANO NOVO'!$C156),'ANO NOVO'!$D156="FOLGA"),'ANO NOVO'!$A156&amp;"","")</f>
        <v/>
      </c>
      <c r="C756" s="0" t="str">
        <f aca="false">IF(AND(ISNUMBER('ANO NOVO'!$C156),'ANO NOVO'!$D156="FOLGA"),'ANO NOVO'!$B156&amp;"","")</f>
        <v/>
      </c>
      <c r="D756" s="78" t="str">
        <f aca="false">IF(AND(ISNUMBER('ANO NOVO'!$C156),'ANO NOVO'!$D156="FOLGA"),'ANO NOVO'!$C156,"")</f>
        <v/>
      </c>
      <c r="E756" s="0" t="str">
        <f aca="false">IF(AND(ISNUMBER('ANO NOVO'!$C156),'ANO NOVO'!$D156="FOLGA"),'ANO NOVO'!$E156&amp;"","")</f>
        <v/>
      </c>
      <c r="F756" s="0" t="str">
        <f aca="false">IF(AND(ISNUMBER('ANO NOVO'!$C156),'ANO NOVO'!$D156="FOLGA"),'ANO NOVO'!$F156&amp;"","")</f>
        <v/>
      </c>
      <c r="G756" s="0" t="str">
        <f aca="true">IF(D756="","",IF(D756=TODAY(),D756+ROW()/100000,""))</f>
        <v/>
      </c>
      <c r="H756" s="0" t="str">
        <f aca="true">IF(D756="","",IF(AND(D756&gt;TODAY(),D756&lt;=TODAY()+7),D756+ROW()/100000,""))</f>
        <v/>
      </c>
      <c r="I756" s="0" t="str">
        <f aca="false">IF(D756="","",IF(D756=CALENDÁRIO!$L$4,ROW(),""))</f>
        <v/>
      </c>
      <c r="J756" s="0" t="str">
        <f aca="false">IF(D756="","",CHOOSE(WEEKDAY(D756),"Domingo","Segunda","Terça","Quarta","Quinta","Sexta","Sábado"))</f>
        <v/>
      </c>
    </row>
    <row r="757" customFormat="false" ht="15" hidden="false" customHeight="false" outlineLevel="0" collapsed="false">
      <c r="A757" s="0" t="str">
        <f aca="false">IF(AND(ISNUMBER('ANO NOVO'!$C157),'ANO NOVO'!$D157="FOLGA"),"Folga Ano Novo","")</f>
        <v/>
      </c>
      <c r="B757" s="0" t="str">
        <f aca="false">IF(AND(ISNUMBER('ANO NOVO'!$C157),'ANO NOVO'!$D157="FOLGA"),'ANO NOVO'!$A157&amp;"","")</f>
        <v/>
      </c>
      <c r="C757" s="0" t="str">
        <f aca="false">IF(AND(ISNUMBER('ANO NOVO'!$C157),'ANO NOVO'!$D157="FOLGA"),'ANO NOVO'!$B157&amp;"","")</f>
        <v/>
      </c>
      <c r="D757" s="78" t="str">
        <f aca="false">IF(AND(ISNUMBER('ANO NOVO'!$C157),'ANO NOVO'!$D157="FOLGA"),'ANO NOVO'!$C157,"")</f>
        <v/>
      </c>
      <c r="E757" s="0" t="str">
        <f aca="false">IF(AND(ISNUMBER('ANO NOVO'!$C157),'ANO NOVO'!$D157="FOLGA"),'ANO NOVO'!$E157&amp;"","")</f>
        <v/>
      </c>
      <c r="F757" s="0" t="str">
        <f aca="false">IF(AND(ISNUMBER('ANO NOVO'!$C157),'ANO NOVO'!$D157="FOLGA"),'ANO NOVO'!$F157&amp;"","")</f>
        <v/>
      </c>
      <c r="G757" s="0" t="str">
        <f aca="true">IF(D757="","",IF(D757=TODAY(),D757+ROW()/100000,""))</f>
        <v/>
      </c>
      <c r="H757" s="0" t="str">
        <f aca="true">IF(D757="","",IF(AND(D757&gt;TODAY(),D757&lt;=TODAY()+7),D757+ROW()/100000,""))</f>
        <v/>
      </c>
      <c r="I757" s="0" t="str">
        <f aca="false">IF(D757="","",IF(D757=CALENDÁRIO!$L$4,ROW(),""))</f>
        <v/>
      </c>
      <c r="J757" s="0" t="str">
        <f aca="false">IF(D757="","",CHOOSE(WEEKDAY(D757),"Domingo","Segunda","Terça","Quarta","Quinta","Sexta","Sábado"))</f>
        <v/>
      </c>
    </row>
    <row r="758" customFormat="false" ht="15" hidden="false" customHeight="false" outlineLevel="0" collapsed="false">
      <c r="A758" s="0" t="str">
        <f aca="false">IF(AND(ISNUMBER('ANO NOVO'!$C158),'ANO NOVO'!$D158="FOLGA"),"Folga Ano Novo","")</f>
        <v/>
      </c>
      <c r="B758" s="0" t="str">
        <f aca="false">IF(AND(ISNUMBER('ANO NOVO'!$C158),'ANO NOVO'!$D158="FOLGA"),'ANO NOVO'!$A158&amp;"","")</f>
        <v/>
      </c>
      <c r="C758" s="0" t="str">
        <f aca="false">IF(AND(ISNUMBER('ANO NOVO'!$C158),'ANO NOVO'!$D158="FOLGA"),'ANO NOVO'!$B158&amp;"","")</f>
        <v/>
      </c>
      <c r="D758" s="78" t="str">
        <f aca="false">IF(AND(ISNUMBER('ANO NOVO'!$C158),'ANO NOVO'!$D158="FOLGA"),'ANO NOVO'!$C158,"")</f>
        <v/>
      </c>
      <c r="E758" s="0" t="str">
        <f aca="false">IF(AND(ISNUMBER('ANO NOVO'!$C158),'ANO NOVO'!$D158="FOLGA"),'ANO NOVO'!$E158&amp;"","")</f>
        <v/>
      </c>
      <c r="F758" s="0" t="str">
        <f aca="false">IF(AND(ISNUMBER('ANO NOVO'!$C158),'ANO NOVO'!$D158="FOLGA"),'ANO NOVO'!$F158&amp;"","")</f>
        <v/>
      </c>
      <c r="G758" s="0" t="str">
        <f aca="true">IF(D758="","",IF(D758=TODAY(),D758+ROW()/100000,""))</f>
        <v/>
      </c>
      <c r="H758" s="0" t="str">
        <f aca="true">IF(D758="","",IF(AND(D758&gt;TODAY(),D758&lt;=TODAY()+7),D758+ROW()/100000,""))</f>
        <v/>
      </c>
      <c r="I758" s="0" t="str">
        <f aca="false">IF(D758="","",IF(D758=CALENDÁRIO!$L$4,ROW(),""))</f>
        <v/>
      </c>
      <c r="J758" s="0" t="str">
        <f aca="false">IF(D758="","",CHOOSE(WEEKDAY(D758),"Domingo","Segunda","Terça","Quarta","Quinta","Sexta","Sábado"))</f>
        <v/>
      </c>
    </row>
    <row r="759" customFormat="false" ht="15" hidden="false" customHeight="false" outlineLevel="0" collapsed="false">
      <c r="A759" s="0" t="str">
        <f aca="false">IF(AND(ISNUMBER('ANO NOVO'!$C159),'ANO NOVO'!$D159="FOLGA"),"Folga Ano Novo","")</f>
        <v/>
      </c>
      <c r="B759" s="0" t="str">
        <f aca="false">IF(AND(ISNUMBER('ANO NOVO'!$C159),'ANO NOVO'!$D159="FOLGA"),'ANO NOVO'!$A159&amp;"","")</f>
        <v/>
      </c>
      <c r="C759" s="0" t="str">
        <f aca="false">IF(AND(ISNUMBER('ANO NOVO'!$C159),'ANO NOVO'!$D159="FOLGA"),'ANO NOVO'!$B159&amp;"","")</f>
        <v/>
      </c>
      <c r="D759" s="78" t="str">
        <f aca="false">IF(AND(ISNUMBER('ANO NOVO'!$C159),'ANO NOVO'!$D159="FOLGA"),'ANO NOVO'!$C159,"")</f>
        <v/>
      </c>
      <c r="E759" s="0" t="str">
        <f aca="false">IF(AND(ISNUMBER('ANO NOVO'!$C159),'ANO NOVO'!$D159="FOLGA"),'ANO NOVO'!$E159&amp;"","")</f>
        <v/>
      </c>
      <c r="F759" s="0" t="str">
        <f aca="false">IF(AND(ISNUMBER('ANO NOVO'!$C159),'ANO NOVO'!$D159="FOLGA"),'ANO NOVO'!$F159&amp;"","")</f>
        <v/>
      </c>
      <c r="G759" s="0" t="str">
        <f aca="true">IF(D759="","",IF(D759=TODAY(),D759+ROW()/100000,""))</f>
        <v/>
      </c>
      <c r="H759" s="0" t="str">
        <f aca="true">IF(D759="","",IF(AND(D759&gt;TODAY(),D759&lt;=TODAY()+7),D759+ROW()/100000,""))</f>
        <v/>
      </c>
      <c r="I759" s="0" t="str">
        <f aca="false">IF(D759="","",IF(D759=CALENDÁRIO!$L$4,ROW(),""))</f>
        <v/>
      </c>
      <c r="J759" s="0" t="str">
        <f aca="false">IF(D759="","",CHOOSE(WEEKDAY(D759),"Domingo","Segunda","Terça","Quarta","Quinta","Sexta","Sábado"))</f>
        <v/>
      </c>
    </row>
    <row r="760" customFormat="false" ht="15" hidden="false" customHeight="false" outlineLevel="0" collapsed="false">
      <c r="A760" s="0" t="str">
        <f aca="false">IF(AND(ISNUMBER('ANO NOVO'!$C160),'ANO NOVO'!$D160="FOLGA"),"Folga Ano Novo","")</f>
        <v/>
      </c>
      <c r="B760" s="0" t="str">
        <f aca="false">IF(AND(ISNUMBER('ANO NOVO'!$C160),'ANO NOVO'!$D160="FOLGA"),'ANO NOVO'!$A160&amp;"","")</f>
        <v/>
      </c>
      <c r="C760" s="0" t="str">
        <f aca="false">IF(AND(ISNUMBER('ANO NOVO'!$C160),'ANO NOVO'!$D160="FOLGA"),'ANO NOVO'!$B160&amp;"","")</f>
        <v/>
      </c>
      <c r="D760" s="78" t="str">
        <f aca="false">IF(AND(ISNUMBER('ANO NOVO'!$C160),'ANO NOVO'!$D160="FOLGA"),'ANO NOVO'!$C160,"")</f>
        <v/>
      </c>
      <c r="E760" s="0" t="str">
        <f aca="false">IF(AND(ISNUMBER('ANO NOVO'!$C160),'ANO NOVO'!$D160="FOLGA"),'ANO NOVO'!$E160&amp;"","")</f>
        <v/>
      </c>
      <c r="F760" s="0" t="str">
        <f aca="false">IF(AND(ISNUMBER('ANO NOVO'!$C160),'ANO NOVO'!$D160="FOLGA"),'ANO NOVO'!$F160&amp;"","")</f>
        <v/>
      </c>
      <c r="G760" s="0" t="str">
        <f aca="true">IF(D760="","",IF(D760=TODAY(),D760+ROW()/100000,""))</f>
        <v/>
      </c>
      <c r="H760" s="0" t="str">
        <f aca="true">IF(D760="","",IF(AND(D760&gt;TODAY(),D760&lt;=TODAY()+7),D760+ROW()/100000,""))</f>
        <v/>
      </c>
      <c r="I760" s="0" t="str">
        <f aca="false">IF(D760="","",IF(D760=CALENDÁRIO!$L$4,ROW(),""))</f>
        <v/>
      </c>
      <c r="J760" s="0" t="str">
        <f aca="false">IF(D760="","",CHOOSE(WEEKDAY(D760),"Domingo","Segunda","Terça","Quarta","Quinta","Sexta","Sábado"))</f>
        <v/>
      </c>
    </row>
    <row r="761" customFormat="false" ht="15" hidden="false" customHeight="false" outlineLevel="0" collapsed="false">
      <c r="A761" s="0" t="str">
        <f aca="false">IF(AND(ISNUMBER('ANO NOVO'!$C161),'ANO NOVO'!$D161="FOLGA"),"Folga Ano Novo","")</f>
        <v/>
      </c>
      <c r="B761" s="0" t="str">
        <f aca="false">IF(AND(ISNUMBER('ANO NOVO'!$C161),'ANO NOVO'!$D161="FOLGA"),'ANO NOVO'!$A161&amp;"","")</f>
        <v/>
      </c>
      <c r="C761" s="0" t="str">
        <f aca="false">IF(AND(ISNUMBER('ANO NOVO'!$C161),'ANO NOVO'!$D161="FOLGA"),'ANO NOVO'!$B161&amp;"","")</f>
        <v/>
      </c>
      <c r="D761" s="78" t="str">
        <f aca="false">IF(AND(ISNUMBER('ANO NOVO'!$C161),'ANO NOVO'!$D161="FOLGA"),'ANO NOVO'!$C161,"")</f>
        <v/>
      </c>
      <c r="E761" s="0" t="str">
        <f aca="false">IF(AND(ISNUMBER('ANO NOVO'!$C161),'ANO NOVO'!$D161="FOLGA"),'ANO NOVO'!$E161&amp;"","")</f>
        <v/>
      </c>
      <c r="F761" s="0" t="str">
        <f aca="false">IF(AND(ISNUMBER('ANO NOVO'!$C161),'ANO NOVO'!$D161="FOLGA"),'ANO NOVO'!$F161&amp;"","")</f>
        <v/>
      </c>
      <c r="G761" s="0" t="str">
        <f aca="true">IF(D761="","",IF(D761=TODAY(),D761+ROW()/100000,""))</f>
        <v/>
      </c>
      <c r="H761" s="0" t="str">
        <f aca="true">IF(D761="","",IF(AND(D761&gt;TODAY(),D761&lt;=TODAY()+7),D761+ROW()/100000,""))</f>
        <v/>
      </c>
      <c r="I761" s="0" t="str">
        <f aca="false">IF(D761="","",IF(D761=CALENDÁRIO!$L$4,ROW(),""))</f>
        <v/>
      </c>
      <c r="J761" s="0" t="str">
        <f aca="false">IF(D761="","",CHOOSE(WEEKDAY(D761),"Domingo","Segunda","Terça","Quarta","Quinta","Sexta","Sábado"))</f>
        <v/>
      </c>
    </row>
    <row r="762" customFormat="false" ht="15" hidden="false" customHeight="false" outlineLevel="0" collapsed="false">
      <c r="A762" s="0" t="str">
        <f aca="false">IF(AND(ISNUMBER('ANO NOVO'!$C162),'ANO NOVO'!$D162="FOLGA"),"Folga Ano Novo","")</f>
        <v/>
      </c>
      <c r="B762" s="0" t="str">
        <f aca="false">IF(AND(ISNUMBER('ANO NOVO'!$C162),'ANO NOVO'!$D162="FOLGA"),'ANO NOVO'!$A162&amp;"","")</f>
        <v/>
      </c>
      <c r="C762" s="0" t="str">
        <f aca="false">IF(AND(ISNUMBER('ANO NOVO'!$C162),'ANO NOVO'!$D162="FOLGA"),'ANO NOVO'!$B162&amp;"","")</f>
        <v/>
      </c>
      <c r="D762" s="78" t="str">
        <f aca="false">IF(AND(ISNUMBER('ANO NOVO'!$C162),'ANO NOVO'!$D162="FOLGA"),'ANO NOVO'!$C162,"")</f>
        <v/>
      </c>
      <c r="E762" s="0" t="str">
        <f aca="false">IF(AND(ISNUMBER('ANO NOVO'!$C162),'ANO NOVO'!$D162="FOLGA"),'ANO NOVO'!$E162&amp;"","")</f>
        <v/>
      </c>
      <c r="F762" s="0" t="str">
        <f aca="false">IF(AND(ISNUMBER('ANO NOVO'!$C162),'ANO NOVO'!$D162="FOLGA"),'ANO NOVO'!$F162&amp;"","")</f>
        <v/>
      </c>
      <c r="G762" s="0" t="str">
        <f aca="true">IF(D762="","",IF(D762=TODAY(),D762+ROW()/100000,""))</f>
        <v/>
      </c>
      <c r="H762" s="0" t="str">
        <f aca="true">IF(D762="","",IF(AND(D762&gt;TODAY(),D762&lt;=TODAY()+7),D762+ROW()/100000,""))</f>
        <v/>
      </c>
      <c r="I762" s="0" t="str">
        <f aca="false">IF(D762="","",IF(D762=CALENDÁRIO!$L$4,ROW(),""))</f>
        <v/>
      </c>
      <c r="J762" s="0" t="str">
        <f aca="false">IF(D762="","",CHOOSE(WEEKDAY(D762),"Domingo","Segunda","Terça","Quarta","Quinta","Sexta","Sábado"))</f>
        <v/>
      </c>
    </row>
    <row r="763" customFormat="false" ht="15" hidden="false" customHeight="false" outlineLevel="0" collapsed="false">
      <c r="A763" s="0" t="str">
        <f aca="false">IF(AND(ISNUMBER('ANO NOVO'!$C163),'ANO NOVO'!$D163="FOLGA"),"Folga Ano Novo","")</f>
        <v/>
      </c>
      <c r="B763" s="0" t="str">
        <f aca="false">IF(AND(ISNUMBER('ANO NOVO'!$C163),'ANO NOVO'!$D163="FOLGA"),'ANO NOVO'!$A163&amp;"","")</f>
        <v/>
      </c>
      <c r="C763" s="0" t="str">
        <f aca="false">IF(AND(ISNUMBER('ANO NOVO'!$C163),'ANO NOVO'!$D163="FOLGA"),'ANO NOVO'!$B163&amp;"","")</f>
        <v/>
      </c>
      <c r="D763" s="78" t="str">
        <f aca="false">IF(AND(ISNUMBER('ANO NOVO'!$C163),'ANO NOVO'!$D163="FOLGA"),'ANO NOVO'!$C163,"")</f>
        <v/>
      </c>
      <c r="E763" s="0" t="str">
        <f aca="false">IF(AND(ISNUMBER('ANO NOVO'!$C163),'ANO NOVO'!$D163="FOLGA"),'ANO NOVO'!$E163&amp;"","")</f>
        <v/>
      </c>
      <c r="F763" s="0" t="str">
        <f aca="false">IF(AND(ISNUMBER('ANO NOVO'!$C163),'ANO NOVO'!$D163="FOLGA"),'ANO NOVO'!$F163&amp;"","")</f>
        <v/>
      </c>
      <c r="G763" s="0" t="str">
        <f aca="true">IF(D763="","",IF(D763=TODAY(),D763+ROW()/100000,""))</f>
        <v/>
      </c>
      <c r="H763" s="0" t="str">
        <f aca="true">IF(D763="","",IF(AND(D763&gt;TODAY(),D763&lt;=TODAY()+7),D763+ROW()/100000,""))</f>
        <v/>
      </c>
      <c r="I763" s="0" t="str">
        <f aca="false">IF(D763="","",IF(D763=CALENDÁRIO!$L$4,ROW(),""))</f>
        <v/>
      </c>
      <c r="J763" s="0" t="str">
        <f aca="false">IF(D763="","",CHOOSE(WEEKDAY(D763),"Domingo","Segunda","Terça","Quarta","Quinta","Sexta","Sábado"))</f>
        <v/>
      </c>
    </row>
    <row r="764" customFormat="false" ht="15" hidden="false" customHeight="false" outlineLevel="0" collapsed="false">
      <c r="A764" s="0" t="str">
        <f aca="false">IF(AND(ISNUMBER('ANO NOVO'!$C164),'ANO NOVO'!$D164="FOLGA"),"Folga Ano Novo","")</f>
        <v/>
      </c>
      <c r="B764" s="0" t="str">
        <f aca="false">IF(AND(ISNUMBER('ANO NOVO'!$C164),'ANO NOVO'!$D164="FOLGA"),'ANO NOVO'!$A164&amp;"","")</f>
        <v/>
      </c>
      <c r="C764" s="0" t="str">
        <f aca="false">IF(AND(ISNUMBER('ANO NOVO'!$C164),'ANO NOVO'!$D164="FOLGA"),'ANO NOVO'!$B164&amp;"","")</f>
        <v/>
      </c>
      <c r="D764" s="78" t="str">
        <f aca="false">IF(AND(ISNUMBER('ANO NOVO'!$C164),'ANO NOVO'!$D164="FOLGA"),'ANO NOVO'!$C164,"")</f>
        <v/>
      </c>
      <c r="E764" s="0" t="str">
        <f aca="false">IF(AND(ISNUMBER('ANO NOVO'!$C164),'ANO NOVO'!$D164="FOLGA"),'ANO NOVO'!$E164&amp;"","")</f>
        <v/>
      </c>
      <c r="F764" s="0" t="str">
        <f aca="false">IF(AND(ISNUMBER('ANO NOVO'!$C164),'ANO NOVO'!$D164="FOLGA"),'ANO NOVO'!$F164&amp;"","")</f>
        <v/>
      </c>
      <c r="G764" s="0" t="str">
        <f aca="true">IF(D764="","",IF(D764=TODAY(),D764+ROW()/100000,""))</f>
        <v/>
      </c>
      <c r="H764" s="0" t="str">
        <f aca="true">IF(D764="","",IF(AND(D764&gt;TODAY(),D764&lt;=TODAY()+7),D764+ROW()/100000,""))</f>
        <v/>
      </c>
      <c r="I764" s="0" t="str">
        <f aca="false">IF(D764="","",IF(D764=CALENDÁRIO!$L$4,ROW(),""))</f>
        <v/>
      </c>
      <c r="J764" s="0" t="str">
        <f aca="false">IF(D764="","",CHOOSE(WEEKDAY(D764),"Domingo","Segunda","Terça","Quarta","Quinta","Sexta","Sábado"))</f>
        <v/>
      </c>
    </row>
    <row r="765" customFormat="false" ht="15" hidden="false" customHeight="false" outlineLevel="0" collapsed="false">
      <c r="A765" s="0" t="str">
        <f aca="false">IF(AND(ISNUMBER('ANO NOVO'!$C165),'ANO NOVO'!$D165="FOLGA"),"Folga Ano Novo","")</f>
        <v/>
      </c>
      <c r="B765" s="0" t="str">
        <f aca="false">IF(AND(ISNUMBER('ANO NOVO'!$C165),'ANO NOVO'!$D165="FOLGA"),'ANO NOVO'!$A165&amp;"","")</f>
        <v/>
      </c>
      <c r="C765" s="0" t="str">
        <f aca="false">IF(AND(ISNUMBER('ANO NOVO'!$C165),'ANO NOVO'!$D165="FOLGA"),'ANO NOVO'!$B165&amp;"","")</f>
        <v/>
      </c>
      <c r="D765" s="78" t="str">
        <f aca="false">IF(AND(ISNUMBER('ANO NOVO'!$C165),'ANO NOVO'!$D165="FOLGA"),'ANO NOVO'!$C165,"")</f>
        <v/>
      </c>
      <c r="E765" s="0" t="str">
        <f aca="false">IF(AND(ISNUMBER('ANO NOVO'!$C165),'ANO NOVO'!$D165="FOLGA"),'ANO NOVO'!$E165&amp;"","")</f>
        <v/>
      </c>
      <c r="F765" s="0" t="str">
        <f aca="false">IF(AND(ISNUMBER('ANO NOVO'!$C165),'ANO NOVO'!$D165="FOLGA"),'ANO NOVO'!$F165&amp;"","")</f>
        <v/>
      </c>
      <c r="G765" s="0" t="str">
        <f aca="true">IF(D765="","",IF(D765=TODAY(),D765+ROW()/100000,""))</f>
        <v/>
      </c>
      <c r="H765" s="0" t="str">
        <f aca="true">IF(D765="","",IF(AND(D765&gt;TODAY(),D765&lt;=TODAY()+7),D765+ROW()/100000,""))</f>
        <v/>
      </c>
      <c r="I765" s="0" t="str">
        <f aca="false">IF(D765="","",IF(D765=CALENDÁRIO!$L$4,ROW(),""))</f>
        <v/>
      </c>
      <c r="J765" s="0" t="str">
        <f aca="false">IF(D765="","",CHOOSE(WEEKDAY(D765),"Domingo","Segunda","Terça","Quarta","Quinta","Sexta","Sábado"))</f>
        <v/>
      </c>
    </row>
    <row r="766" customFormat="false" ht="15" hidden="false" customHeight="false" outlineLevel="0" collapsed="false">
      <c r="A766" s="0" t="str">
        <f aca="false">IF(AND(ISNUMBER('ANO NOVO'!$C166),'ANO NOVO'!$D166="FOLGA"),"Folga Ano Novo","")</f>
        <v/>
      </c>
      <c r="B766" s="0" t="str">
        <f aca="false">IF(AND(ISNUMBER('ANO NOVO'!$C166),'ANO NOVO'!$D166="FOLGA"),'ANO NOVO'!$A166&amp;"","")</f>
        <v/>
      </c>
      <c r="C766" s="0" t="str">
        <f aca="false">IF(AND(ISNUMBER('ANO NOVO'!$C166),'ANO NOVO'!$D166="FOLGA"),'ANO NOVO'!$B166&amp;"","")</f>
        <v/>
      </c>
      <c r="D766" s="78" t="str">
        <f aca="false">IF(AND(ISNUMBER('ANO NOVO'!$C166),'ANO NOVO'!$D166="FOLGA"),'ANO NOVO'!$C166,"")</f>
        <v/>
      </c>
      <c r="E766" s="0" t="str">
        <f aca="false">IF(AND(ISNUMBER('ANO NOVO'!$C166),'ANO NOVO'!$D166="FOLGA"),'ANO NOVO'!$E166&amp;"","")</f>
        <v/>
      </c>
      <c r="F766" s="0" t="str">
        <f aca="false">IF(AND(ISNUMBER('ANO NOVO'!$C166),'ANO NOVO'!$D166="FOLGA"),'ANO NOVO'!$F166&amp;"","")</f>
        <v/>
      </c>
      <c r="G766" s="0" t="str">
        <f aca="true">IF(D766="","",IF(D766=TODAY(),D766+ROW()/100000,""))</f>
        <v/>
      </c>
      <c r="H766" s="0" t="str">
        <f aca="true">IF(D766="","",IF(AND(D766&gt;TODAY(),D766&lt;=TODAY()+7),D766+ROW()/100000,""))</f>
        <v/>
      </c>
      <c r="I766" s="0" t="str">
        <f aca="false">IF(D766="","",IF(D766=CALENDÁRIO!$L$4,ROW(),""))</f>
        <v/>
      </c>
      <c r="J766" s="0" t="str">
        <f aca="false">IF(D766="","",CHOOSE(WEEKDAY(D766),"Domingo","Segunda","Terça","Quarta","Quinta","Sexta","Sábado"))</f>
        <v/>
      </c>
    </row>
    <row r="767" customFormat="false" ht="15" hidden="false" customHeight="false" outlineLevel="0" collapsed="false">
      <c r="A767" s="0" t="str">
        <f aca="false">IF(AND(ISNUMBER('ANO NOVO'!$C167),'ANO NOVO'!$D167="FOLGA"),"Folga Ano Novo","")</f>
        <v/>
      </c>
      <c r="B767" s="0" t="str">
        <f aca="false">IF(AND(ISNUMBER('ANO NOVO'!$C167),'ANO NOVO'!$D167="FOLGA"),'ANO NOVO'!$A167&amp;"","")</f>
        <v/>
      </c>
      <c r="C767" s="0" t="str">
        <f aca="false">IF(AND(ISNUMBER('ANO NOVO'!$C167),'ANO NOVO'!$D167="FOLGA"),'ANO NOVO'!$B167&amp;"","")</f>
        <v/>
      </c>
      <c r="D767" s="78" t="str">
        <f aca="false">IF(AND(ISNUMBER('ANO NOVO'!$C167),'ANO NOVO'!$D167="FOLGA"),'ANO NOVO'!$C167,"")</f>
        <v/>
      </c>
      <c r="E767" s="0" t="str">
        <f aca="false">IF(AND(ISNUMBER('ANO NOVO'!$C167),'ANO NOVO'!$D167="FOLGA"),'ANO NOVO'!$E167&amp;"","")</f>
        <v/>
      </c>
      <c r="F767" s="0" t="str">
        <f aca="false">IF(AND(ISNUMBER('ANO NOVO'!$C167),'ANO NOVO'!$D167="FOLGA"),'ANO NOVO'!$F167&amp;"","")</f>
        <v/>
      </c>
      <c r="G767" s="0" t="str">
        <f aca="true">IF(D767="","",IF(D767=TODAY(),D767+ROW()/100000,""))</f>
        <v/>
      </c>
      <c r="H767" s="0" t="str">
        <f aca="true">IF(D767="","",IF(AND(D767&gt;TODAY(),D767&lt;=TODAY()+7),D767+ROW()/100000,""))</f>
        <v/>
      </c>
      <c r="I767" s="0" t="str">
        <f aca="false">IF(D767="","",IF(D767=CALENDÁRIO!$L$4,ROW(),""))</f>
        <v/>
      </c>
      <c r="J767" s="0" t="str">
        <f aca="false">IF(D767="","",CHOOSE(WEEKDAY(D767),"Domingo","Segunda","Terça","Quarta","Quinta","Sexta","Sábado"))</f>
        <v/>
      </c>
    </row>
    <row r="768" customFormat="false" ht="15" hidden="false" customHeight="false" outlineLevel="0" collapsed="false">
      <c r="A768" s="0" t="str">
        <f aca="false">IF(AND(ISNUMBER('ANO NOVO'!$C168),'ANO NOVO'!$D168="FOLGA"),"Folga Ano Novo","")</f>
        <v/>
      </c>
      <c r="B768" s="0" t="str">
        <f aca="false">IF(AND(ISNUMBER('ANO NOVO'!$C168),'ANO NOVO'!$D168="FOLGA"),'ANO NOVO'!$A168&amp;"","")</f>
        <v/>
      </c>
      <c r="C768" s="0" t="str">
        <f aca="false">IF(AND(ISNUMBER('ANO NOVO'!$C168),'ANO NOVO'!$D168="FOLGA"),'ANO NOVO'!$B168&amp;"","")</f>
        <v/>
      </c>
      <c r="D768" s="78" t="str">
        <f aca="false">IF(AND(ISNUMBER('ANO NOVO'!$C168),'ANO NOVO'!$D168="FOLGA"),'ANO NOVO'!$C168,"")</f>
        <v/>
      </c>
      <c r="E768" s="0" t="str">
        <f aca="false">IF(AND(ISNUMBER('ANO NOVO'!$C168),'ANO NOVO'!$D168="FOLGA"),'ANO NOVO'!$E168&amp;"","")</f>
        <v/>
      </c>
      <c r="F768" s="0" t="str">
        <f aca="false">IF(AND(ISNUMBER('ANO NOVO'!$C168),'ANO NOVO'!$D168="FOLGA"),'ANO NOVO'!$F168&amp;"","")</f>
        <v/>
      </c>
      <c r="G768" s="0" t="str">
        <f aca="true">IF(D768="","",IF(D768=TODAY(),D768+ROW()/100000,""))</f>
        <v/>
      </c>
      <c r="H768" s="0" t="str">
        <f aca="true">IF(D768="","",IF(AND(D768&gt;TODAY(),D768&lt;=TODAY()+7),D768+ROW()/100000,""))</f>
        <v/>
      </c>
      <c r="I768" s="0" t="str">
        <f aca="false">IF(D768="","",IF(D768=CALENDÁRIO!$L$4,ROW(),""))</f>
        <v/>
      </c>
      <c r="J768" s="0" t="str">
        <f aca="false">IF(D768="","",CHOOSE(WEEKDAY(D768),"Domingo","Segunda","Terça","Quarta","Quinta","Sexta","Sábado"))</f>
        <v/>
      </c>
    </row>
    <row r="769" customFormat="false" ht="15" hidden="false" customHeight="false" outlineLevel="0" collapsed="false">
      <c r="A769" s="0" t="str">
        <f aca="false">IF(AND(ISNUMBER('ANO NOVO'!$C169),'ANO NOVO'!$D169="FOLGA"),"Folga Ano Novo","")</f>
        <v/>
      </c>
      <c r="B769" s="0" t="str">
        <f aca="false">IF(AND(ISNUMBER('ANO NOVO'!$C169),'ANO NOVO'!$D169="FOLGA"),'ANO NOVO'!$A169&amp;"","")</f>
        <v/>
      </c>
      <c r="C769" s="0" t="str">
        <f aca="false">IF(AND(ISNUMBER('ANO NOVO'!$C169),'ANO NOVO'!$D169="FOLGA"),'ANO NOVO'!$B169&amp;"","")</f>
        <v/>
      </c>
      <c r="D769" s="78" t="str">
        <f aca="false">IF(AND(ISNUMBER('ANO NOVO'!$C169),'ANO NOVO'!$D169="FOLGA"),'ANO NOVO'!$C169,"")</f>
        <v/>
      </c>
      <c r="E769" s="0" t="str">
        <f aca="false">IF(AND(ISNUMBER('ANO NOVO'!$C169),'ANO NOVO'!$D169="FOLGA"),'ANO NOVO'!$E169&amp;"","")</f>
        <v/>
      </c>
      <c r="F769" s="0" t="str">
        <f aca="false">IF(AND(ISNUMBER('ANO NOVO'!$C169),'ANO NOVO'!$D169="FOLGA"),'ANO NOVO'!$F169&amp;"","")</f>
        <v/>
      </c>
      <c r="G769" s="0" t="str">
        <f aca="true">IF(D769="","",IF(D769=TODAY(),D769+ROW()/100000,""))</f>
        <v/>
      </c>
      <c r="H769" s="0" t="str">
        <f aca="true">IF(D769="","",IF(AND(D769&gt;TODAY(),D769&lt;=TODAY()+7),D769+ROW()/100000,""))</f>
        <v/>
      </c>
      <c r="I769" s="0" t="str">
        <f aca="false">IF(D769="","",IF(D769=CALENDÁRIO!$L$4,ROW(),""))</f>
        <v/>
      </c>
      <c r="J769" s="0" t="str">
        <f aca="false">IF(D769="","",CHOOSE(WEEKDAY(D769),"Domingo","Segunda","Terça","Quarta","Quinta","Sexta","Sábado"))</f>
        <v/>
      </c>
    </row>
    <row r="770" customFormat="false" ht="15" hidden="false" customHeight="false" outlineLevel="0" collapsed="false">
      <c r="A770" s="0" t="str">
        <f aca="false">IF(AND(ISNUMBER('ANO NOVO'!$C170),'ANO NOVO'!$D170="FOLGA"),"Folga Ano Novo","")</f>
        <v/>
      </c>
      <c r="B770" s="0" t="str">
        <f aca="false">IF(AND(ISNUMBER('ANO NOVO'!$C170),'ANO NOVO'!$D170="FOLGA"),'ANO NOVO'!$A170&amp;"","")</f>
        <v/>
      </c>
      <c r="C770" s="0" t="str">
        <f aca="false">IF(AND(ISNUMBER('ANO NOVO'!$C170),'ANO NOVO'!$D170="FOLGA"),'ANO NOVO'!$B170&amp;"","")</f>
        <v/>
      </c>
      <c r="D770" s="78" t="str">
        <f aca="false">IF(AND(ISNUMBER('ANO NOVO'!$C170),'ANO NOVO'!$D170="FOLGA"),'ANO NOVO'!$C170,"")</f>
        <v/>
      </c>
      <c r="E770" s="0" t="str">
        <f aca="false">IF(AND(ISNUMBER('ANO NOVO'!$C170),'ANO NOVO'!$D170="FOLGA"),'ANO NOVO'!$E170&amp;"","")</f>
        <v/>
      </c>
      <c r="F770" s="0" t="str">
        <f aca="false">IF(AND(ISNUMBER('ANO NOVO'!$C170),'ANO NOVO'!$D170="FOLGA"),'ANO NOVO'!$F170&amp;"","")</f>
        <v/>
      </c>
      <c r="G770" s="0" t="str">
        <f aca="true">IF(D770="","",IF(D770=TODAY(),D770+ROW()/100000,""))</f>
        <v/>
      </c>
      <c r="H770" s="0" t="str">
        <f aca="true">IF(D770="","",IF(AND(D770&gt;TODAY(),D770&lt;=TODAY()+7),D770+ROW()/100000,""))</f>
        <v/>
      </c>
      <c r="I770" s="0" t="str">
        <f aca="false">IF(D770="","",IF(D770=CALENDÁRIO!$L$4,ROW(),""))</f>
        <v/>
      </c>
      <c r="J770" s="0" t="str">
        <f aca="false">IF(D770="","",CHOOSE(WEEKDAY(D770),"Domingo","Segunda","Terça","Quarta","Quinta","Sexta","Sábado"))</f>
        <v/>
      </c>
    </row>
    <row r="771" customFormat="false" ht="15" hidden="false" customHeight="false" outlineLevel="0" collapsed="false">
      <c r="A771" s="0" t="str">
        <f aca="false">IF(AND(ISNUMBER('ANO NOVO'!$C171),'ANO NOVO'!$D171="FOLGA"),"Folga Ano Novo","")</f>
        <v/>
      </c>
      <c r="B771" s="0" t="str">
        <f aca="false">IF(AND(ISNUMBER('ANO NOVO'!$C171),'ANO NOVO'!$D171="FOLGA"),'ANO NOVO'!$A171&amp;"","")</f>
        <v/>
      </c>
      <c r="C771" s="0" t="str">
        <f aca="false">IF(AND(ISNUMBER('ANO NOVO'!$C171),'ANO NOVO'!$D171="FOLGA"),'ANO NOVO'!$B171&amp;"","")</f>
        <v/>
      </c>
      <c r="D771" s="78" t="str">
        <f aca="false">IF(AND(ISNUMBER('ANO NOVO'!$C171),'ANO NOVO'!$D171="FOLGA"),'ANO NOVO'!$C171,"")</f>
        <v/>
      </c>
      <c r="E771" s="0" t="str">
        <f aca="false">IF(AND(ISNUMBER('ANO NOVO'!$C171),'ANO NOVO'!$D171="FOLGA"),'ANO NOVO'!$E171&amp;"","")</f>
        <v/>
      </c>
      <c r="F771" s="0" t="str">
        <f aca="false">IF(AND(ISNUMBER('ANO NOVO'!$C171),'ANO NOVO'!$D171="FOLGA"),'ANO NOVO'!$F171&amp;"","")</f>
        <v/>
      </c>
      <c r="G771" s="0" t="str">
        <f aca="true">IF(D771="","",IF(D771=TODAY(),D771+ROW()/100000,""))</f>
        <v/>
      </c>
      <c r="H771" s="0" t="str">
        <f aca="true">IF(D771="","",IF(AND(D771&gt;TODAY(),D771&lt;=TODAY()+7),D771+ROW()/100000,""))</f>
        <v/>
      </c>
      <c r="I771" s="0" t="str">
        <f aca="false">IF(D771="","",IF(D771=CALENDÁRIO!$L$4,ROW(),""))</f>
        <v/>
      </c>
      <c r="J771" s="0" t="str">
        <f aca="false">IF(D771="","",CHOOSE(WEEKDAY(D771),"Domingo","Segunda","Terça","Quarta","Quinta","Sexta","Sábado"))</f>
        <v/>
      </c>
    </row>
    <row r="772" customFormat="false" ht="15" hidden="false" customHeight="false" outlineLevel="0" collapsed="false">
      <c r="A772" s="0" t="str">
        <f aca="false">IF(AND(ISNUMBER('ANO NOVO'!$C172),'ANO NOVO'!$D172="FOLGA"),"Folga Ano Novo","")</f>
        <v/>
      </c>
      <c r="B772" s="0" t="str">
        <f aca="false">IF(AND(ISNUMBER('ANO NOVO'!$C172),'ANO NOVO'!$D172="FOLGA"),'ANO NOVO'!$A172&amp;"","")</f>
        <v/>
      </c>
      <c r="C772" s="0" t="str">
        <f aca="false">IF(AND(ISNUMBER('ANO NOVO'!$C172),'ANO NOVO'!$D172="FOLGA"),'ANO NOVO'!$B172&amp;"","")</f>
        <v/>
      </c>
      <c r="D772" s="78" t="str">
        <f aca="false">IF(AND(ISNUMBER('ANO NOVO'!$C172),'ANO NOVO'!$D172="FOLGA"),'ANO NOVO'!$C172,"")</f>
        <v/>
      </c>
      <c r="E772" s="0" t="str">
        <f aca="false">IF(AND(ISNUMBER('ANO NOVO'!$C172),'ANO NOVO'!$D172="FOLGA"),'ANO NOVO'!$E172&amp;"","")</f>
        <v/>
      </c>
      <c r="F772" s="0" t="str">
        <f aca="false">IF(AND(ISNUMBER('ANO NOVO'!$C172),'ANO NOVO'!$D172="FOLGA"),'ANO NOVO'!$F172&amp;"","")</f>
        <v/>
      </c>
      <c r="G772" s="0" t="str">
        <f aca="true">IF(D772="","",IF(D772=TODAY(),D772+ROW()/100000,""))</f>
        <v/>
      </c>
      <c r="H772" s="0" t="str">
        <f aca="true">IF(D772="","",IF(AND(D772&gt;TODAY(),D772&lt;=TODAY()+7),D772+ROW()/100000,""))</f>
        <v/>
      </c>
      <c r="I772" s="0" t="str">
        <f aca="false">IF(D772="","",IF(D772=CALENDÁRIO!$L$4,ROW(),""))</f>
        <v/>
      </c>
      <c r="J772" s="0" t="str">
        <f aca="false">IF(D772="","",CHOOSE(WEEKDAY(D772),"Domingo","Segunda","Terça","Quarta","Quinta","Sexta","Sábado"))</f>
        <v/>
      </c>
    </row>
    <row r="773" customFormat="false" ht="15" hidden="false" customHeight="false" outlineLevel="0" collapsed="false">
      <c r="A773" s="0" t="str">
        <f aca="false">IF(AND(ISNUMBER('ANO NOVO'!$C173),'ANO NOVO'!$D173="FOLGA"),"Folga Ano Novo","")</f>
        <v/>
      </c>
      <c r="B773" s="0" t="str">
        <f aca="false">IF(AND(ISNUMBER('ANO NOVO'!$C173),'ANO NOVO'!$D173="FOLGA"),'ANO NOVO'!$A173&amp;"","")</f>
        <v/>
      </c>
      <c r="C773" s="0" t="str">
        <f aca="false">IF(AND(ISNUMBER('ANO NOVO'!$C173),'ANO NOVO'!$D173="FOLGA"),'ANO NOVO'!$B173&amp;"","")</f>
        <v/>
      </c>
      <c r="D773" s="78" t="str">
        <f aca="false">IF(AND(ISNUMBER('ANO NOVO'!$C173),'ANO NOVO'!$D173="FOLGA"),'ANO NOVO'!$C173,"")</f>
        <v/>
      </c>
      <c r="E773" s="0" t="str">
        <f aca="false">IF(AND(ISNUMBER('ANO NOVO'!$C173),'ANO NOVO'!$D173="FOLGA"),'ANO NOVO'!$E173&amp;"","")</f>
        <v/>
      </c>
      <c r="F773" s="0" t="str">
        <f aca="false">IF(AND(ISNUMBER('ANO NOVO'!$C173),'ANO NOVO'!$D173="FOLGA"),'ANO NOVO'!$F173&amp;"","")</f>
        <v/>
      </c>
      <c r="G773" s="0" t="str">
        <f aca="true">IF(D773="","",IF(D773=TODAY(),D773+ROW()/100000,""))</f>
        <v/>
      </c>
      <c r="H773" s="0" t="str">
        <f aca="true">IF(D773="","",IF(AND(D773&gt;TODAY(),D773&lt;=TODAY()+7),D773+ROW()/100000,""))</f>
        <v/>
      </c>
      <c r="I773" s="0" t="str">
        <f aca="false">IF(D773="","",IF(D773=CALENDÁRIO!$L$4,ROW(),""))</f>
        <v/>
      </c>
      <c r="J773" s="0" t="str">
        <f aca="false">IF(D773="","",CHOOSE(WEEKDAY(D773),"Domingo","Segunda","Terça","Quarta","Quinta","Sexta","Sábado"))</f>
        <v/>
      </c>
    </row>
    <row r="774" customFormat="false" ht="15" hidden="false" customHeight="false" outlineLevel="0" collapsed="false">
      <c r="A774" s="0" t="str">
        <f aca="false">IF(AND(ISNUMBER('ANO NOVO'!$C174),'ANO NOVO'!$D174="FOLGA"),"Folga Ano Novo","")</f>
        <v/>
      </c>
      <c r="B774" s="0" t="str">
        <f aca="false">IF(AND(ISNUMBER('ANO NOVO'!$C174),'ANO NOVO'!$D174="FOLGA"),'ANO NOVO'!$A174&amp;"","")</f>
        <v/>
      </c>
      <c r="C774" s="0" t="str">
        <f aca="false">IF(AND(ISNUMBER('ANO NOVO'!$C174),'ANO NOVO'!$D174="FOLGA"),'ANO NOVO'!$B174&amp;"","")</f>
        <v/>
      </c>
      <c r="D774" s="78" t="str">
        <f aca="false">IF(AND(ISNUMBER('ANO NOVO'!$C174),'ANO NOVO'!$D174="FOLGA"),'ANO NOVO'!$C174,"")</f>
        <v/>
      </c>
      <c r="E774" s="0" t="str">
        <f aca="false">IF(AND(ISNUMBER('ANO NOVO'!$C174),'ANO NOVO'!$D174="FOLGA"),'ANO NOVO'!$E174&amp;"","")</f>
        <v/>
      </c>
      <c r="F774" s="0" t="str">
        <f aca="false">IF(AND(ISNUMBER('ANO NOVO'!$C174),'ANO NOVO'!$D174="FOLGA"),'ANO NOVO'!$F174&amp;"","")</f>
        <v/>
      </c>
      <c r="G774" s="0" t="str">
        <f aca="true">IF(D774="","",IF(D774=TODAY(),D774+ROW()/100000,""))</f>
        <v/>
      </c>
      <c r="H774" s="0" t="str">
        <f aca="true">IF(D774="","",IF(AND(D774&gt;TODAY(),D774&lt;=TODAY()+7),D774+ROW()/100000,""))</f>
        <v/>
      </c>
      <c r="I774" s="0" t="str">
        <f aca="false">IF(D774="","",IF(D774=CALENDÁRIO!$L$4,ROW(),""))</f>
        <v/>
      </c>
      <c r="J774" s="0" t="str">
        <f aca="false">IF(D774="","",CHOOSE(WEEKDAY(D774),"Domingo","Segunda","Terça","Quarta","Quinta","Sexta","Sábado"))</f>
        <v/>
      </c>
    </row>
    <row r="775" customFormat="false" ht="15" hidden="false" customHeight="false" outlineLevel="0" collapsed="false">
      <c r="A775" s="0" t="str">
        <f aca="false">IF(AND(ISNUMBER('ANO NOVO'!$C175),'ANO NOVO'!$D175="FOLGA"),"Folga Ano Novo","")</f>
        <v/>
      </c>
      <c r="B775" s="0" t="str">
        <f aca="false">IF(AND(ISNUMBER('ANO NOVO'!$C175),'ANO NOVO'!$D175="FOLGA"),'ANO NOVO'!$A175&amp;"","")</f>
        <v/>
      </c>
      <c r="C775" s="0" t="str">
        <f aca="false">IF(AND(ISNUMBER('ANO NOVO'!$C175),'ANO NOVO'!$D175="FOLGA"),'ANO NOVO'!$B175&amp;"","")</f>
        <v/>
      </c>
      <c r="D775" s="78" t="str">
        <f aca="false">IF(AND(ISNUMBER('ANO NOVO'!$C175),'ANO NOVO'!$D175="FOLGA"),'ANO NOVO'!$C175,"")</f>
        <v/>
      </c>
      <c r="E775" s="0" t="str">
        <f aca="false">IF(AND(ISNUMBER('ANO NOVO'!$C175),'ANO NOVO'!$D175="FOLGA"),'ANO NOVO'!$E175&amp;"","")</f>
        <v/>
      </c>
      <c r="F775" s="0" t="str">
        <f aca="false">IF(AND(ISNUMBER('ANO NOVO'!$C175),'ANO NOVO'!$D175="FOLGA"),'ANO NOVO'!$F175&amp;"","")</f>
        <v/>
      </c>
      <c r="G775" s="0" t="str">
        <f aca="true">IF(D775="","",IF(D775=TODAY(),D775+ROW()/100000,""))</f>
        <v/>
      </c>
      <c r="H775" s="0" t="str">
        <f aca="true">IF(D775="","",IF(AND(D775&gt;TODAY(),D775&lt;=TODAY()+7),D775+ROW()/100000,""))</f>
        <v/>
      </c>
      <c r="I775" s="0" t="str">
        <f aca="false">IF(D775="","",IF(D775=CALENDÁRIO!$L$4,ROW(),""))</f>
        <v/>
      </c>
      <c r="J775" s="0" t="str">
        <f aca="false">IF(D775="","",CHOOSE(WEEKDAY(D775),"Domingo","Segunda","Terça","Quarta","Quinta","Sexta","Sábado"))</f>
        <v/>
      </c>
    </row>
    <row r="776" customFormat="false" ht="15" hidden="false" customHeight="false" outlineLevel="0" collapsed="false">
      <c r="A776" s="0" t="str">
        <f aca="false">IF(AND(ISNUMBER('ANO NOVO'!$C176),'ANO NOVO'!$D176="FOLGA"),"Folga Ano Novo","")</f>
        <v/>
      </c>
      <c r="B776" s="0" t="str">
        <f aca="false">IF(AND(ISNUMBER('ANO NOVO'!$C176),'ANO NOVO'!$D176="FOLGA"),'ANO NOVO'!$A176&amp;"","")</f>
        <v/>
      </c>
      <c r="C776" s="0" t="str">
        <f aca="false">IF(AND(ISNUMBER('ANO NOVO'!$C176),'ANO NOVO'!$D176="FOLGA"),'ANO NOVO'!$B176&amp;"","")</f>
        <v/>
      </c>
      <c r="D776" s="78" t="str">
        <f aca="false">IF(AND(ISNUMBER('ANO NOVO'!$C176),'ANO NOVO'!$D176="FOLGA"),'ANO NOVO'!$C176,"")</f>
        <v/>
      </c>
      <c r="E776" s="0" t="str">
        <f aca="false">IF(AND(ISNUMBER('ANO NOVO'!$C176),'ANO NOVO'!$D176="FOLGA"),'ANO NOVO'!$E176&amp;"","")</f>
        <v/>
      </c>
      <c r="F776" s="0" t="str">
        <f aca="false">IF(AND(ISNUMBER('ANO NOVO'!$C176),'ANO NOVO'!$D176="FOLGA"),'ANO NOVO'!$F176&amp;"","")</f>
        <v/>
      </c>
      <c r="G776" s="0" t="str">
        <f aca="true">IF(D776="","",IF(D776=TODAY(),D776+ROW()/100000,""))</f>
        <v/>
      </c>
      <c r="H776" s="0" t="str">
        <f aca="true">IF(D776="","",IF(AND(D776&gt;TODAY(),D776&lt;=TODAY()+7),D776+ROW()/100000,""))</f>
        <v/>
      </c>
      <c r="I776" s="0" t="str">
        <f aca="false">IF(D776="","",IF(D776=CALENDÁRIO!$L$4,ROW(),""))</f>
        <v/>
      </c>
      <c r="J776" s="0" t="str">
        <f aca="false">IF(D776="","",CHOOSE(WEEKDAY(D776),"Domingo","Segunda","Terça","Quarta","Quinta","Sexta","Sábado"))</f>
        <v/>
      </c>
    </row>
    <row r="777" customFormat="false" ht="15" hidden="false" customHeight="false" outlineLevel="0" collapsed="false">
      <c r="A777" s="0" t="str">
        <f aca="false">IF(AND(ISNUMBER('ANO NOVO'!$C177),'ANO NOVO'!$D177="FOLGA"),"Folga Ano Novo","")</f>
        <v/>
      </c>
      <c r="B777" s="0" t="str">
        <f aca="false">IF(AND(ISNUMBER('ANO NOVO'!$C177),'ANO NOVO'!$D177="FOLGA"),'ANO NOVO'!$A177&amp;"","")</f>
        <v/>
      </c>
      <c r="C777" s="0" t="str">
        <f aca="false">IF(AND(ISNUMBER('ANO NOVO'!$C177),'ANO NOVO'!$D177="FOLGA"),'ANO NOVO'!$B177&amp;"","")</f>
        <v/>
      </c>
      <c r="D777" s="78" t="str">
        <f aca="false">IF(AND(ISNUMBER('ANO NOVO'!$C177),'ANO NOVO'!$D177="FOLGA"),'ANO NOVO'!$C177,"")</f>
        <v/>
      </c>
      <c r="E777" s="0" t="str">
        <f aca="false">IF(AND(ISNUMBER('ANO NOVO'!$C177),'ANO NOVO'!$D177="FOLGA"),'ANO NOVO'!$E177&amp;"","")</f>
        <v/>
      </c>
      <c r="F777" s="0" t="str">
        <f aca="false">IF(AND(ISNUMBER('ANO NOVO'!$C177),'ANO NOVO'!$D177="FOLGA"),'ANO NOVO'!$F177&amp;"","")</f>
        <v/>
      </c>
      <c r="G777" s="0" t="str">
        <f aca="true">IF(D777="","",IF(D777=TODAY(),D777+ROW()/100000,""))</f>
        <v/>
      </c>
      <c r="H777" s="0" t="str">
        <f aca="true">IF(D777="","",IF(AND(D777&gt;TODAY(),D777&lt;=TODAY()+7),D777+ROW()/100000,""))</f>
        <v/>
      </c>
      <c r="I777" s="0" t="str">
        <f aca="false">IF(D777="","",IF(D777=CALENDÁRIO!$L$4,ROW(),""))</f>
        <v/>
      </c>
      <c r="J777" s="0" t="str">
        <f aca="false">IF(D777="","",CHOOSE(WEEKDAY(D777),"Domingo","Segunda","Terça","Quarta","Quinta","Sexta","Sábado"))</f>
        <v/>
      </c>
    </row>
    <row r="778" customFormat="false" ht="15" hidden="false" customHeight="false" outlineLevel="0" collapsed="false">
      <c r="A778" s="0" t="str">
        <f aca="false">IF(AND(ISNUMBER('ANO NOVO'!$C178),'ANO NOVO'!$D178="FOLGA"),"Folga Ano Novo","")</f>
        <v/>
      </c>
      <c r="B778" s="0" t="str">
        <f aca="false">IF(AND(ISNUMBER('ANO NOVO'!$C178),'ANO NOVO'!$D178="FOLGA"),'ANO NOVO'!$A178&amp;"","")</f>
        <v/>
      </c>
      <c r="C778" s="0" t="str">
        <f aca="false">IF(AND(ISNUMBER('ANO NOVO'!$C178),'ANO NOVO'!$D178="FOLGA"),'ANO NOVO'!$B178&amp;"","")</f>
        <v/>
      </c>
      <c r="D778" s="78" t="str">
        <f aca="false">IF(AND(ISNUMBER('ANO NOVO'!$C178),'ANO NOVO'!$D178="FOLGA"),'ANO NOVO'!$C178,"")</f>
        <v/>
      </c>
      <c r="E778" s="0" t="str">
        <f aca="false">IF(AND(ISNUMBER('ANO NOVO'!$C178),'ANO NOVO'!$D178="FOLGA"),'ANO NOVO'!$E178&amp;"","")</f>
        <v/>
      </c>
      <c r="F778" s="0" t="str">
        <f aca="false">IF(AND(ISNUMBER('ANO NOVO'!$C178),'ANO NOVO'!$D178="FOLGA"),'ANO NOVO'!$F178&amp;"","")</f>
        <v/>
      </c>
      <c r="G778" s="0" t="str">
        <f aca="true">IF(D778="","",IF(D778=TODAY(),D778+ROW()/100000,""))</f>
        <v/>
      </c>
      <c r="H778" s="0" t="str">
        <f aca="true">IF(D778="","",IF(AND(D778&gt;TODAY(),D778&lt;=TODAY()+7),D778+ROW()/100000,""))</f>
        <v/>
      </c>
      <c r="I778" s="0" t="str">
        <f aca="false">IF(D778="","",IF(D778=CALENDÁRIO!$L$4,ROW(),""))</f>
        <v/>
      </c>
      <c r="J778" s="0" t="str">
        <f aca="false">IF(D778="","",CHOOSE(WEEKDAY(D778),"Domingo","Segunda","Terça","Quarta","Quinta","Sexta","Sábado"))</f>
        <v/>
      </c>
    </row>
    <row r="779" customFormat="false" ht="15" hidden="false" customHeight="false" outlineLevel="0" collapsed="false">
      <c r="A779" s="0" t="str">
        <f aca="false">IF(AND(ISNUMBER('ANO NOVO'!$C179),'ANO NOVO'!$D179="FOLGA"),"Folga Ano Novo","")</f>
        <v/>
      </c>
      <c r="B779" s="0" t="str">
        <f aca="false">IF(AND(ISNUMBER('ANO NOVO'!$C179),'ANO NOVO'!$D179="FOLGA"),'ANO NOVO'!$A179&amp;"","")</f>
        <v/>
      </c>
      <c r="C779" s="0" t="str">
        <f aca="false">IF(AND(ISNUMBER('ANO NOVO'!$C179),'ANO NOVO'!$D179="FOLGA"),'ANO NOVO'!$B179&amp;"","")</f>
        <v/>
      </c>
      <c r="D779" s="78" t="str">
        <f aca="false">IF(AND(ISNUMBER('ANO NOVO'!$C179),'ANO NOVO'!$D179="FOLGA"),'ANO NOVO'!$C179,"")</f>
        <v/>
      </c>
      <c r="E779" s="0" t="str">
        <f aca="false">IF(AND(ISNUMBER('ANO NOVO'!$C179),'ANO NOVO'!$D179="FOLGA"),'ANO NOVO'!$E179&amp;"","")</f>
        <v/>
      </c>
      <c r="F779" s="0" t="str">
        <f aca="false">IF(AND(ISNUMBER('ANO NOVO'!$C179),'ANO NOVO'!$D179="FOLGA"),'ANO NOVO'!$F179&amp;"","")</f>
        <v/>
      </c>
      <c r="G779" s="0" t="str">
        <f aca="true">IF(D779="","",IF(D779=TODAY(),D779+ROW()/100000,""))</f>
        <v/>
      </c>
      <c r="H779" s="0" t="str">
        <f aca="true">IF(D779="","",IF(AND(D779&gt;TODAY(),D779&lt;=TODAY()+7),D779+ROW()/100000,""))</f>
        <v/>
      </c>
      <c r="I779" s="0" t="str">
        <f aca="false">IF(D779="","",IF(D779=CALENDÁRIO!$L$4,ROW(),""))</f>
        <v/>
      </c>
      <c r="J779" s="0" t="str">
        <f aca="false">IF(D779="","",CHOOSE(WEEKDAY(D779),"Domingo","Segunda","Terça","Quarta","Quinta","Sexta","Sábado"))</f>
        <v/>
      </c>
    </row>
    <row r="780" customFormat="false" ht="15" hidden="false" customHeight="false" outlineLevel="0" collapsed="false">
      <c r="A780" s="0" t="str">
        <f aca="false">IF(AND(ISNUMBER('ANO NOVO'!$C180),'ANO NOVO'!$D180="FOLGA"),"Folga Ano Novo","")</f>
        <v/>
      </c>
      <c r="B780" s="0" t="str">
        <f aca="false">IF(AND(ISNUMBER('ANO NOVO'!$C180),'ANO NOVO'!$D180="FOLGA"),'ANO NOVO'!$A180&amp;"","")</f>
        <v/>
      </c>
      <c r="C780" s="0" t="str">
        <f aca="false">IF(AND(ISNUMBER('ANO NOVO'!$C180),'ANO NOVO'!$D180="FOLGA"),'ANO NOVO'!$B180&amp;"","")</f>
        <v/>
      </c>
      <c r="D780" s="78" t="str">
        <f aca="false">IF(AND(ISNUMBER('ANO NOVO'!$C180),'ANO NOVO'!$D180="FOLGA"),'ANO NOVO'!$C180,"")</f>
        <v/>
      </c>
      <c r="E780" s="0" t="str">
        <f aca="false">IF(AND(ISNUMBER('ANO NOVO'!$C180),'ANO NOVO'!$D180="FOLGA"),'ANO NOVO'!$E180&amp;"","")</f>
        <v/>
      </c>
      <c r="F780" s="0" t="str">
        <f aca="false">IF(AND(ISNUMBER('ANO NOVO'!$C180),'ANO NOVO'!$D180="FOLGA"),'ANO NOVO'!$F180&amp;"","")</f>
        <v/>
      </c>
      <c r="G780" s="0" t="str">
        <f aca="true">IF(D780="","",IF(D780=TODAY(),D780+ROW()/100000,""))</f>
        <v/>
      </c>
      <c r="H780" s="0" t="str">
        <f aca="true">IF(D780="","",IF(AND(D780&gt;TODAY(),D780&lt;=TODAY()+7),D780+ROW()/100000,""))</f>
        <v/>
      </c>
      <c r="I780" s="0" t="str">
        <f aca="false">IF(D780="","",IF(D780=CALENDÁRIO!$L$4,ROW(),""))</f>
        <v/>
      </c>
      <c r="J780" s="0" t="str">
        <f aca="false">IF(D780="","",CHOOSE(WEEKDAY(D780),"Domingo","Segunda","Terça","Quarta","Quinta","Sexta","Sábado"))</f>
        <v/>
      </c>
    </row>
    <row r="781" customFormat="false" ht="15" hidden="false" customHeight="false" outlineLevel="0" collapsed="false">
      <c r="A781" s="0" t="str">
        <f aca="false">IF(AND(ISNUMBER('ANO NOVO'!$C181),'ANO NOVO'!$D181="FOLGA"),"Folga Ano Novo","")</f>
        <v/>
      </c>
      <c r="B781" s="0" t="str">
        <f aca="false">IF(AND(ISNUMBER('ANO NOVO'!$C181),'ANO NOVO'!$D181="FOLGA"),'ANO NOVO'!$A181&amp;"","")</f>
        <v/>
      </c>
      <c r="C781" s="0" t="str">
        <f aca="false">IF(AND(ISNUMBER('ANO NOVO'!$C181),'ANO NOVO'!$D181="FOLGA"),'ANO NOVO'!$B181&amp;"","")</f>
        <v/>
      </c>
      <c r="D781" s="78" t="str">
        <f aca="false">IF(AND(ISNUMBER('ANO NOVO'!$C181),'ANO NOVO'!$D181="FOLGA"),'ANO NOVO'!$C181,"")</f>
        <v/>
      </c>
      <c r="E781" s="0" t="str">
        <f aca="false">IF(AND(ISNUMBER('ANO NOVO'!$C181),'ANO NOVO'!$D181="FOLGA"),'ANO NOVO'!$E181&amp;"","")</f>
        <v/>
      </c>
      <c r="F781" s="0" t="str">
        <f aca="false">IF(AND(ISNUMBER('ANO NOVO'!$C181),'ANO NOVO'!$D181="FOLGA"),'ANO NOVO'!$F181&amp;"","")</f>
        <v/>
      </c>
      <c r="G781" s="0" t="str">
        <f aca="true">IF(D781="","",IF(D781=TODAY(),D781+ROW()/100000,""))</f>
        <v/>
      </c>
      <c r="H781" s="0" t="str">
        <f aca="true">IF(D781="","",IF(AND(D781&gt;TODAY(),D781&lt;=TODAY()+7),D781+ROW()/100000,""))</f>
        <v/>
      </c>
      <c r="I781" s="0" t="str">
        <f aca="false">IF(D781="","",IF(D781=CALENDÁRIO!$L$4,ROW(),""))</f>
        <v/>
      </c>
      <c r="J781" s="0" t="str">
        <f aca="false">IF(D781="","",CHOOSE(WEEKDAY(D781),"Domingo","Segunda","Terça","Quarta","Quinta","Sexta","Sábado"))</f>
        <v/>
      </c>
    </row>
    <row r="782" customFormat="false" ht="15" hidden="false" customHeight="false" outlineLevel="0" collapsed="false">
      <c r="A782" s="0" t="str">
        <f aca="false">IF(AND(ISNUMBER('ANO NOVO'!$C182),'ANO NOVO'!$D182="FOLGA"),"Folga Ano Novo","")</f>
        <v/>
      </c>
      <c r="B782" s="0" t="str">
        <f aca="false">IF(AND(ISNUMBER('ANO NOVO'!$C182),'ANO NOVO'!$D182="FOLGA"),'ANO NOVO'!$A182&amp;"","")</f>
        <v/>
      </c>
      <c r="C782" s="0" t="str">
        <f aca="false">IF(AND(ISNUMBER('ANO NOVO'!$C182),'ANO NOVO'!$D182="FOLGA"),'ANO NOVO'!$B182&amp;"","")</f>
        <v/>
      </c>
      <c r="D782" s="78" t="str">
        <f aca="false">IF(AND(ISNUMBER('ANO NOVO'!$C182),'ANO NOVO'!$D182="FOLGA"),'ANO NOVO'!$C182,"")</f>
        <v/>
      </c>
      <c r="E782" s="0" t="str">
        <f aca="false">IF(AND(ISNUMBER('ANO NOVO'!$C182),'ANO NOVO'!$D182="FOLGA"),'ANO NOVO'!$E182&amp;"","")</f>
        <v/>
      </c>
      <c r="F782" s="0" t="str">
        <f aca="false">IF(AND(ISNUMBER('ANO NOVO'!$C182),'ANO NOVO'!$D182="FOLGA"),'ANO NOVO'!$F182&amp;"","")</f>
        <v/>
      </c>
      <c r="G782" s="0" t="str">
        <f aca="true">IF(D782="","",IF(D782=TODAY(),D782+ROW()/100000,""))</f>
        <v/>
      </c>
      <c r="H782" s="0" t="str">
        <f aca="true">IF(D782="","",IF(AND(D782&gt;TODAY(),D782&lt;=TODAY()+7),D782+ROW()/100000,""))</f>
        <v/>
      </c>
      <c r="I782" s="0" t="str">
        <f aca="false">IF(D782="","",IF(D782=CALENDÁRIO!$L$4,ROW(),""))</f>
        <v/>
      </c>
      <c r="J782" s="0" t="str">
        <f aca="false">IF(D782="","",CHOOSE(WEEKDAY(D782),"Domingo","Segunda","Terça","Quarta","Quinta","Sexta","Sábado"))</f>
        <v/>
      </c>
    </row>
    <row r="783" customFormat="false" ht="15" hidden="false" customHeight="false" outlineLevel="0" collapsed="false">
      <c r="A783" s="0" t="str">
        <f aca="false">IF(AND(ISNUMBER('ANO NOVO'!$C183),'ANO NOVO'!$D183="FOLGA"),"Folga Ano Novo","")</f>
        <v/>
      </c>
      <c r="B783" s="0" t="str">
        <f aca="false">IF(AND(ISNUMBER('ANO NOVO'!$C183),'ANO NOVO'!$D183="FOLGA"),'ANO NOVO'!$A183&amp;"","")</f>
        <v/>
      </c>
      <c r="C783" s="0" t="str">
        <f aca="false">IF(AND(ISNUMBER('ANO NOVO'!$C183),'ANO NOVO'!$D183="FOLGA"),'ANO NOVO'!$B183&amp;"","")</f>
        <v/>
      </c>
      <c r="D783" s="78" t="str">
        <f aca="false">IF(AND(ISNUMBER('ANO NOVO'!$C183),'ANO NOVO'!$D183="FOLGA"),'ANO NOVO'!$C183,"")</f>
        <v/>
      </c>
      <c r="E783" s="0" t="str">
        <f aca="false">IF(AND(ISNUMBER('ANO NOVO'!$C183),'ANO NOVO'!$D183="FOLGA"),'ANO NOVO'!$E183&amp;"","")</f>
        <v/>
      </c>
      <c r="F783" s="0" t="str">
        <f aca="false">IF(AND(ISNUMBER('ANO NOVO'!$C183),'ANO NOVO'!$D183="FOLGA"),'ANO NOVO'!$F183&amp;"","")</f>
        <v/>
      </c>
      <c r="G783" s="0" t="str">
        <f aca="true">IF(D783="","",IF(D783=TODAY(),D783+ROW()/100000,""))</f>
        <v/>
      </c>
      <c r="H783" s="0" t="str">
        <f aca="true">IF(D783="","",IF(AND(D783&gt;TODAY(),D783&lt;=TODAY()+7),D783+ROW()/100000,""))</f>
        <v/>
      </c>
      <c r="I783" s="0" t="str">
        <f aca="false">IF(D783="","",IF(D783=CALENDÁRIO!$L$4,ROW(),""))</f>
        <v/>
      </c>
      <c r="J783" s="0" t="str">
        <f aca="false">IF(D783="","",CHOOSE(WEEKDAY(D783),"Domingo","Segunda","Terça","Quarta","Quinta","Sexta","Sábado"))</f>
        <v/>
      </c>
    </row>
    <row r="784" customFormat="false" ht="15" hidden="false" customHeight="false" outlineLevel="0" collapsed="false">
      <c r="A784" s="0" t="str">
        <f aca="false">IF(AND(ISNUMBER('ANO NOVO'!$C184),'ANO NOVO'!$D184="FOLGA"),"Folga Ano Novo","")</f>
        <v/>
      </c>
      <c r="B784" s="0" t="str">
        <f aca="false">IF(AND(ISNUMBER('ANO NOVO'!$C184),'ANO NOVO'!$D184="FOLGA"),'ANO NOVO'!$A184&amp;"","")</f>
        <v/>
      </c>
      <c r="C784" s="0" t="str">
        <f aca="false">IF(AND(ISNUMBER('ANO NOVO'!$C184),'ANO NOVO'!$D184="FOLGA"),'ANO NOVO'!$B184&amp;"","")</f>
        <v/>
      </c>
      <c r="D784" s="78" t="str">
        <f aca="false">IF(AND(ISNUMBER('ANO NOVO'!$C184),'ANO NOVO'!$D184="FOLGA"),'ANO NOVO'!$C184,"")</f>
        <v/>
      </c>
      <c r="E784" s="0" t="str">
        <f aca="false">IF(AND(ISNUMBER('ANO NOVO'!$C184),'ANO NOVO'!$D184="FOLGA"),'ANO NOVO'!$E184&amp;"","")</f>
        <v/>
      </c>
      <c r="F784" s="0" t="str">
        <f aca="false">IF(AND(ISNUMBER('ANO NOVO'!$C184),'ANO NOVO'!$D184="FOLGA"),'ANO NOVO'!$F184&amp;"","")</f>
        <v/>
      </c>
      <c r="G784" s="0" t="str">
        <f aca="true">IF(D784="","",IF(D784=TODAY(),D784+ROW()/100000,""))</f>
        <v/>
      </c>
      <c r="H784" s="0" t="str">
        <f aca="true">IF(D784="","",IF(AND(D784&gt;TODAY(),D784&lt;=TODAY()+7),D784+ROW()/100000,""))</f>
        <v/>
      </c>
      <c r="I784" s="0" t="str">
        <f aca="false">IF(D784="","",IF(D784=CALENDÁRIO!$L$4,ROW(),""))</f>
        <v/>
      </c>
      <c r="J784" s="0" t="str">
        <f aca="false">IF(D784="","",CHOOSE(WEEKDAY(D784),"Domingo","Segunda","Terça","Quarta","Quinta","Sexta","Sábado"))</f>
        <v/>
      </c>
    </row>
    <row r="785" customFormat="false" ht="15" hidden="false" customHeight="false" outlineLevel="0" collapsed="false">
      <c r="A785" s="0" t="str">
        <f aca="false">IF(AND(ISNUMBER('ANO NOVO'!$C185),'ANO NOVO'!$D185="FOLGA"),"Folga Ano Novo","")</f>
        <v/>
      </c>
      <c r="B785" s="0" t="str">
        <f aca="false">IF(AND(ISNUMBER('ANO NOVO'!$C185),'ANO NOVO'!$D185="FOLGA"),'ANO NOVO'!$A185&amp;"","")</f>
        <v/>
      </c>
      <c r="C785" s="0" t="str">
        <f aca="false">IF(AND(ISNUMBER('ANO NOVO'!$C185),'ANO NOVO'!$D185="FOLGA"),'ANO NOVO'!$B185&amp;"","")</f>
        <v/>
      </c>
      <c r="D785" s="78" t="str">
        <f aca="false">IF(AND(ISNUMBER('ANO NOVO'!$C185),'ANO NOVO'!$D185="FOLGA"),'ANO NOVO'!$C185,"")</f>
        <v/>
      </c>
      <c r="E785" s="0" t="str">
        <f aca="false">IF(AND(ISNUMBER('ANO NOVO'!$C185),'ANO NOVO'!$D185="FOLGA"),'ANO NOVO'!$E185&amp;"","")</f>
        <v/>
      </c>
      <c r="F785" s="0" t="str">
        <f aca="false">IF(AND(ISNUMBER('ANO NOVO'!$C185),'ANO NOVO'!$D185="FOLGA"),'ANO NOVO'!$F185&amp;"","")</f>
        <v/>
      </c>
      <c r="G785" s="0" t="str">
        <f aca="true">IF(D785="","",IF(D785=TODAY(),D785+ROW()/100000,""))</f>
        <v/>
      </c>
      <c r="H785" s="0" t="str">
        <f aca="true">IF(D785="","",IF(AND(D785&gt;TODAY(),D785&lt;=TODAY()+7),D785+ROW()/100000,""))</f>
        <v/>
      </c>
      <c r="I785" s="0" t="str">
        <f aca="false">IF(D785="","",IF(D785=CALENDÁRIO!$L$4,ROW(),""))</f>
        <v/>
      </c>
      <c r="J785" s="0" t="str">
        <f aca="false">IF(D785="","",CHOOSE(WEEKDAY(D785),"Domingo","Segunda","Terça","Quarta","Quinta","Sexta","Sábado"))</f>
        <v/>
      </c>
    </row>
    <row r="786" customFormat="false" ht="15" hidden="false" customHeight="false" outlineLevel="0" collapsed="false">
      <c r="A786" s="0" t="str">
        <f aca="false">IF(AND(ISNUMBER('ANO NOVO'!$C186),'ANO NOVO'!$D186="FOLGA"),"Folga Ano Novo","")</f>
        <v/>
      </c>
      <c r="B786" s="0" t="str">
        <f aca="false">IF(AND(ISNUMBER('ANO NOVO'!$C186),'ANO NOVO'!$D186="FOLGA"),'ANO NOVO'!$A186&amp;"","")</f>
        <v/>
      </c>
      <c r="C786" s="0" t="str">
        <f aca="false">IF(AND(ISNUMBER('ANO NOVO'!$C186),'ANO NOVO'!$D186="FOLGA"),'ANO NOVO'!$B186&amp;"","")</f>
        <v/>
      </c>
      <c r="D786" s="78" t="str">
        <f aca="false">IF(AND(ISNUMBER('ANO NOVO'!$C186),'ANO NOVO'!$D186="FOLGA"),'ANO NOVO'!$C186,"")</f>
        <v/>
      </c>
      <c r="E786" s="0" t="str">
        <f aca="false">IF(AND(ISNUMBER('ANO NOVO'!$C186),'ANO NOVO'!$D186="FOLGA"),'ANO NOVO'!$E186&amp;"","")</f>
        <v/>
      </c>
      <c r="F786" s="0" t="str">
        <f aca="false">IF(AND(ISNUMBER('ANO NOVO'!$C186),'ANO NOVO'!$D186="FOLGA"),'ANO NOVO'!$F186&amp;"","")</f>
        <v/>
      </c>
      <c r="G786" s="0" t="str">
        <f aca="true">IF(D786="","",IF(D786=TODAY(),D786+ROW()/100000,""))</f>
        <v/>
      </c>
      <c r="H786" s="0" t="str">
        <f aca="true">IF(D786="","",IF(AND(D786&gt;TODAY(),D786&lt;=TODAY()+7),D786+ROW()/100000,""))</f>
        <v/>
      </c>
      <c r="I786" s="0" t="str">
        <f aca="false">IF(D786="","",IF(D786=CALENDÁRIO!$L$4,ROW(),""))</f>
        <v/>
      </c>
      <c r="J786" s="0" t="str">
        <f aca="false">IF(D786="","",CHOOSE(WEEKDAY(D786),"Domingo","Segunda","Terça","Quarta","Quinta","Sexta","Sábado"))</f>
        <v/>
      </c>
    </row>
    <row r="787" customFormat="false" ht="15" hidden="false" customHeight="false" outlineLevel="0" collapsed="false">
      <c r="A787" s="0" t="str">
        <f aca="false">IF(AND(ISNUMBER('ANO NOVO'!$C187),'ANO NOVO'!$D187="FOLGA"),"Folga Ano Novo","")</f>
        <v/>
      </c>
      <c r="B787" s="0" t="str">
        <f aca="false">IF(AND(ISNUMBER('ANO NOVO'!$C187),'ANO NOVO'!$D187="FOLGA"),'ANO NOVO'!$A187&amp;"","")</f>
        <v/>
      </c>
      <c r="C787" s="0" t="str">
        <f aca="false">IF(AND(ISNUMBER('ANO NOVO'!$C187),'ANO NOVO'!$D187="FOLGA"),'ANO NOVO'!$B187&amp;"","")</f>
        <v/>
      </c>
      <c r="D787" s="78" t="str">
        <f aca="false">IF(AND(ISNUMBER('ANO NOVO'!$C187),'ANO NOVO'!$D187="FOLGA"),'ANO NOVO'!$C187,"")</f>
        <v/>
      </c>
      <c r="E787" s="0" t="str">
        <f aca="false">IF(AND(ISNUMBER('ANO NOVO'!$C187),'ANO NOVO'!$D187="FOLGA"),'ANO NOVO'!$E187&amp;"","")</f>
        <v/>
      </c>
      <c r="F787" s="0" t="str">
        <f aca="false">IF(AND(ISNUMBER('ANO NOVO'!$C187),'ANO NOVO'!$D187="FOLGA"),'ANO NOVO'!$F187&amp;"","")</f>
        <v/>
      </c>
      <c r="G787" s="0" t="str">
        <f aca="true">IF(D787="","",IF(D787=TODAY(),D787+ROW()/100000,""))</f>
        <v/>
      </c>
      <c r="H787" s="0" t="str">
        <f aca="true">IF(D787="","",IF(AND(D787&gt;TODAY(),D787&lt;=TODAY()+7),D787+ROW()/100000,""))</f>
        <v/>
      </c>
      <c r="I787" s="0" t="str">
        <f aca="false">IF(D787="","",IF(D787=CALENDÁRIO!$L$4,ROW(),""))</f>
        <v/>
      </c>
      <c r="J787" s="0" t="str">
        <f aca="false">IF(D787="","",CHOOSE(WEEKDAY(D787),"Domingo","Segunda","Terça","Quarta","Quinta","Sexta","Sábado"))</f>
        <v/>
      </c>
    </row>
    <row r="788" customFormat="false" ht="15" hidden="false" customHeight="false" outlineLevel="0" collapsed="false">
      <c r="A788" s="0" t="str">
        <f aca="false">IF(AND(ISNUMBER('ANO NOVO'!$C188),'ANO NOVO'!$D188="FOLGA"),"Folga Ano Novo","")</f>
        <v/>
      </c>
      <c r="B788" s="0" t="str">
        <f aca="false">IF(AND(ISNUMBER('ANO NOVO'!$C188),'ANO NOVO'!$D188="FOLGA"),'ANO NOVO'!$A188&amp;"","")</f>
        <v/>
      </c>
      <c r="C788" s="0" t="str">
        <f aca="false">IF(AND(ISNUMBER('ANO NOVO'!$C188),'ANO NOVO'!$D188="FOLGA"),'ANO NOVO'!$B188&amp;"","")</f>
        <v/>
      </c>
      <c r="D788" s="78" t="str">
        <f aca="false">IF(AND(ISNUMBER('ANO NOVO'!$C188),'ANO NOVO'!$D188="FOLGA"),'ANO NOVO'!$C188,"")</f>
        <v/>
      </c>
      <c r="E788" s="0" t="str">
        <f aca="false">IF(AND(ISNUMBER('ANO NOVO'!$C188),'ANO NOVO'!$D188="FOLGA"),'ANO NOVO'!$E188&amp;"","")</f>
        <v/>
      </c>
      <c r="F788" s="0" t="str">
        <f aca="false">IF(AND(ISNUMBER('ANO NOVO'!$C188),'ANO NOVO'!$D188="FOLGA"),'ANO NOVO'!$F188&amp;"","")</f>
        <v/>
      </c>
      <c r="G788" s="0" t="str">
        <f aca="true">IF(D788="","",IF(D788=TODAY(),D788+ROW()/100000,""))</f>
        <v/>
      </c>
      <c r="H788" s="0" t="str">
        <f aca="true">IF(D788="","",IF(AND(D788&gt;TODAY(),D788&lt;=TODAY()+7),D788+ROW()/100000,""))</f>
        <v/>
      </c>
      <c r="I788" s="0" t="str">
        <f aca="false">IF(D788="","",IF(D788=CALENDÁRIO!$L$4,ROW(),""))</f>
        <v/>
      </c>
      <c r="J788" s="0" t="str">
        <f aca="false">IF(D788="","",CHOOSE(WEEKDAY(D788),"Domingo","Segunda","Terça","Quarta","Quinta","Sexta","Sábado"))</f>
        <v/>
      </c>
    </row>
    <row r="789" customFormat="false" ht="15" hidden="false" customHeight="false" outlineLevel="0" collapsed="false">
      <c r="A789" s="0" t="str">
        <f aca="false">IF(AND(ISNUMBER('ANO NOVO'!$C189),'ANO NOVO'!$D189="FOLGA"),"Folga Ano Novo","")</f>
        <v/>
      </c>
      <c r="B789" s="0" t="str">
        <f aca="false">IF(AND(ISNUMBER('ANO NOVO'!$C189),'ANO NOVO'!$D189="FOLGA"),'ANO NOVO'!$A189&amp;"","")</f>
        <v/>
      </c>
      <c r="C789" s="0" t="str">
        <f aca="false">IF(AND(ISNUMBER('ANO NOVO'!$C189),'ANO NOVO'!$D189="FOLGA"),'ANO NOVO'!$B189&amp;"","")</f>
        <v/>
      </c>
      <c r="D789" s="78" t="str">
        <f aca="false">IF(AND(ISNUMBER('ANO NOVO'!$C189),'ANO NOVO'!$D189="FOLGA"),'ANO NOVO'!$C189,"")</f>
        <v/>
      </c>
      <c r="E789" s="0" t="str">
        <f aca="false">IF(AND(ISNUMBER('ANO NOVO'!$C189),'ANO NOVO'!$D189="FOLGA"),'ANO NOVO'!$E189&amp;"","")</f>
        <v/>
      </c>
      <c r="F789" s="0" t="str">
        <f aca="false">IF(AND(ISNUMBER('ANO NOVO'!$C189),'ANO NOVO'!$D189="FOLGA"),'ANO NOVO'!$F189&amp;"","")</f>
        <v/>
      </c>
      <c r="G789" s="0" t="str">
        <f aca="true">IF(D789="","",IF(D789=TODAY(),D789+ROW()/100000,""))</f>
        <v/>
      </c>
      <c r="H789" s="0" t="str">
        <f aca="true">IF(D789="","",IF(AND(D789&gt;TODAY(),D789&lt;=TODAY()+7),D789+ROW()/100000,""))</f>
        <v/>
      </c>
      <c r="I789" s="0" t="str">
        <f aca="false">IF(D789="","",IF(D789=CALENDÁRIO!$L$4,ROW(),""))</f>
        <v/>
      </c>
      <c r="J789" s="0" t="str">
        <f aca="false">IF(D789="","",CHOOSE(WEEKDAY(D789),"Domingo","Segunda","Terça","Quarta","Quinta","Sexta","Sábado"))</f>
        <v/>
      </c>
    </row>
    <row r="790" customFormat="false" ht="15" hidden="false" customHeight="false" outlineLevel="0" collapsed="false">
      <c r="A790" s="0" t="str">
        <f aca="false">IF(AND(ISNUMBER('ANO NOVO'!$C190),'ANO NOVO'!$D190="FOLGA"),"Folga Ano Novo","")</f>
        <v/>
      </c>
      <c r="B790" s="0" t="str">
        <f aca="false">IF(AND(ISNUMBER('ANO NOVO'!$C190),'ANO NOVO'!$D190="FOLGA"),'ANO NOVO'!$A190&amp;"","")</f>
        <v/>
      </c>
      <c r="C790" s="0" t="str">
        <f aca="false">IF(AND(ISNUMBER('ANO NOVO'!$C190),'ANO NOVO'!$D190="FOLGA"),'ANO NOVO'!$B190&amp;"","")</f>
        <v/>
      </c>
      <c r="D790" s="78" t="str">
        <f aca="false">IF(AND(ISNUMBER('ANO NOVO'!$C190),'ANO NOVO'!$D190="FOLGA"),'ANO NOVO'!$C190,"")</f>
        <v/>
      </c>
      <c r="E790" s="0" t="str">
        <f aca="false">IF(AND(ISNUMBER('ANO NOVO'!$C190),'ANO NOVO'!$D190="FOLGA"),'ANO NOVO'!$E190&amp;"","")</f>
        <v/>
      </c>
      <c r="F790" s="0" t="str">
        <f aca="false">IF(AND(ISNUMBER('ANO NOVO'!$C190),'ANO NOVO'!$D190="FOLGA"),'ANO NOVO'!$F190&amp;"","")</f>
        <v/>
      </c>
      <c r="G790" s="0" t="str">
        <f aca="true">IF(D790="","",IF(D790=TODAY(),D790+ROW()/100000,""))</f>
        <v/>
      </c>
      <c r="H790" s="0" t="str">
        <f aca="true">IF(D790="","",IF(AND(D790&gt;TODAY(),D790&lt;=TODAY()+7),D790+ROW()/100000,""))</f>
        <v/>
      </c>
      <c r="I790" s="0" t="str">
        <f aca="false">IF(D790="","",IF(D790=CALENDÁRIO!$L$4,ROW(),""))</f>
        <v/>
      </c>
      <c r="J790" s="0" t="str">
        <f aca="false">IF(D790="","",CHOOSE(WEEKDAY(D790),"Domingo","Segunda","Terça","Quarta","Quinta","Sexta","Sábado"))</f>
        <v/>
      </c>
    </row>
    <row r="791" customFormat="false" ht="15" hidden="false" customHeight="false" outlineLevel="0" collapsed="false">
      <c r="A791" s="0" t="str">
        <f aca="false">IF(AND(ISNUMBER('ANO NOVO'!$C191),'ANO NOVO'!$D191="FOLGA"),"Folga Ano Novo","")</f>
        <v/>
      </c>
      <c r="B791" s="0" t="str">
        <f aca="false">IF(AND(ISNUMBER('ANO NOVO'!$C191),'ANO NOVO'!$D191="FOLGA"),'ANO NOVO'!$A191&amp;"","")</f>
        <v/>
      </c>
      <c r="C791" s="0" t="str">
        <f aca="false">IF(AND(ISNUMBER('ANO NOVO'!$C191),'ANO NOVO'!$D191="FOLGA"),'ANO NOVO'!$B191&amp;"","")</f>
        <v/>
      </c>
      <c r="D791" s="78" t="str">
        <f aca="false">IF(AND(ISNUMBER('ANO NOVO'!$C191),'ANO NOVO'!$D191="FOLGA"),'ANO NOVO'!$C191,"")</f>
        <v/>
      </c>
      <c r="E791" s="0" t="str">
        <f aca="false">IF(AND(ISNUMBER('ANO NOVO'!$C191),'ANO NOVO'!$D191="FOLGA"),'ANO NOVO'!$E191&amp;"","")</f>
        <v/>
      </c>
      <c r="F791" s="0" t="str">
        <f aca="false">IF(AND(ISNUMBER('ANO NOVO'!$C191),'ANO NOVO'!$D191="FOLGA"),'ANO NOVO'!$F191&amp;"","")</f>
        <v/>
      </c>
      <c r="G791" s="0" t="str">
        <f aca="true">IF(D791="","",IF(D791=TODAY(),D791+ROW()/100000,""))</f>
        <v/>
      </c>
      <c r="H791" s="0" t="str">
        <f aca="true">IF(D791="","",IF(AND(D791&gt;TODAY(),D791&lt;=TODAY()+7),D791+ROW()/100000,""))</f>
        <v/>
      </c>
      <c r="I791" s="0" t="str">
        <f aca="false">IF(D791="","",IF(D791=CALENDÁRIO!$L$4,ROW(),""))</f>
        <v/>
      </c>
      <c r="J791" s="0" t="str">
        <f aca="false">IF(D791="","",CHOOSE(WEEKDAY(D791),"Domingo","Segunda","Terça","Quarta","Quinta","Sexta","Sábado"))</f>
        <v/>
      </c>
    </row>
    <row r="792" customFormat="false" ht="15" hidden="false" customHeight="false" outlineLevel="0" collapsed="false">
      <c r="A792" s="0" t="str">
        <f aca="false">IF(AND(ISNUMBER('ANO NOVO'!$C192),'ANO NOVO'!$D192="FOLGA"),"Folga Ano Novo","")</f>
        <v/>
      </c>
      <c r="B792" s="0" t="str">
        <f aca="false">IF(AND(ISNUMBER('ANO NOVO'!$C192),'ANO NOVO'!$D192="FOLGA"),'ANO NOVO'!$A192&amp;"","")</f>
        <v/>
      </c>
      <c r="C792" s="0" t="str">
        <f aca="false">IF(AND(ISNUMBER('ANO NOVO'!$C192),'ANO NOVO'!$D192="FOLGA"),'ANO NOVO'!$B192&amp;"","")</f>
        <v/>
      </c>
      <c r="D792" s="78" t="str">
        <f aca="false">IF(AND(ISNUMBER('ANO NOVO'!$C192),'ANO NOVO'!$D192="FOLGA"),'ANO NOVO'!$C192,"")</f>
        <v/>
      </c>
      <c r="E792" s="0" t="str">
        <f aca="false">IF(AND(ISNUMBER('ANO NOVO'!$C192),'ANO NOVO'!$D192="FOLGA"),'ANO NOVO'!$E192&amp;"","")</f>
        <v/>
      </c>
      <c r="F792" s="0" t="str">
        <f aca="false">IF(AND(ISNUMBER('ANO NOVO'!$C192),'ANO NOVO'!$D192="FOLGA"),'ANO NOVO'!$F192&amp;"","")</f>
        <v/>
      </c>
      <c r="G792" s="0" t="str">
        <f aca="true">IF(D792="","",IF(D792=TODAY(),D792+ROW()/100000,""))</f>
        <v/>
      </c>
      <c r="H792" s="0" t="str">
        <f aca="true">IF(D792="","",IF(AND(D792&gt;TODAY(),D792&lt;=TODAY()+7),D792+ROW()/100000,""))</f>
        <v/>
      </c>
      <c r="I792" s="0" t="str">
        <f aca="false">IF(D792="","",IF(D792=CALENDÁRIO!$L$4,ROW(),""))</f>
        <v/>
      </c>
      <c r="J792" s="0" t="str">
        <f aca="false">IF(D792="","",CHOOSE(WEEKDAY(D792),"Domingo","Segunda","Terça","Quarta","Quinta","Sexta","Sábado"))</f>
        <v/>
      </c>
    </row>
    <row r="793" customFormat="false" ht="15" hidden="false" customHeight="false" outlineLevel="0" collapsed="false">
      <c r="A793" s="0" t="str">
        <f aca="false">IF(AND(ISNUMBER('ANO NOVO'!$C193),'ANO NOVO'!$D193="FOLGA"),"Folga Ano Novo","")</f>
        <v/>
      </c>
      <c r="B793" s="0" t="str">
        <f aca="false">IF(AND(ISNUMBER('ANO NOVO'!$C193),'ANO NOVO'!$D193="FOLGA"),'ANO NOVO'!$A193&amp;"","")</f>
        <v/>
      </c>
      <c r="C793" s="0" t="str">
        <f aca="false">IF(AND(ISNUMBER('ANO NOVO'!$C193),'ANO NOVO'!$D193="FOLGA"),'ANO NOVO'!$B193&amp;"","")</f>
        <v/>
      </c>
      <c r="D793" s="78" t="str">
        <f aca="false">IF(AND(ISNUMBER('ANO NOVO'!$C193),'ANO NOVO'!$D193="FOLGA"),'ANO NOVO'!$C193,"")</f>
        <v/>
      </c>
      <c r="E793" s="0" t="str">
        <f aca="false">IF(AND(ISNUMBER('ANO NOVO'!$C193),'ANO NOVO'!$D193="FOLGA"),'ANO NOVO'!$E193&amp;"","")</f>
        <v/>
      </c>
      <c r="F793" s="0" t="str">
        <f aca="false">IF(AND(ISNUMBER('ANO NOVO'!$C193),'ANO NOVO'!$D193="FOLGA"),'ANO NOVO'!$F193&amp;"","")</f>
        <v/>
      </c>
      <c r="G793" s="0" t="str">
        <f aca="true">IF(D793="","",IF(D793=TODAY(),D793+ROW()/100000,""))</f>
        <v/>
      </c>
      <c r="H793" s="0" t="str">
        <f aca="true">IF(D793="","",IF(AND(D793&gt;TODAY(),D793&lt;=TODAY()+7),D793+ROW()/100000,""))</f>
        <v/>
      </c>
      <c r="I793" s="0" t="str">
        <f aca="false">IF(D793="","",IF(D793=CALENDÁRIO!$L$4,ROW(),""))</f>
        <v/>
      </c>
      <c r="J793" s="0" t="str">
        <f aca="false">IF(D793="","",CHOOSE(WEEKDAY(D793),"Domingo","Segunda","Terça","Quarta","Quinta","Sexta","Sábado"))</f>
        <v/>
      </c>
    </row>
    <row r="794" customFormat="false" ht="15" hidden="false" customHeight="false" outlineLevel="0" collapsed="false">
      <c r="A794" s="0" t="str">
        <f aca="false">IF(AND(ISNUMBER('ANO NOVO'!$C194),'ANO NOVO'!$D194="FOLGA"),"Folga Ano Novo","")</f>
        <v/>
      </c>
      <c r="B794" s="0" t="str">
        <f aca="false">IF(AND(ISNUMBER('ANO NOVO'!$C194),'ANO NOVO'!$D194="FOLGA"),'ANO NOVO'!$A194&amp;"","")</f>
        <v/>
      </c>
      <c r="C794" s="0" t="str">
        <f aca="false">IF(AND(ISNUMBER('ANO NOVO'!$C194),'ANO NOVO'!$D194="FOLGA"),'ANO NOVO'!$B194&amp;"","")</f>
        <v/>
      </c>
      <c r="D794" s="78" t="str">
        <f aca="false">IF(AND(ISNUMBER('ANO NOVO'!$C194),'ANO NOVO'!$D194="FOLGA"),'ANO NOVO'!$C194,"")</f>
        <v/>
      </c>
      <c r="E794" s="0" t="str">
        <f aca="false">IF(AND(ISNUMBER('ANO NOVO'!$C194),'ANO NOVO'!$D194="FOLGA"),'ANO NOVO'!$E194&amp;"","")</f>
        <v/>
      </c>
      <c r="F794" s="0" t="str">
        <f aca="false">IF(AND(ISNUMBER('ANO NOVO'!$C194),'ANO NOVO'!$D194="FOLGA"),'ANO NOVO'!$F194&amp;"","")</f>
        <v/>
      </c>
      <c r="G794" s="0" t="str">
        <f aca="true">IF(D794="","",IF(D794=TODAY(),D794+ROW()/100000,""))</f>
        <v/>
      </c>
      <c r="H794" s="0" t="str">
        <f aca="true">IF(D794="","",IF(AND(D794&gt;TODAY(),D794&lt;=TODAY()+7),D794+ROW()/100000,""))</f>
        <v/>
      </c>
      <c r="I794" s="0" t="str">
        <f aca="false">IF(D794="","",IF(D794=CALENDÁRIO!$L$4,ROW(),""))</f>
        <v/>
      </c>
      <c r="J794" s="0" t="str">
        <f aca="false">IF(D794="","",CHOOSE(WEEKDAY(D794),"Domingo","Segunda","Terça","Quarta","Quinta","Sexta","Sábado"))</f>
        <v/>
      </c>
    </row>
    <row r="795" customFormat="false" ht="15" hidden="false" customHeight="false" outlineLevel="0" collapsed="false">
      <c r="A795" s="0" t="str">
        <f aca="false">IF(AND(ISNUMBER('ANO NOVO'!$C195),'ANO NOVO'!$D195="FOLGA"),"Folga Ano Novo","")</f>
        <v/>
      </c>
      <c r="B795" s="0" t="str">
        <f aca="false">IF(AND(ISNUMBER('ANO NOVO'!$C195),'ANO NOVO'!$D195="FOLGA"),'ANO NOVO'!$A195&amp;"","")</f>
        <v/>
      </c>
      <c r="C795" s="0" t="str">
        <f aca="false">IF(AND(ISNUMBER('ANO NOVO'!$C195),'ANO NOVO'!$D195="FOLGA"),'ANO NOVO'!$B195&amp;"","")</f>
        <v/>
      </c>
      <c r="D795" s="78" t="str">
        <f aca="false">IF(AND(ISNUMBER('ANO NOVO'!$C195),'ANO NOVO'!$D195="FOLGA"),'ANO NOVO'!$C195,"")</f>
        <v/>
      </c>
      <c r="E795" s="0" t="str">
        <f aca="false">IF(AND(ISNUMBER('ANO NOVO'!$C195),'ANO NOVO'!$D195="FOLGA"),'ANO NOVO'!$E195&amp;"","")</f>
        <v/>
      </c>
      <c r="F795" s="0" t="str">
        <f aca="false">IF(AND(ISNUMBER('ANO NOVO'!$C195),'ANO NOVO'!$D195="FOLGA"),'ANO NOVO'!$F195&amp;"","")</f>
        <v/>
      </c>
      <c r="G795" s="0" t="str">
        <f aca="true">IF(D795="","",IF(D795=TODAY(),D795+ROW()/100000,""))</f>
        <v/>
      </c>
      <c r="H795" s="0" t="str">
        <f aca="true">IF(D795="","",IF(AND(D795&gt;TODAY(),D795&lt;=TODAY()+7),D795+ROW()/100000,""))</f>
        <v/>
      </c>
      <c r="I795" s="0" t="str">
        <f aca="false">IF(D795="","",IF(D795=CALENDÁRIO!$L$4,ROW(),""))</f>
        <v/>
      </c>
      <c r="J795" s="0" t="str">
        <f aca="false">IF(D795="","",CHOOSE(WEEKDAY(D795),"Domingo","Segunda","Terça","Quarta","Quinta","Sexta","Sábado"))</f>
        <v/>
      </c>
    </row>
    <row r="796" customFormat="false" ht="15" hidden="false" customHeight="false" outlineLevel="0" collapsed="false">
      <c r="A796" s="0" t="str">
        <f aca="false">IF(AND(ISNUMBER('ANO NOVO'!$C196),'ANO NOVO'!$D196="FOLGA"),"Folga Ano Novo","")</f>
        <v/>
      </c>
      <c r="B796" s="0" t="str">
        <f aca="false">IF(AND(ISNUMBER('ANO NOVO'!$C196),'ANO NOVO'!$D196="FOLGA"),'ANO NOVO'!$A196&amp;"","")</f>
        <v/>
      </c>
      <c r="C796" s="0" t="str">
        <f aca="false">IF(AND(ISNUMBER('ANO NOVO'!$C196),'ANO NOVO'!$D196="FOLGA"),'ANO NOVO'!$B196&amp;"","")</f>
        <v/>
      </c>
      <c r="D796" s="78" t="str">
        <f aca="false">IF(AND(ISNUMBER('ANO NOVO'!$C196),'ANO NOVO'!$D196="FOLGA"),'ANO NOVO'!$C196,"")</f>
        <v/>
      </c>
      <c r="E796" s="0" t="str">
        <f aca="false">IF(AND(ISNUMBER('ANO NOVO'!$C196),'ANO NOVO'!$D196="FOLGA"),'ANO NOVO'!$E196&amp;"","")</f>
        <v/>
      </c>
      <c r="F796" s="0" t="str">
        <f aca="false">IF(AND(ISNUMBER('ANO NOVO'!$C196),'ANO NOVO'!$D196="FOLGA"),'ANO NOVO'!$F196&amp;"","")</f>
        <v/>
      </c>
      <c r="G796" s="0" t="str">
        <f aca="true">IF(D796="","",IF(D796=TODAY(),D796+ROW()/100000,""))</f>
        <v/>
      </c>
      <c r="H796" s="0" t="str">
        <f aca="true">IF(D796="","",IF(AND(D796&gt;TODAY(),D796&lt;=TODAY()+7),D796+ROW()/100000,""))</f>
        <v/>
      </c>
      <c r="I796" s="0" t="str">
        <f aca="false">IF(D796="","",IF(D796=CALENDÁRIO!$L$4,ROW(),""))</f>
        <v/>
      </c>
      <c r="J796" s="0" t="str">
        <f aca="false">IF(D796="","",CHOOSE(WEEKDAY(D796),"Domingo","Segunda","Terça","Quarta","Quinta","Sexta","Sábado"))</f>
        <v/>
      </c>
    </row>
    <row r="797" customFormat="false" ht="15" hidden="false" customHeight="false" outlineLevel="0" collapsed="false">
      <c r="A797" s="0" t="str">
        <f aca="false">IF(AND(ISNUMBER('ANO NOVO'!$C197),'ANO NOVO'!$D197="FOLGA"),"Folga Ano Novo","")</f>
        <v/>
      </c>
      <c r="B797" s="0" t="str">
        <f aca="false">IF(AND(ISNUMBER('ANO NOVO'!$C197),'ANO NOVO'!$D197="FOLGA"),'ANO NOVO'!$A197&amp;"","")</f>
        <v/>
      </c>
      <c r="C797" s="0" t="str">
        <f aca="false">IF(AND(ISNUMBER('ANO NOVO'!$C197),'ANO NOVO'!$D197="FOLGA"),'ANO NOVO'!$B197&amp;"","")</f>
        <v/>
      </c>
      <c r="D797" s="78" t="str">
        <f aca="false">IF(AND(ISNUMBER('ANO NOVO'!$C197),'ANO NOVO'!$D197="FOLGA"),'ANO NOVO'!$C197,"")</f>
        <v/>
      </c>
      <c r="E797" s="0" t="str">
        <f aca="false">IF(AND(ISNUMBER('ANO NOVO'!$C197),'ANO NOVO'!$D197="FOLGA"),'ANO NOVO'!$E197&amp;"","")</f>
        <v/>
      </c>
      <c r="F797" s="0" t="str">
        <f aca="false">IF(AND(ISNUMBER('ANO NOVO'!$C197),'ANO NOVO'!$D197="FOLGA"),'ANO NOVO'!$F197&amp;"","")</f>
        <v/>
      </c>
      <c r="G797" s="0" t="str">
        <f aca="true">IF(D797="","",IF(D797=TODAY(),D797+ROW()/100000,""))</f>
        <v/>
      </c>
      <c r="H797" s="0" t="str">
        <f aca="true">IF(D797="","",IF(AND(D797&gt;TODAY(),D797&lt;=TODAY()+7),D797+ROW()/100000,""))</f>
        <v/>
      </c>
      <c r="I797" s="0" t="str">
        <f aca="false">IF(D797="","",IF(D797=CALENDÁRIO!$L$4,ROW(),""))</f>
        <v/>
      </c>
      <c r="J797" s="0" t="str">
        <f aca="false">IF(D797="","",CHOOSE(WEEKDAY(D797),"Domingo","Segunda","Terça","Quarta","Quinta","Sexta","Sábado"))</f>
        <v/>
      </c>
    </row>
    <row r="798" customFormat="false" ht="15" hidden="false" customHeight="false" outlineLevel="0" collapsed="false">
      <c r="A798" s="0" t="str">
        <f aca="false">IF(AND(ISNUMBER('ANO NOVO'!$C198),'ANO NOVO'!$D198="FOLGA"),"Folga Ano Novo","")</f>
        <v/>
      </c>
      <c r="B798" s="0" t="str">
        <f aca="false">IF(AND(ISNUMBER('ANO NOVO'!$C198),'ANO NOVO'!$D198="FOLGA"),'ANO NOVO'!$A198&amp;"","")</f>
        <v/>
      </c>
      <c r="C798" s="0" t="str">
        <f aca="false">IF(AND(ISNUMBER('ANO NOVO'!$C198),'ANO NOVO'!$D198="FOLGA"),'ANO NOVO'!$B198&amp;"","")</f>
        <v/>
      </c>
      <c r="D798" s="78" t="str">
        <f aca="false">IF(AND(ISNUMBER('ANO NOVO'!$C198),'ANO NOVO'!$D198="FOLGA"),'ANO NOVO'!$C198,"")</f>
        <v/>
      </c>
      <c r="E798" s="0" t="str">
        <f aca="false">IF(AND(ISNUMBER('ANO NOVO'!$C198),'ANO NOVO'!$D198="FOLGA"),'ANO NOVO'!$E198&amp;"","")</f>
        <v/>
      </c>
      <c r="F798" s="0" t="str">
        <f aca="false">IF(AND(ISNUMBER('ANO NOVO'!$C198),'ANO NOVO'!$D198="FOLGA"),'ANO NOVO'!$F198&amp;"","")</f>
        <v/>
      </c>
      <c r="G798" s="0" t="str">
        <f aca="true">IF(D798="","",IF(D798=TODAY(),D798+ROW()/100000,""))</f>
        <v/>
      </c>
      <c r="H798" s="0" t="str">
        <f aca="true">IF(D798="","",IF(AND(D798&gt;TODAY(),D798&lt;=TODAY()+7),D798+ROW()/100000,""))</f>
        <v/>
      </c>
      <c r="I798" s="0" t="str">
        <f aca="false">IF(D798="","",IF(D798=CALENDÁRIO!$L$4,ROW(),""))</f>
        <v/>
      </c>
      <c r="J798" s="0" t="str">
        <f aca="false">IF(D798="","",CHOOSE(WEEKDAY(D798),"Domingo","Segunda","Terça","Quarta","Quinta","Sexta","Sábado"))</f>
        <v/>
      </c>
    </row>
    <row r="799" customFormat="false" ht="15" hidden="false" customHeight="false" outlineLevel="0" collapsed="false">
      <c r="A799" s="0" t="str">
        <f aca="false">IF(AND(ISNUMBER('ANO NOVO'!$C199),'ANO NOVO'!$D199="FOLGA"),"Folga Ano Novo","")</f>
        <v/>
      </c>
      <c r="B799" s="0" t="str">
        <f aca="false">IF(AND(ISNUMBER('ANO NOVO'!$C199),'ANO NOVO'!$D199="FOLGA"),'ANO NOVO'!$A199&amp;"","")</f>
        <v/>
      </c>
      <c r="C799" s="0" t="str">
        <f aca="false">IF(AND(ISNUMBER('ANO NOVO'!$C199),'ANO NOVO'!$D199="FOLGA"),'ANO NOVO'!$B199&amp;"","")</f>
        <v/>
      </c>
      <c r="D799" s="78" t="str">
        <f aca="false">IF(AND(ISNUMBER('ANO NOVO'!$C199),'ANO NOVO'!$D199="FOLGA"),'ANO NOVO'!$C199,"")</f>
        <v/>
      </c>
      <c r="E799" s="0" t="str">
        <f aca="false">IF(AND(ISNUMBER('ANO NOVO'!$C199),'ANO NOVO'!$D199="FOLGA"),'ANO NOVO'!$E199&amp;"","")</f>
        <v/>
      </c>
      <c r="F799" s="0" t="str">
        <f aca="false">IF(AND(ISNUMBER('ANO NOVO'!$C199),'ANO NOVO'!$D199="FOLGA"),'ANO NOVO'!$F199&amp;"","")</f>
        <v/>
      </c>
      <c r="G799" s="0" t="str">
        <f aca="true">IF(D799="","",IF(D799=TODAY(),D799+ROW()/100000,""))</f>
        <v/>
      </c>
      <c r="H799" s="0" t="str">
        <f aca="true">IF(D799="","",IF(AND(D799&gt;TODAY(),D799&lt;=TODAY()+7),D799+ROW()/100000,""))</f>
        <v/>
      </c>
      <c r="I799" s="0" t="str">
        <f aca="false">IF(D799="","",IF(D799=CALENDÁRIO!$L$4,ROW(),""))</f>
        <v/>
      </c>
      <c r="J799" s="0" t="str">
        <f aca="false">IF(D799="","",CHOOSE(WEEKDAY(D799),"Domingo","Segunda","Terça","Quarta","Quinta","Sexta","Sábado"))</f>
        <v/>
      </c>
    </row>
    <row r="800" customFormat="false" ht="15" hidden="false" customHeight="false" outlineLevel="0" collapsed="false">
      <c r="A800" s="0" t="str">
        <f aca="false">IF(AND(ISNUMBER('ANO NOVO'!$C200),'ANO NOVO'!$D200="FOLGA"),"Folga Ano Novo","")</f>
        <v/>
      </c>
      <c r="B800" s="0" t="str">
        <f aca="false">IF(AND(ISNUMBER('ANO NOVO'!$C200),'ANO NOVO'!$D200="FOLGA"),'ANO NOVO'!$A200&amp;"","")</f>
        <v/>
      </c>
      <c r="C800" s="0" t="str">
        <f aca="false">IF(AND(ISNUMBER('ANO NOVO'!$C200),'ANO NOVO'!$D200="FOLGA"),'ANO NOVO'!$B200&amp;"","")</f>
        <v/>
      </c>
      <c r="D800" s="78" t="str">
        <f aca="false">IF(AND(ISNUMBER('ANO NOVO'!$C200),'ANO NOVO'!$D200="FOLGA"),'ANO NOVO'!$C200,"")</f>
        <v/>
      </c>
      <c r="E800" s="0" t="str">
        <f aca="false">IF(AND(ISNUMBER('ANO NOVO'!$C200),'ANO NOVO'!$D200="FOLGA"),'ANO NOVO'!$E200&amp;"","")</f>
        <v/>
      </c>
      <c r="F800" s="0" t="str">
        <f aca="false">IF(AND(ISNUMBER('ANO NOVO'!$C200),'ANO NOVO'!$D200="FOLGA"),'ANO NOVO'!$F200&amp;"","")</f>
        <v/>
      </c>
      <c r="G800" s="0" t="str">
        <f aca="true">IF(D800="","",IF(D800=TODAY(),D800+ROW()/100000,""))</f>
        <v/>
      </c>
      <c r="H800" s="0" t="str">
        <f aca="true">IF(D800="","",IF(AND(D800&gt;TODAY(),D800&lt;=TODAY()+7),D800+ROW()/100000,""))</f>
        <v/>
      </c>
      <c r="I800" s="0" t="str">
        <f aca="false">IF(D800="","",IF(D800=CALENDÁRIO!$L$4,ROW(),""))</f>
        <v/>
      </c>
      <c r="J800" s="0" t="str">
        <f aca="false">IF(D800="","",CHOOSE(WEEKDAY(D800),"Domingo","Segunda","Terça","Quarta","Quinta","Sexta","Sábado"))</f>
        <v/>
      </c>
    </row>
    <row r="801" customFormat="false" ht="15" hidden="false" customHeight="false" outlineLevel="0" collapsed="false">
      <c r="A801" s="0" t="str">
        <f aca="false">IF(AND(ISNUMBER('ANO NOVO'!$C201),'ANO NOVO'!$D201="FOLGA"),"Folga Ano Novo","")</f>
        <v/>
      </c>
      <c r="B801" s="0" t="str">
        <f aca="false">IF(AND(ISNUMBER('ANO NOVO'!$C201),'ANO NOVO'!$D201="FOLGA"),'ANO NOVO'!$A201&amp;"","")</f>
        <v/>
      </c>
      <c r="C801" s="0" t="str">
        <f aca="false">IF(AND(ISNUMBER('ANO NOVO'!$C201),'ANO NOVO'!$D201="FOLGA"),'ANO NOVO'!$B201&amp;"","")</f>
        <v/>
      </c>
      <c r="D801" s="78" t="str">
        <f aca="false">IF(AND(ISNUMBER('ANO NOVO'!$C201),'ANO NOVO'!$D201="FOLGA"),'ANO NOVO'!$C201,"")</f>
        <v/>
      </c>
      <c r="E801" s="0" t="str">
        <f aca="false">IF(AND(ISNUMBER('ANO NOVO'!$C201),'ANO NOVO'!$D201="FOLGA"),'ANO NOVO'!$E201&amp;"","")</f>
        <v/>
      </c>
      <c r="F801" s="0" t="str">
        <f aca="false">IF(AND(ISNUMBER('ANO NOVO'!$C201),'ANO NOVO'!$D201="FOLGA"),'ANO NOVO'!$F201&amp;"","")</f>
        <v/>
      </c>
      <c r="G801" s="0" t="str">
        <f aca="true">IF(D801="","",IF(D801=TODAY(),D801+ROW()/100000,""))</f>
        <v/>
      </c>
      <c r="H801" s="0" t="str">
        <f aca="true">IF(D801="","",IF(AND(D801&gt;TODAY(),D801&lt;=TODAY()+7),D801+ROW()/100000,""))</f>
        <v/>
      </c>
      <c r="I801" s="0" t="str">
        <f aca="false">IF(D801="","",IF(D801=CALENDÁRIO!$L$4,ROW(),""))</f>
        <v/>
      </c>
      <c r="J801" s="0" t="str">
        <f aca="false">IF(D801="","",CHOOSE(WEEKDAY(D801),"Domingo","Segunda","Terça","Quarta","Quinta","Sexta","Sábado"))</f>
        <v/>
      </c>
    </row>
    <row r="802" customFormat="false" ht="15" hidden="false" customHeight="false" outlineLevel="0" collapsed="false">
      <c r="A802" s="0" t="str">
        <f aca="false">IF(AND(ISNUMBER('ANO NOVO'!$C202),'ANO NOVO'!$D202="FOLGA"),"Folga Ano Novo","")</f>
        <v/>
      </c>
      <c r="B802" s="0" t="str">
        <f aca="false">IF(AND(ISNUMBER('ANO NOVO'!$C202),'ANO NOVO'!$D202="FOLGA"),'ANO NOVO'!$A202&amp;"","")</f>
        <v/>
      </c>
      <c r="C802" s="0" t="str">
        <f aca="false">IF(AND(ISNUMBER('ANO NOVO'!$C202),'ANO NOVO'!$D202="FOLGA"),'ANO NOVO'!$B202&amp;"","")</f>
        <v/>
      </c>
      <c r="D802" s="78" t="str">
        <f aca="false">IF(AND(ISNUMBER('ANO NOVO'!$C202),'ANO NOVO'!$D202="FOLGA"),'ANO NOVO'!$C202,"")</f>
        <v/>
      </c>
      <c r="E802" s="0" t="str">
        <f aca="false">IF(AND(ISNUMBER('ANO NOVO'!$C202),'ANO NOVO'!$D202="FOLGA"),'ANO NOVO'!$E202&amp;"","")</f>
        <v/>
      </c>
      <c r="F802" s="0" t="str">
        <f aca="false">IF(AND(ISNUMBER('ANO NOVO'!$C202),'ANO NOVO'!$D202="FOLGA"),'ANO NOVO'!$F202&amp;"","")</f>
        <v/>
      </c>
      <c r="G802" s="0" t="str">
        <f aca="true">IF(D802="","",IF(D802=TODAY(),D802+ROW()/100000,""))</f>
        <v/>
      </c>
      <c r="H802" s="0" t="str">
        <f aca="true">IF(D802="","",IF(AND(D802&gt;TODAY(),D802&lt;=TODAY()+7),D802+ROW()/100000,""))</f>
        <v/>
      </c>
      <c r="I802" s="0" t="str">
        <f aca="false">IF(D802="","",IF(D802=CALENDÁRIO!$L$4,ROW(),""))</f>
        <v/>
      </c>
      <c r="J802" s="0" t="str">
        <f aca="false">IF(D802="","",CHOOSE(WEEKDAY(D802),"Domingo","Segunda","Terça","Quarta","Quinta","Sexta","Sábado"))</f>
        <v/>
      </c>
    </row>
    <row r="803" customFormat="false" ht="15" hidden="false" customHeight="false" outlineLevel="0" collapsed="false">
      <c r="A803" s="0" t="str">
        <f aca="false">IF(AND(ISNUMBER('ANO NOVO'!$C203),'ANO NOVO'!$D203="FOLGA"),"Folga Ano Novo","")</f>
        <v/>
      </c>
      <c r="B803" s="0" t="str">
        <f aca="false">IF(AND(ISNUMBER('ANO NOVO'!$C203),'ANO NOVO'!$D203="FOLGA"),'ANO NOVO'!$A203&amp;"","")</f>
        <v/>
      </c>
      <c r="C803" s="0" t="str">
        <f aca="false">IF(AND(ISNUMBER('ANO NOVO'!$C203),'ANO NOVO'!$D203="FOLGA"),'ANO NOVO'!$B203&amp;"","")</f>
        <v/>
      </c>
      <c r="D803" s="78" t="str">
        <f aca="false">IF(AND(ISNUMBER('ANO NOVO'!$C203),'ANO NOVO'!$D203="FOLGA"),'ANO NOVO'!$C203,"")</f>
        <v/>
      </c>
      <c r="E803" s="0" t="str">
        <f aca="false">IF(AND(ISNUMBER('ANO NOVO'!$C203),'ANO NOVO'!$D203="FOLGA"),'ANO NOVO'!$E203&amp;"","")</f>
        <v/>
      </c>
      <c r="F803" s="0" t="str">
        <f aca="false">IF(AND(ISNUMBER('ANO NOVO'!$C203),'ANO NOVO'!$D203="FOLGA"),'ANO NOVO'!$F203&amp;"","")</f>
        <v/>
      </c>
      <c r="G803" s="0" t="str">
        <f aca="true">IF(D803="","",IF(D803=TODAY(),D803+ROW()/100000,""))</f>
        <v/>
      </c>
      <c r="H803" s="0" t="str">
        <f aca="true">IF(D803="","",IF(AND(D803&gt;TODAY(),D803&lt;=TODAY()+7),D803+ROW()/100000,""))</f>
        <v/>
      </c>
      <c r="I803" s="0" t="str">
        <f aca="false">IF(D803="","",IF(D803=CALENDÁRIO!$L$4,ROW(),""))</f>
        <v/>
      </c>
      <c r="J803" s="0" t="str">
        <f aca="false">IF(D803="","",CHOOSE(WEEKDAY(D803),"Domingo","Segunda","Terça","Quarta","Quinta","Sexta","Sábado"))</f>
        <v/>
      </c>
    </row>
    <row r="804" customFormat="false" ht="15" hidden="false" customHeight="false" outlineLevel="0" collapsed="false">
      <c r="A804" s="0" t="str">
        <f aca="false">IF(AND(ISNUMBER('ANO NOVO'!$C204),'ANO NOVO'!$D204="FOLGA"),"Folga Ano Novo","")</f>
        <v/>
      </c>
      <c r="B804" s="0" t="str">
        <f aca="false">IF(AND(ISNUMBER('ANO NOVO'!$C204),'ANO NOVO'!$D204="FOLGA"),'ANO NOVO'!$A204&amp;"","")</f>
        <v/>
      </c>
      <c r="C804" s="0" t="str">
        <f aca="false">IF(AND(ISNUMBER('ANO NOVO'!$C204),'ANO NOVO'!$D204="FOLGA"),'ANO NOVO'!$B204&amp;"","")</f>
        <v/>
      </c>
      <c r="D804" s="78" t="str">
        <f aca="false">IF(AND(ISNUMBER('ANO NOVO'!$C204),'ANO NOVO'!$D204="FOLGA"),'ANO NOVO'!$C204,"")</f>
        <v/>
      </c>
      <c r="E804" s="0" t="str">
        <f aca="false">IF(AND(ISNUMBER('ANO NOVO'!$C204),'ANO NOVO'!$D204="FOLGA"),'ANO NOVO'!$E204&amp;"","")</f>
        <v/>
      </c>
      <c r="F804" s="0" t="str">
        <f aca="false">IF(AND(ISNUMBER('ANO NOVO'!$C204),'ANO NOVO'!$D204="FOLGA"),'ANO NOVO'!$F204&amp;"","")</f>
        <v/>
      </c>
      <c r="G804" s="0" t="str">
        <f aca="true">IF(D804="","",IF(D804=TODAY(),D804+ROW()/100000,""))</f>
        <v/>
      </c>
      <c r="H804" s="0" t="str">
        <f aca="true">IF(D804="","",IF(AND(D804&gt;TODAY(),D804&lt;=TODAY()+7),D804+ROW()/100000,""))</f>
        <v/>
      </c>
      <c r="I804" s="0" t="str">
        <f aca="false">IF(D804="","",IF(D804=CALENDÁRIO!$L$4,ROW(),""))</f>
        <v/>
      </c>
      <c r="J804" s="0" t="str">
        <f aca="false">IF(D804="","",CHOOSE(WEEKDAY(D804),"Domingo","Segunda","Terça","Quarta","Quinta","Sexta","Sábado"))</f>
        <v/>
      </c>
    </row>
    <row r="805" customFormat="false" ht="15" hidden="false" customHeight="false" outlineLevel="0" collapsed="false">
      <c r="A805" s="0" t="str">
        <f aca="false">IF(AND(ISNUMBER('ANO NOVO'!$C205),'ANO NOVO'!$D205="FOLGA"),"Folga Ano Novo","")</f>
        <v/>
      </c>
      <c r="B805" s="0" t="str">
        <f aca="false">IF(AND(ISNUMBER('ANO NOVO'!$C205),'ANO NOVO'!$D205="FOLGA"),'ANO NOVO'!$A205&amp;"","")</f>
        <v/>
      </c>
      <c r="C805" s="0" t="str">
        <f aca="false">IF(AND(ISNUMBER('ANO NOVO'!$C205),'ANO NOVO'!$D205="FOLGA"),'ANO NOVO'!$B205&amp;"","")</f>
        <v/>
      </c>
      <c r="D805" s="78" t="str">
        <f aca="false">IF(AND(ISNUMBER('ANO NOVO'!$C205),'ANO NOVO'!$D205="FOLGA"),'ANO NOVO'!$C205,"")</f>
        <v/>
      </c>
      <c r="E805" s="0" t="str">
        <f aca="false">IF(AND(ISNUMBER('ANO NOVO'!$C205),'ANO NOVO'!$D205="FOLGA"),'ANO NOVO'!$E205&amp;"","")</f>
        <v/>
      </c>
      <c r="F805" s="0" t="str">
        <f aca="false">IF(AND(ISNUMBER('ANO NOVO'!$C205),'ANO NOVO'!$D205="FOLGA"),'ANO NOVO'!$F205&amp;"","")</f>
        <v/>
      </c>
      <c r="G805" s="0" t="str">
        <f aca="true">IF(D805="","",IF(D805=TODAY(),D805+ROW()/100000,""))</f>
        <v/>
      </c>
      <c r="H805" s="0" t="str">
        <f aca="true">IF(D805="","",IF(AND(D805&gt;TODAY(),D805&lt;=TODAY()+7),D805+ROW()/100000,""))</f>
        <v/>
      </c>
      <c r="I805" s="0" t="str">
        <f aca="false">IF(D805="","",IF(D805=CALENDÁRIO!$L$4,ROW(),""))</f>
        <v/>
      </c>
      <c r="J805" s="0" t="str">
        <f aca="false">IF(D805="","",CHOOSE(WEEKDAY(D805),"Domingo","Segunda","Terça","Quarta","Quinta","Sexta","Sábado"))</f>
        <v/>
      </c>
    </row>
    <row r="806" customFormat="false" ht="15" hidden="false" customHeight="false" outlineLevel="0" collapsed="false">
      <c r="A806" s="0" t="str">
        <f aca="false">IF(AND(ISNUMBER('ANO NOVO'!$C206),'ANO NOVO'!$D206="FOLGA"),"Folga Ano Novo","")</f>
        <v/>
      </c>
      <c r="B806" s="0" t="str">
        <f aca="false">IF(AND(ISNUMBER('ANO NOVO'!$C206),'ANO NOVO'!$D206="FOLGA"),'ANO NOVO'!$A206&amp;"","")</f>
        <v/>
      </c>
      <c r="C806" s="0" t="str">
        <f aca="false">IF(AND(ISNUMBER('ANO NOVO'!$C206),'ANO NOVO'!$D206="FOLGA"),'ANO NOVO'!$B206&amp;"","")</f>
        <v/>
      </c>
      <c r="D806" s="78" t="str">
        <f aca="false">IF(AND(ISNUMBER('ANO NOVO'!$C206),'ANO NOVO'!$D206="FOLGA"),'ANO NOVO'!$C206,"")</f>
        <v/>
      </c>
      <c r="E806" s="0" t="str">
        <f aca="false">IF(AND(ISNUMBER('ANO NOVO'!$C206),'ANO NOVO'!$D206="FOLGA"),'ANO NOVO'!$E206&amp;"","")</f>
        <v/>
      </c>
      <c r="F806" s="0" t="str">
        <f aca="false">IF(AND(ISNUMBER('ANO NOVO'!$C206),'ANO NOVO'!$D206="FOLGA"),'ANO NOVO'!$F206&amp;"","")</f>
        <v/>
      </c>
      <c r="G806" s="0" t="str">
        <f aca="true">IF(D806="","",IF(D806=TODAY(),D806+ROW()/100000,""))</f>
        <v/>
      </c>
      <c r="H806" s="0" t="str">
        <f aca="true">IF(D806="","",IF(AND(D806&gt;TODAY(),D806&lt;=TODAY()+7),D806+ROW()/100000,""))</f>
        <v/>
      </c>
      <c r="I806" s="0" t="str">
        <f aca="false">IF(D806="","",IF(D806=CALENDÁRIO!$L$4,ROW(),""))</f>
        <v/>
      </c>
      <c r="J806" s="0" t="str">
        <f aca="false">IF(D806="","",CHOOSE(WEEKDAY(D806),"Domingo","Segunda","Terça","Quarta","Quinta","Sexta","Sábado"))</f>
        <v/>
      </c>
    </row>
    <row r="807" customFormat="false" ht="15" hidden="false" customHeight="false" outlineLevel="0" collapsed="false">
      <c r="A807" s="0" t="str">
        <f aca="false">IF(AND(ISNUMBER('ANO NOVO'!$C207),'ANO NOVO'!$D207="FOLGA"),"Folga Ano Novo","")</f>
        <v/>
      </c>
      <c r="B807" s="0" t="str">
        <f aca="false">IF(AND(ISNUMBER('ANO NOVO'!$C207),'ANO NOVO'!$D207="FOLGA"),'ANO NOVO'!$A207&amp;"","")</f>
        <v/>
      </c>
      <c r="C807" s="0" t="str">
        <f aca="false">IF(AND(ISNUMBER('ANO NOVO'!$C207),'ANO NOVO'!$D207="FOLGA"),'ANO NOVO'!$B207&amp;"","")</f>
        <v/>
      </c>
      <c r="D807" s="78" t="str">
        <f aca="false">IF(AND(ISNUMBER('ANO NOVO'!$C207),'ANO NOVO'!$D207="FOLGA"),'ANO NOVO'!$C207,"")</f>
        <v/>
      </c>
      <c r="E807" s="0" t="str">
        <f aca="false">IF(AND(ISNUMBER('ANO NOVO'!$C207),'ANO NOVO'!$D207="FOLGA"),'ANO NOVO'!$E207&amp;"","")</f>
        <v/>
      </c>
      <c r="F807" s="0" t="str">
        <f aca="false">IF(AND(ISNUMBER('ANO NOVO'!$C207),'ANO NOVO'!$D207="FOLGA"),'ANO NOVO'!$F207&amp;"","")</f>
        <v/>
      </c>
      <c r="G807" s="0" t="str">
        <f aca="true">IF(D807="","",IF(D807=TODAY(),D807+ROW()/100000,""))</f>
        <v/>
      </c>
      <c r="H807" s="0" t="str">
        <f aca="true">IF(D807="","",IF(AND(D807&gt;TODAY(),D807&lt;=TODAY()+7),D807+ROW()/100000,""))</f>
        <v/>
      </c>
      <c r="I807" s="0" t="str">
        <f aca="false">IF(D807="","",IF(D807=CALENDÁRIO!$L$4,ROW(),""))</f>
        <v/>
      </c>
      <c r="J807" s="0" t="str">
        <f aca="false">IF(D807="","",CHOOSE(WEEKDAY(D807),"Domingo","Segunda","Terça","Quarta","Quinta","Sexta","Sábado"))</f>
        <v/>
      </c>
    </row>
    <row r="808" customFormat="false" ht="15" hidden="false" customHeight="false" outlineLevel="0" collapsed="false">
      <c r="A808" s="0" t="str">
        <f aca="false">IF(AND(ISNUMBER('ANO NOVO'!$C208),'ANO NOVO'!$D208="FOLGA"),"Folga Ano Novo","")</f>
        <v/>
      </c>
      <c r="B808" s="0" t="str">
        <f aca="false">IF(AND(ISNUMBER('ANO NOVO'!$C208),'ANO NOVO'!$D208="FOLGA"),'ANO NOVO'!$A208&amp;"","")</f>
        <v/>
      </c>
      <c r="C808" s="0" t="str">
        <f aca="false">IF(AND(ISNUMBER('ANO NOVO'!$C208),'ANO NOVO'!$D208="FOLGA"),'ANO NOVO'!$B208&amp;"","")</f>
        <v/>
      </c>
      <c r="D808" s="78" t="str">
        <f aca="false">IF(AND(ISNUMBER('ANO NOVO'!$C208),'ANO NOVO'!$D208="FOLGA"),'ANO NOVO'!$C208,"")</f>
        <v/>
      </c>
      <c r="E808" s="0" t="str">
        <f aca="false">IF(AND(ISNUMBER('ANO NOVO'!$C208),'ANO NOVO'!$D208="FOLGA"),'ANO NOVO'!$E208&amp;"","")</f>
        <v/>
      </c>
      <c r="F808" s="0" t="str">
        <f aca="false">IF(AND(ISNUMBER('ANO NOVO'!$C208),'ANO NOVO'!$D208="FOLGA"),'ANO NOVO'!$F208&amp;"","")</f>
        <v/>
      </c>
      <c r="G808" s="0" t="str">
        <f aca="true">IF(D808="","",IF(D808=TODAY(),D808+ROW()/100000,""))</f>
        <v/>
      </c>
      <c r="H808" s="0" t="str">
        <f aca="true">IF(D808="","",IF(AND(D808&gt;TODAY(),D808&lt;=TODAY()+7),D808+ROW()/100000,""))</f>
        <v/>
      </c>
      <c r="I808" s="0" t="str">
        <f aca="false">IF(D808="","",IF(D808=CALENDÁRIO!$L$4,ROW(),""))</f>
        <v/>
      </c>
      <c r="J808" s="0" t="str">
        <f aca="false">IF(D808="","",CHOOSE(WEEKDAY(D808),"Domingo","Segunda","Terça","Quarta","Quinta","Sexta","Sábado"))</f>
        <v/>
      </c>
    </row>
    <row r="809" customFormat="false" ht="15" hidden="false" customHeight="false" outlineLevel="0" collapsed="false">
      <c r="A809" s="0" t="str">
        <f aca="false">IF(AND(ISNUMBER('ANO NOVO'!$C209),'ANO NOVO'!$D209="FOLGA"),"Folga Ano Novo","")</f>
        <v/>
      </c>
      <c r="B809" s="0" t="str">
        <f aca="false">IF(AND(ISNUMBER('ANO NOVO'!$C209),'ANO NOVO'!$D209="FOLGA"),'ANO NOVO'!$A209&amp;"","")</f>
        <v/>
      </c>
      <c r="C809" s="0" t="str">
        <f aca="false">IF(AND(ISNUMBER('ANO NOVO'!$C209),'ANO NOVO'!$D209="FOLGA"),'ANO NOVO'!$B209&amp;"","")</f>
        <v/>
      </c>
      <c r="D809" s="78" t="str">
        <f aca="false">IF(AND(ISNUMBER('ANO NOVO'!$C209),'ANO NOVO'!$D209="FOLGA"),'ANO NOVO'!$C209,"")</f>
        <v/>
      </c>
      <c r="E809" s="0" t="str">
        <f aca="false">IF(AND(ISNUMBER('ANO NOVO'!$C209),'ANO NOVO'!$D209="FOLGA"),'ANO NOVO'!$E209&amp;"","")</f>
        <v/>
      </c>
      <c r="F809" s="0" t="str">
        <f aca="false">IF(AND(ISNUMBER('ANO NOVO'!$C209),'ANO NOVO'!$D209="FOLGA"),'ANO NOVO'!$F209&amp;"","")</f>
        <v/>
      </c>
      <c r="G809" s="0" t="str">
        <f aca="true">IF(D809="","",IF(D809=TODAY(),D809+ROW()/100000,""))</f>
        <v/>
      </c>
      <c r="H809" s="0" t="str">
        <f aca="true">IF(D809="","",IF(AND(D809&gt;TODAY(),D809&lt;=TODAY()+7),D809+ROW()/100000,""))</f>
        <v/>
      </c>
      <c r="I809" s="0" t="str">
        <f aca="false">IF(D809="","",IF(D809=CALENDÁRIO!$L$4,ROW(),""))</f>
        <v/>
      </c>
      <c r="J809" s="0" t="str">
        <f aca="false">IF(D809="","",CHOOSE(WEEKDAY(D809),"Domingo","Segunda","Terça","Quarta","Quinta","Sexta","Sábado"))</f>
        <v/>
      </c>
    </row>
    <row r="810" customFormat="false" ht="15" hidden="false" customHeight="false" outlineLevel="0" collapsed="false">
      <c r="A810" s="0" t="str">
        <f aca="false">IF(AND(ISNUMBER('ANO NOVO'!$C210),'ANO NOVO'!$D210="FOLGA"),"Folga Ano Novo","")</f>
        <v/>
      </c>
      <c r="B810" s="0" t="str">
        <f aca="false">IF(AND(ISNUMBER('ANO NOVO'!$C210),'ANO NOVO'!$D210="FOLGA"),'ANO NOVO'!$A210&amp;"","")</f>
        <v/>
      </c>
      <c r="C810" s="0" t="str">
        <f aca="false">IF(AND(ISNUMBER('ANO NOVO'!$C210),'ANO NOVO'!$D210="FOLGA"),'ANO NOVO'!$B210&amp;"","")</f>
        <v/>
      </c>
      <c r="D810" s="78" t="str">
        <f aca="false">IF(AND(ISNUMBER('ANO NOVO'!$C210),'ANO NOVO'!$D210="FOLGA"),'ANO NOVO'!$C210,"")</f>
        <v/>
      </c>
      <c r="E810" s="0" t="str">
        <f aca="false">IF(AND(ISNUMBER('ANO NOVO'!$C210),'ANO NOVO'!$D210="FOLGA"),'ANO NOVO'!$E210&amp;"","")</f>
        <v/>
      </c>
      <c r="F810" s="0" t="str">
        <f aca="false">IF(AND(ISNUMBER('ANO NOVO'!$C210),'ANO NOVO'!$D210="FOLGA"),'ANO NOVO'!$F210&amp;"","")</f>
        <v/>
      </c>
      <c r="G810" s="0" t="str">
        <f aca="true">IF(D810="","",IF(D810=TODAY(),D810+ROW()/100000,""))</f>
        <v/>
      </c>
      <c r="H810" s="0" t="str">
        <f aca="true">IF(D810="","",IF(AND(D810&gt;TODAY(),D810&lt;=TODAY()+7),D810+ROW()/100000,""))</f>
        <v/>
      </c>
      <c r="I810" s="0" t="str">
        <f aca="false">IF(D810="","",IF(D810=CALENDÁRIO!$L$4,ROW(),""))</f>
        <v/>
      </c>
      <c r="J810" s="0" t="str">
        <f aca="false">IF(D810="","",CHOOSE(WEEKDAY(D810),"Domingo","Segunda","Terça","Quarta","Quinta","Sexta","Sábado"))</f>
        <v/>
      </c>
    </row>
    <row r="811" customFormat="false" ht="15" hidden="false" customHeight="false" outlineLevel="0" collapsed="false">
      <c r="A811" s="0" t="str">
        <f aca="false">IF(AND(ISNUMBER('ANO NOVO'!$C211),'ANO NOVO'!$D211="FOLGA"),"Folga Ano Novo","")</f>
        <v/>
      </c>
      <c r="B811" s="0" t="str">
        <f aca="false">IF(AND(ISNUMBER('ANO NOVO'!$C211),'ANO NOVO'!$D211="FOLGA"),'ANO NOVO'!$A211&amp;"","")</f>
        <v/>
      </c>
      <c r="C811" s="0" t="str">
        <f aca="false">IF(AND(ISNUMBER('ANO NOVO'!$C211),'ANO NOVO'!$D211="FOLGA"),'ANO NOVO'!$B211&amp;"","")</f>
        <v/>
      </c>
      <c r="D811" s="78" t="str">
        <f aca="false">IF(AND(ISNUMBER('ANO NOVO'!$C211),'ANO NOVO'!$D211="FOLGA"),'ANO NOVO'!$C211,"")</f>
        <v/>
      </c>
      <c r="E811" s="0" t="str">
        <f aca="false">IF(AND(ISNUMBER('ANO NOVO'!$C211),'ANO NOVO'!$D211="FOLGA"),'ANO NOVO'!$E211&amp;"","")</f>
        <v/>
      </c>
      <c r="F811" s="0" t="str">
        <f aca="false">IF(AND(ISNUMBER('ANO NOVO'!$C211),'ANO NOVO'!$D211="FOLGA"),'ANO NOVO'!$F211&amp;"","")</f>
        <v/>
      </c>
      <c r="G811" s="0" t="str">
        <f aca="true">IF(D811="","",IF(D811=TODAY(),D811+ROW()/100000,""))</f>
        <v/>
      </c>
      <c r="H811" s="0" t="str">
        <f aca="true">IF(D811="","",IF(AND(D811&gt;TODAY(),D811&lt;=TODAY()+7),D811+ROW()/100000,""))</f>
        <v/>
      </c>
      <c r="I811" s="0" t="str">
        <f aca="false">IF(D811="","",IF(D811=CALENDÁRIO!$L$4,ROW(),""))</f>
        <v/>
      </c>
      <c r="J811" s="0" t="str">
        <f aca="false">IF(D811="","",CHOOSE(WEEKDAY(D811),"Domingo","Segunda","Terça","Quarta","Quinta","Sexta","Sábado"))</f>
        <v/>
      </c>
    </row>
    <row r="812" customFormat="false" ht="15" hidden="false" customHeight="false" outlineLevel="0" collapsed="false">
      <c r="A812" s="0" t="str">
        <f aca="false">IF(AND(ISNUMBER('ANO NOVO'!$C212),'ANO NOVO'!$D212="FOLGA"),"Folga Ano Novo","")</f>
        <v/>
      </c>
      <c r="B812" s="0" t="str">
        <f aca="false">IF(AND(ISNUMBER('ANO NOVO'!$C212),'ANO NOVO'!$D212="FOLGA"),'ANO NOVO'!$A212&amp;"","")</f>
        <v/>
      </c>
      <c r="C812" s="0" t="str">
        <f aca="false">IF(AND(ISNUMBER('ANO NOVO'!$C212),'ANO NOVO'!$D212="FOLGA"),'ANO NOVO'!$B212&amp;"","")</f>
        <v/>
      </c>
      <c r="D812" s="78" t="str">
        <f aca="false">IF(AND(ISNUMBER('ANO NOVO'!$C212),'ANO NOVO'!$D212="FOLGA"),'ANO NOVO'!$C212,"")</f>
        <v/>
      </c>
      <c r="E812" s="0" t="str">
        <f aca="false">IF(AND(ISNUMBER('ANO NOVO'!$C212),'ANO NOVO'!$D212="FOLGA"),'ANO NOVO'!$E212&amp;"","")</f>
        <v/>
      </c>
      <c r="F812" s="0" t="str">
        <f aca="false">IF(AND(ISNUMBER('ANO NOVO'!$C212),'ANO NOVO'!$D212="FOLGA"),'ANO NOVO'!$F212&amp;"","")</f>
        <v/>
      </c>
      <c r="G812" s="0" t="str">
        <f aca="true">IF(D812="","",IF(D812=TODAY(),D812+ROW()/100000,""))</f>
        <v/>
      </c>
      <c r="H812" s="0" t="str">
        <f aca="true">IF(D812="","",IF(AND(D812&gt;TODAY(),D812&lt;=TODAY()+7),D812+ROW()/100000,""))</f>
        <v/>
      </c>
      <c r="I812" s="0" t="str">
        <f aca="false">IF(D812="","",IF(D812=CALENDÁRIO!$L$4,ROW(),""))</f>
        <v/>
      </c>
      <c r="J812" s="0" t="str">
        <f aca="false">IF(D812="","",CHOOSE(WEEKDAY(D812),"Domingo","Segunda","Terça","Quarta","Quinta","Sexta","Sábado"))</f>
        <v/>
      </c>
    </row>
    <row r="813" customFormat="false" ht="15" hidden="false" customHeight="false" outlineLevel="0" collapsed="false">
      <c r="A813" s="0" t="str">
        <f aca="false">IF(AND(ISNUMBER('ANO NOVO'!$C213),'ANO NOVO'!$D213="FOLGA"),"Folga Ano Novo","")</f>
        <v/>
      </c>
      <c r="B813" s="0" t="str">
        <f aca="false">IF(AND(ISNUMBER('ANO NOVO'!$C213),'ANO NOVO'!$D213="FOLGA"),'ANO NOVO'!$A213&amp;"","")</f>
        <v/>
      </c>
      <c r="C813" s="0" t="str">
        <f aca="false">IF(AND(ISNUMBER('ANO NOVO'!$C213),'ANO NOVO'!$D213="FOLGA"),'ANO NOVO'!$B213&amp;"","")</f>
        <v/>
      </c>
      <c r="D813" s="78" t="str">
        <f aca="false">IF(AND(ISNUMBER('ANO NOVO'!$C213),'ANO NOVO'!$D213="FOLGA"),'ANO NOVO'!$C213,"")</f>
        <v/>
      </c>
      <c r="E813" s="0" t="str">
        <f aca="false">IF(AND(ISNUMBER('ANO NOVO'!$C213),'ANO NOVO'!$D213="FOLGA"),'ANO NOVO'!$E213&amp;"","")</f>
        <v/>
      </c>
      <c r="F813" s="0" t="str">
        <f aca="false">IF(AND(ISNUMBER('ANO NOVO'!$C213),'ANO NOVO'!$D213="FOLGA"),'ANO NOVO'!$F213&amp;"","")</f>
        <v/>
      </c>
      <c r="G813" s="0" t="str">
        <f aca="true">IF(D813="","",IF(D813=TODAY(),D813+ROW()/100000,""))</f>
        <v/>
      </c>
      <c r="H813" s="0" t="str">
        <f aca="true">IF(D813="","",IF(AND(D813&gt;TODAY(),D813&lt;=TODAY()+7),D813+ROW()/100000,""))</f>
        <v/>
      </c>
      <c r="I813" s="0" t="str">
        <f aca="false">IF(D813="","",IF(D813=CALENDÁRIO!$L$4,ROW(),""))</f>
        <v/>
      </c>
      <c r="J813" s="0" t="str">
        <f aca="false">IF(D813="","",CHOOSE(WEEKDAY(D813),"Domingo","Segunda","Terça","Quarta","Quinta","Sexta","Sábado"))</f>
        <v/>
      </c>
    </row>
    <row r="814" customFormat="false" ht="15" hidden="false" customHeight="false" outlineLevel="0" collapsed="false">
      <c r="A814" s="0" t="str">
        <f aca="false">IF(AND(ISNUMBER('ANO NOVO'!$C214),'ANO NOVO'!$D214="FOLGA"),"Folga Ano Novo","")</f>
        <v/>
      </c>
      <c r="B814" s="0" t="str">
        <f aca="false">IF(AND(ISNUMBER('ANO NOVO'!$C214),'ANO NOVO'!$D214="FOLGA"),'ANO NOVO'!$A214&amp;"","")</f>
        <v/>
      </c>
      <c r="C814" s="0" t="str">
        <f aca="false">IF(AND(ISNUMBER('ANO NOVO'!$C214),'ANO NOVO'!$D214="FOLGA"),'ANO NOVO'!$B214&amp;"","")</f>
        <v/>
      </c>
      <c r="D814" s="78" t="str">
        <f aca="false">IF(AND(ISNUMBER('ANO NOVO'!$C214),'ANO NOVO'!$D214="FOLGA"),'ANO NOVO'!$C214,"")</f>
        <v/>
      </c>
      <c r="E814" s="0" t="str">
        <f aca="false">IF(AND(ISNUMBER('ANO NOVO'!$C214),'ANO NOVO'!$D214="FOLGA"),'ANO NOVO'!$E214&amp;"","")</f>
        <v/>
      </c>
      <c r="F814" s="0" t="str">
        <f aca="false">IF(AND(ISNUMBER('ANO NOVO'!$C214),'ANO NOVO'!$D214="FOLGA"),'ANO NOVO'!$F214&amp;"","")</f>
        <v/>
      </c>
      <c r="G814" s="0" t="str">
        <f aca="true">IF(D814="","",IF(D814=TODAY(),D814+ROW()/100000,""))</f>
        <v/>
      </c>
      <c r="H814" s="0" t="str">
        <f aca="true">IF(D814="","",IF(AND(D814&gt;TODAY(),D814&lt;=TODAY()+7),D814+ROW()/100000,""))</f>
        <v/>
      </c>
      <c r="I814" s="0" t="str">
        <f aca="false">IF(D814="","",IF(D814=CALENDÁRIO!$L$4,ROW(),""))</f>
        <v/>
      </c>
      <c r="J814" s="0" t="str">
        <f aca="false">IF(D814="","",CHOOSE(WEEKDAY(D814),"Domingo","Segunda","Terça","Quarta","Quinta","Sexta","Sábado"))</f>
        <v/>
      </c>
    </row>
    <row r="815" customFormat="false" ht="15" hidden="false" customHeight="false" outlineLevel="0" collapsed="false">
      <c r="A815" s="0" t="str">
        <f aca="false">IF(AND(ISNUMBER('ANO NOVO'!$C215),'ANO NOVO'!$D215="FOLGA"),"Folga Ano Novo","")</f>
        <v/>
      </c>
      <c r="B815" s="0" t="str">
        <f aca="false">IF(AND(ISNUMBER('ANO NOVO'!$C215),'ANO NOVO'!$D215="FOLGA"),'ANO NOVO'!$A215&amp;"","")</f>
        <v/>
      </c>
      <c r="C815" s="0" t="str">
        <f aca="false">IF(AND(ISNUMBER('ANO NOVO'!$C215),'ANO NOVO'!$D215="FOLGA"),'ANO NOVO'!$B215&amp;"","")</f>
        <v/>
      </c>
      <c r="D815" s="78" t="str">
        <f aca="false">IF(AND(ISNUMBER('ANO NOVO'!$C215),'ANO NOVO'!$D215="FOLGA"),'ANO NOVO'!$C215,"")</f>
        <v/>
      </c>
      <c r="E815" s="0" t="str">
        <f aca="false">IF(AND(ISNUMBER('ANO NOVO'!$C215),'ANO NOVO'!$D215="FOLGA"),'ANO NOVO'!$E215&amp;"","")</f>
        <v/>
      </c>
      <c r="F815" s="0" t="str">
        <f aca="false">IF(AND(ISNUMBER('ANO NOVO'!$C215),'ANO NOVO'!$D215="FOLGA"),'ANO NOVO'!$F215&amp;"","")</f>
        <v/>
      </c>
      <c r="G815" s="0" t="str">
        <f aca="true">IF(D815="","",IF(D815=TODAY(),D815+ROW()/100000,""))</f>
        <v/>
      </c>
      <c r="H815" s="0" t="str">
        <f aca="true">IF(D815="","",IF(AND(D815&gt;TODAY(),D815&lt;=TODAY()+7),D815+ROW()/100000,""))</f>
        <v/>
      </c>
      <c r="I815" s="0" t="str">
        <f aca="false">IF(D815="","",IF(D815=CALENDÁRIO!$L$4,ROW(),""))</f>
        <v/>
      </c>
      <c r="J815" s="0" t="str">
        <f aca="false">IF(D815="","",CHOOSE(WEEKDAY(D815),"Domingo","Segunda","Terça","Quarta","Quinta","Sexta","Sábado"))</f>
        <v/>
      </c>
    </row>
    <row r="816" customFormat="false" ht="15" hidden="false" customHeight="false" outlineLevel="0" collapsed="false">
      <c r="A816" s="0" t="str">
        <f aca="false">IF(AND(ISNUMBER('ANO NOVO'!$C216),'ANO NOVO'!$D216="FOLGA"),"Folga Ano Novo","")</f>
        <v/>
      </c>
      <c r="B816" s="0" t="str">
        <f aca="false">IF(AND(ISNUMBER('ANO NOVO'!$C216),'ANO NOVO'!$D216="FOLGA"),'ANO NOVO'!$A216&amp;"","")</f>
        <v/>
      </c>
      <c r="C816" s="0" t="str">
        <f aca="false">IF(AND(ISNUMBER('ANO NOVO'!$C216),'ANO NOVO'!$D216="FOLGA"),'ANO NOVO'!$B216&amp;"","")</f>
        <v/>
      </c>
      <c r="D816" s="78" t="str">
        <f aca="false">IF(AND(ISNUMBER('ANO NOVO'!$C216),'ANO NOVO'!$D216="FOLGA"),'ANO NOVO'!$C216,"")</f>
        <v/>
      </c>
      <c r="E816" s="0" t="str">
        <f aca="false">IF(AND(ISNUMBER('ANO NOVO'!$C216),'ANO NOVO'!$D216="FOLGA"),'ANO NOVO'!$E216&amp;"","")</f>
        <v/>
      </c>
      <c r="F816" s="0" t="str">
        <f aca="false">IF(AND(ISNUMBER('ANO NOVO'!$C216),'ANO NOVO'!$D216="FOLGA"),'ANO NOVO'!$F216&amp;"","")</f>
        <v/>
      </c>
      <c r="G816" s="0" t="str">
        <f aca="true">IF(D816="","",IF(D816=TODAY(),D816+ROW()/100000,""))</f>
        <v/>
      </c>
      <c r="H816" s="0" t="str">
        <f aca="true">IF(D816="","",IF(AND(D816&gt;TODAY(),D816&lt;=TODAY()+7),D816+ROW()/100000,""))</f>
        <v/>
      </c>
      <c r="I816" s="0" t="str">
        <f aca="false">IF(D816="","",IF(D816=CALENDÁRIO!$L$4,ROW(),""))</f>
        <v/>
      </c>
      <c r="J816" s="0" t="str">
        <f aca="false">IF(D816="","",CHOOSE(WEEKDAY(D816),"Domingo","Segunda","Terça","Quarta","Quinta","Sexta","Sábado"))</f>
        <v/>
      </c>
    </row>
    <row r="817" customFormat="false" ht="15" hidden="false" customHeight="false" outlineLevel="0" collapsed="false">
      <c r="A817" s="0" t="str">
        <f aca="false">IF(AND(ISNUMBER('ANO NOVO'!$C217),'ANO NOVO'!$D217="FOLGA"),"Folga Ano Novo","")</f>
        <v/>
      </c>
      <c r="B817" s="0" t="str">
        <f aca="false">IF(AND(ISNUMBER('ANO NOVO'!$C217),'ANO NOVO'!$D217="FOLGA"),'ANO NOVO'!$A217&amp;"","")</f>
        <v/>
      </c>
      <c r="C817" s="0" t="str">
        <f aca="false">IF(AND(ISNUMBER('ANO NOVO'!$C217),'ANO NOVO'!$D217="FOLGA"),'ANO NOVO'!$B217&amp;"","")</f>
        <v/>
      </c>
      <c r="D817" s="78" t="str">
        <f aca="false">IF(AND(ISNUMBER('ANO NOVO'!$C217),'ANO NOVO'!$D217="FOLGA"),'ANO NOVO'!$C217,"")</f>
        <v/>
      </c>
      <c r="E817" s="0" t="str">
        <f aca="false">IF(AND(ISNUMBER('ANO NOVO'!$C217),'ANO NOVO'!$D217="FOLGA"),'ANO NOVO'!$E217&amp;"","")</f>
        <v/>
      </c>
      <c r="F817" s="0" t="str">
        <f aca="false">IF(AND(ISNUMBER('ANO NOVO'!$C217),'ANO NOVO'!$D217="FOLGA"),'ANO NOVO'!$F217&amp;"","")</f>
        <v/>
      </c>
      <c r="G817" s="0" t="str">
        <f aca="true">IF(D817="","",IF(D817=TODAY(),D817+ROW()/100000,""))</f>
        <v/>
      </c>
      <c r="H817" s="0" t="str">
        <f aca="true">IF(D817="","",IF(AND(D817&gt;TODAY(),D817&lt;=TODAY()+7),D817+ROW()/100000,""))</f>
        <v/>
      </c>
      <c r="I817" s="0" t="str">
        <f aca="false">IF(D817="","",IF(D817=CALENDÁRIO!$L$4,ROW(),""))</f>
        <v/>
      </c>
      <c r="J817" s="0" t="str">
        <f aca="false">IF(D817="","",CHOOSE(WEEKDAY(D817),"Domingo","Segunda","Terça","Quarta","Quinta","Sexta","Sábado"))</f>
        <v/>
      </c>
    </row>
    <row r="818" customFormat="false" ht="15" hidden="false" customHeight="false" outlineLevel="0" collapsed="false">
      <c r="A818" s="0" t="str">
        <f aca="false">IF(AND(ISNUMBER('ANO NOVO'!$C218),'ANO NOVO'!$D218="FOLGA"),"Folga Ano Novo","")</f>
        <v/>
      </c>
      <c r="B818" s="0" t="str">
        <f aca="false">IF(AND(ISNUMBER('ANO NOVO'!$C218),'ANO NOVO'!$D218="FOLGA"),'ANO NOVO'!$A218&amp;"","")</f>
        <v/>
      </c>
      <c r="C818" s="0" t="str">
        <f aca="false">IF(AND(ISNUMBER('ANO NOVO'!$C218),'ANO NOVO'!$D218="FOLGA"),'ANO NOVO'!$B218&amp;"","")</f>
        <v/>
      </c>
      <c r="D818" s="78" t="str">
        <f aca="false">IF(AND(ISNUMBER('ANO NOVO'!$C218),'ANO NOVO'!$D218="FOLGA"),'ANO NOVO'!$C218,"")</f>
        <v/>
      </c>
      <c r="E818" s="0" t="str">
        <f aca="false">IF(AND(ISNUMBER('ANO NOVO'!$C218),'ANO NOVO'!$D218="FOLGA"),'ANO NOVO'!$E218&amp;"","")</f>
        <v/>
      </c>
      <c r="F818" s="0" t="str">
        <f aca="false">IF(AND(ISNUMBER('ANO NOVO'!$C218),'ANO NOVO'!$D218="FOLGA"),'ANO NOVO'!$F218&amp;"","")</f>
        <v/>
      </c>
      <c r="G818" s="0" t="str">
        <f aca="true">IF(D818="","",IF(D818=TODAY(),D818+ROW()/100000,""))</f>
        <v/>
      </c>
      <c r="H818" s="0" t="str">
        <f aca="true">IF(D818="","",IF(AND(D818&gt;TODAY(),D818&lt;=TODAY()+7),D818+ROW()/100000,""))</f>
        <v/>
      </c>
      <c r="I818" s="0" t="str">
        <f aca="false">IF(D818="","",IF(D818=CALENDÁRIO!$L$4,ROW(),""))</f>
        <v/>
      </c>
      <c r="J818" s="0" t="str">
        <f aca="false">IF(D818="","",CHOOSE(WEEKDAY(D818),"Domingo","Segunda","Terça","Quarta","Quinta","Sexta","Sábado"))</f>
        <v/>
      </c>
    </row>
    <row r="819" customFormat="false" ht="15" hidden="false" customHeight="false" outlineLevel="0" collapsed="false">
      <c r="A819" s="0" t="str">
        <f aca="false">IF(AND(ISNUMBER('ANO NOVO'!$C219),'ANO NOVO'!$D219="FOLGA"),"Folga Ano Novo","")</f>
        <v/>
      </c>
      <c r="B819" s="0" t="str">
        <f aca="false">IF(AND(ISNUMBER('ANO NOVO'!$C219),'ANO NOVO'!$D219="FOLGA"),'ANO NOVO'!$A219&amp;"","")</f>
        <v/>
      </c>
      <c r="C819" s="0" t="str">
        <f aca="false">IF(AND(ISNUMBER('ANO NOVO'!$C219),'ANO NOVO'!$D219="FOLGA"),'ANO NOVO'!$B219&amp;"","")</f>
        <v/>
      </c>
      <c r="D819" s="78" t="str">
        <f aca="false">IF(AND(ISNUMBER('ANO NOVO'!$C219),'ANO NOVO'!$D219="FOLGA"),'ANO NOVO'!$C219,"")</f>
        <v/>
      </c>
      <c r="E819" s="0" t="str">
        <f aca="false">IF(AND(ISNUMBER('ANO NOVO'!$C219),'ANO NOVO'!$D219="FOLGA"),'ANO NOVO'!$E219&amp;"","")</f>
        <v/>
      </c>
      <c r="F819" s="0" t="str">
        <f aca="false">IF(AND(ISNUMBER('ANO NOVO'!$C219),'ANO NOVO'!$D219="FOLGA"),'ANO NOVO'!$F219&amp;"","")</f>
        <v/>
      </c>
      <c r="G819" s="0" t="str">
        <f aca="true">IF(D819="","",IF(D819=TODAY(),D819+ROW()/100000,""))</f>
        <v/>
      </c>
      <c r="H819" s="0" t="str">
        <f aca="true">IF(D819="","",IF(AND(D819&gt;TODAY(),D819&lt;=TODAY()+7),D819+ROW()/100000,""))</f>
        <v/>
      </c>
      <c r="I819" s="0" t="str">
        <f aca="false">IF(D819="","",IF(D819=CALENDÁRIO!$L$4,ROW(),""))</f>
        <v/>
      </c>
      <c r="J819" s="0" t="str">
        <f aca="false">IF(D819="","",CHOOSE(WEEKDAY(D819),"Domingo","Segunda","Terça","Quarta","Quinta","Sexta","Sábado"))</f>
        <v/>
      </c>
    </row>
    <row r="820" customFormat="false" ht="15" hidden="false" customHeight="false" outlineLevel="0" collapsed="false">
      <c r="A820" s="0" t="str">
        <f aca="false">IF(AND(ISNUMBER('ANO NOVO'!$C220),'ANO NOVO'!$D220="FOLGA"),"Folga Ano Novo","")</f>
        <v/>
      </c>
      <c r="B820" s="0" t="str">
        <f aca="false">IF(AND(ISNUMBER('ANO NOVO'!$C220),'ANO NOVO'!$D220="FOLGA"),'ANO NOVO'!$A220&amp;"","")</f>
        <v/>
      </c>
      <c r="C820" s="0" t="str">
        <f aca="false">IF(AND(ISNUMBER('ANO NOVO'!$C220),'ANO NOVO'!$D220="FOLGA"),'ANO NOVO'!$B220&amp;"","")</f>
        <v/>
      </c>
      <c r="D820" s="78" t="str">
        <f aca="false">IF(AND(ISNUMBER('ANO NOVO'!$C220),'ANO NOVO'!$D220="FOLGA"),'ANO NOVO'!$C220,"")</f>
        <v/>
      </c>
      <c r="E820" s="0" t="str">
        <f aca="false">IF(AND(ISNUMBER('ANO NOVO'!$C220),'ANO NOVO'!$D220="FOLGA"),'ANO NOVO'!$E220&amp;"","")</f>
        <v/>
      </c>
      <c r="F820" s="0" t="str">
        <f aca="false">IF(AND(ISNUMBER('ANO NOVO'!$C220),'ANO NOVO'!$D220="FOLGA"),'ANO NOVO'!$F220&amp;"","")</f>
        <v/>
      </c>
      <c r="G820" s="0" t="str">
        <f aca="true">IF(D820="","",IF(D820=TODAY(),D820+ROW()/100000,""))</f>
        <v/>
      </c>
      <c r="H820" s="0" t="str">
        <f aca="true">IF(D820="","",IF(AND(D820&gt;TODAY(),D820&lt;=TODAY()+7),D820+ROW()/100000,""))</f>
        <v/>
      </c>
      <c r="I820" s="0" t="str">
        <f aca="false">IF(D820="","",IF(D820=CALENDÁRIO!$L$4,ROW(),""))</f>
        <v/>
      </c>
      <c r="J820" s="0" t="str">
        <f aca="false">IF(D820="","",CHOOSE(WEEKDAY(D820),"Domingo","Segunda","Terça","Quarta","Quinta","Sexta","Sábado"))</f>
        <v/>
      </c>
    </row>
    <row r="821" customFormat="false" ht="15" hidden="false" customHeight="false" outlineLevel="0" collapsed="false">
      <c r="A821" s="0" t="str">
        <f aca="false">IF(AND(ISNUMBER('ANO NOVO'!$C221),'ANO NOVO'!$D221="FOLGA"),"Folga Ano Novo","")</f>
        <v/>
      </c>
      <c r="B821" s="0" t="str">
        <f aca="false">IF(AND(ISNUMBER('ANO NOVO'!$C221),'ANO NOVO'!$D221="FOLGA"),'ANO NOVO'!$A221&amp;"","")</f>
        <v/>
      </c>
      <c r="C821" s="0" t="str">
        <f aca="false">IF(AND(ISNUMBER('ANO NOVO'!$C221),'ANO NOVO'!$D221="FOLGA"),'ANO NOVO'!$B221&amp;"","")</f>
        <v/>
      </c>
      <c r="D821" s="78" t="str">
        <f aca="false">IF(AND(ISNUMBER('ANO NOVO'!$C221),'ANO NOVO'!$D221="FOLGA"),'ANO NOVO'!$C221,"")</f>
        <v/>
      </c>
      <c r="E821" s="0" t="str">
        <f aca="false">IF(AND(ISNUMBER('ANO NOVO'!$C221),'ANO NOVO'!$D221="FOLGA"),'ANO NOVO'!$E221&amp;"","")</f>
        <v/>
      </c>
      <c r="F821" s="0" t="str">
        <f aca="false">IF(AND(ISNUMBER('ANO NOVO'!$C221),'ANO NOVO'!$D221="FOLGA"),'ANO NOVO'!$F221&amp;"","")</f>
        <v/>
      </c>
      <c r="G821" s="0" t="str">
        <f aca="true">IF(D821="","",IF(D821=TODAY(),D821+ROW()/100000,""))</f>
        <v/>
      </c>
      <c r="H821" s="0" t="str">
        <f aca="true">IF(D821="","",IF(AND(D821&gt;TODAY(),D821&lt;=TODAY()+7),D821+ROW()/100000,""))</f>
        <v/>
      </c>
      <c r="I821" s="0" t="str">
        <f aca="false">IF(D821="","",IF(D821=CALENDÁRIO!$L$4,ROW(),""))</f>
        <v/>
      </c>
      <c r="J821" s="0" t="str">
        <f aca="false">IF(D821="","",CHOOSE(WEEKDAY(D821),"Domingo","Segunda","Terça","Quarta","Quinta","Sexta","Sábado"))</f>
        <v/>
      </c>
    </row>
    <row r="822" customFormat="false" ht="15" hidden="false" customHeight="false" outlineLevel="0" collapsed="false">
      <c r="A822" s="0" t="str">
        <f aca="false">IF(AND(ISNUMBER('ANO NOVO'!$C222),'ANO NOVO'!$D222="FOLGA"),"Folga Ano Novo","")</f>
        <v/>
      </c>
      <c r="B822" s="0" t="str">
        <f aca="false">IF(AND(ISNUMBER('ANO NOVO'!$C222),'ANO NOVO'!$D222="FOLGA"),'ANO NOVO'!$A222&amp;"","")</f>
        <v/>
      </c>
      <c r="C822" s="0" t="str">
        <f aca="false">IF(AND(ISNUMBER('ANO NOVO'!$C222),'ANO NOVO'!$D222="FOLGA"),'ANO NOVO'!$B222&amp;"","")</f>
        <v/>
      </c>
      <c r="D822" s="78" t="str">
        <f aca="false">IF(AND(ISNUMBER('ANO NOVO'!$C222),'ANO NOVO'!$D222="FOLGA"),'ANO NOVO'!$C222,"")</f>
        <v/>
      </c>
      <c r="E822" s="0" t="str">
        <f aca="false">IF(AND(ISNUMBER('ANO NOVO'!$C222),'ANO NOVO'!$D222="FOLGA"),'ANO NOVO'!$E222&amp;"","")</f>
        <v/>
      </c>
      <c r="F822" s="0" t="str">
        <f aca="false">IF(AND(ISNUMBER('ANO NOVO'!$C222),'ANO NOVO'!$D222="FOLGA"),'ANO NOVO'!$F222&amp;"","")</f>
        <v/>
      </c>
      <c r="G822" s="0" t="str">
        <f aca="true">IF(D822="","",IF(D822=TODAY(),D822+ROW()/100000,""))</f>
        <v/>
      </c>
      <c r="H822" s="0" t="str">
        <f aca="true">IF(D822="","",IF(AND(D822&gt;TODAY(),D822&lt;=TODAY()+7),D822+ROW()/100000,""))</f>
        <v/>
      </c>
      <c r="I822" s="0" t="str">
        <f aca="false">IF(D822="","",IF(D822=CALENDÁRIO!$L$4,ROW(),""))</f>
        <v/>
      </c>
      <c r="J822" s="0" t="str">
        <f aca="false">IF(D822="","",CHOOSE(WEEKDAY(D822),"Domingo","Segunda","Terça","Quarta","Quinta","Sexta","Sábado"))</f>
        <v/>
      </c>
    </row>
    <row r="823" customFormat="false" ht="15" hidden="false" customHeight="false" outlineLevel="0" collapsed="false">
      <c r="A823" s="0" t="str">
        <f aca="false">IF(AND(ISNUMBER('ANO NOVO'!$C223),'ANO NOVO'!$D223="FOLGA"),"Folga Ano Novo","")</f>
        <v/>
      </c>
      <c r="B823" s="0" t="str">
        <f aca="false">IF(AND(ISNUMBER('ANO NOVO'!$C223),'ANO NOVO'!$D223="FOLGA"),'ANO NOVO'!$A223&amp;"","")</f>
        <v/>
      </c>
      <c r="C823" s="0" t="str">
        <f aca="false">IF(AND(ISNUMBER('ANO NOVO'!$C223),'ANO NOVO'!$D223="FOLGA"),'ANO NOVO'!$B223&amp;"","")</f>
        <v/>
      </c>
      <c r="D823" s="78" t="str">
        <f aca="false">IF(AND(ISNUMBER('ANO NOVO'!$C223),'ANO NOVO'!$D223="FOLGA"),'ANO NOVO'!$C223,"")</f>
        <v/>
      </c>
      <c r="E823" s="0" t="str">
        <f aca="false">IF(AND(ISNUMBER('ANO NOVO'!$C223),'ANO NOVO'!$D223="FOLGA"),'ANO NOVO'!$E223&amp;"","")</f>
        <v/>
      </c>
      <c r="F823" s="0" t="str">
        <f aca="false">IF(AND(ISNUMBER('ANO NOVO'!$C223),'ANO NOVO'!$D223="FOLGA"),'ANO NOVO'!$F223&amp;"","")</f>
        <v/>
      </c>
      <c r="G823" s="0" t="str">
        <f aca="true">IF(D823="","",IF(D823=TODAY(),D823+ROW()/100000,""))</f>
        <v/>
      </c>
      <c r="H823" s="0" t="str">
        <f aca="true">IF(D823="","",IF(AND(D823&gt;TODAY(),D823&lt;=TODAY()+7),D823+ROW()/100000,""))</f>
        <v/>
      </c>
      <c r="I823" s="0" t="str">
        <f aca="false">IF(D823="","",IF(D823=CALENDÁRIO!$L$4,ROW(),""))</f>
        <v/>
      </c>
      <c r="J823" s="0" t="str">
        <f aca="false">IF(D823="","",CHOOSE(WEEKDAY(D823),"Domingo","Segunda","Terça","Quarta","Quinta","Sexta","Sábado"))</f>
        <v/>
      </c>
    </row>
    <row r="824" customFormat="false" ht="15" hidden="false" customHeight="false" outlineLevel="0" collapsed="false">
      <c r="A824" s="0" t="str">
        <f aca="false">IF(AND(ISNUMBER('ANO NOVO'!$C224),'ANO NOVO'!$D224="FOLGA"),"Folga Ano Novo","")</f>
        <v/>
      </c>
      <c r="B824" s="0" t="str">
        <f aca="false">IF(AND(ISNUMBER('ANO NOVO'!$C224),'ANO NOVO'!$D224="FOLGA"),'ANO NOVO'!$A224&amp;"","")</f>
        <v/>
      </c>
      <c r="C824" s="0" t="str">
        <f aca="false">IF(AND(ISNUMBER('ANO NOVO'!$C224),'ANO NOVO'!$D224="FOLGA"),'ANO NOVO'!$B224&amp;"","")</f>
        <v/>
      </c>
      <c r="D824" s="78" t="str">
        <f aca="false">IF(AND(ISNUMBER('ANO NOVO'!$C224),'ANO NOVO'!$D224="FOLGA"),'ANO NOVO'!$C224,"")</f>
        <v/>
      </c>
      <c r="E824" s="0" t="str">
        <f aca="false">IF(AND(ISNUMBER('ANO NOVO'!$C224),'ANO NOVO'!$D224="FOLGA"),'ANO NOVO'!$E224&amp;"","")</f>
        <v/>
      </c>
      <c r="F824" s="0" t="str">
        <f aca="false">IF(AND(ISNUMBER('ANO NOVO'!$C224),'ANO NOVO'!$D224="FOLGA"),'ANO NOVO'!$F224&amp;"","")</f>
        <v/>
      </c>
      <c r="G824" s="0" t="str">
        <f aca="true">IF(D824="","",IF(D824=TODAY(),D824+ROW()/100000,""))</f>
        <v/>
      </c>
      <c r="H824" s="0" t="str">
        <f aca="true">IF(D824="","",IF(AND(D824&gt;TODAY(),D824&lt;=TODAY()+7),D824+ROW()/100000,""))</f>
        <v/>
      </c>
      <c r="I824" s="0" t="str">
        <f aca="false">IF(D824="","",IF(D824=CALENDÁRIO!$L$4,ROW(),""))</f>
        <v/>
      </c>
      <c r="J824" s="0" t="str">
        <f aca="false">IF(D824="","",CHOOSE(WEEKDAY(D824),"Domingo","Segunda","Terça","Quarta","Quinta","Sexta","Sábado"))</f>
        <v/>
      </c>
    </row>
    <row r="825" customFormat="false" ht="15" hidden="false" customHeight="false" outlineLevel="0" collapsed="false">
      <c r="A825" s="0" t="str">
        <f aca="false">IF(AND(ISNUMBER('ANO NOVO'!$C225),'ANO NOVO'!$D225="FOLGA"),"Folga Ano Novo","")</f>
        <v/>
      </c>
      <c r="B825" s="0" t="str">
        <f aca="false">IF(AND(ISNUMBER('ANO NOVO'!$C225),'ANO NOVO'!$D225="FOLGA"),'ANO NOVO'!$A225&amp;"","")</f>
        <v/>
      </c>
      <c r="C825" s="0" t="str">
        <f aca="false">IF(AND(ISNUMBER('ANO NOVO'!$C225),'ANO NOVO'!$D225="FOLGA"),'ANO NOVO'!$B225&amp;"","")</f>
        <v/>
      </c>
      <c r="D825" s="78" t="str">
        <f aca="false">IF(AND(ISNUMBER('ANO NOVO'!$C225),'ANO NOVO'!$D225="FOLGA"),'ANO NOVO'!$C225,"")</f>
        <v/>
      </c>
      <c r="E825" s="0" t="str">
        <f aca="false">IF(AND(ISNUMBER('ANO NOVO'!$C225),'ANO NOVO'!$D225="FOLGA"),'ANO NOVO'!$E225&amp;"","")</f>
        <v/>
      </c>
      <c r="F825" s="0" t="str">
        <f aca="false">IF(AND(ISNUMBER('ANO NOVO'!$C225),'ANO NOVO'!$D225="FOLGA"),'ANO NOVO'!$F225&amp;"","")</f>
        <v/>
      </c>
      <c r="G825" s="0" t="str">
        <f aca="true">IF(D825="","",IF(D825=TODAY(),D825+ROW()/100000,""))</f>
        <v/>
      </c>
      <c r="H825" s="0" t="str">
        <f aca="true">IF(D825="","",IF(AND(D825&gt;TODAY(),D825&lt;=TODAY()+7),D825+ROW()/100000,""))</f>
        <v/>
      </c>
      <c r="I825" s="0" t="str">
        <f aca="false">IF(D825="","",IF(D825=CALENDÁRIO!$L$4,ROW(),""))</f>
        <v/>
      </c>
      <c r="J825" s="0" t="str">
        <f aca="false">IF(D825="","",CHOOSE(WEEKDAY(D825),"Domingo","Segunda","Terça","Quarta","Quinta","Sexta","Sábado"))</f>
        <v/>
      </c>
    </row>
    <row r="826" customFormat="false" ht="15" hidden="false" customHeight="false" outlineLevel="0" collapsed="false">
      <c r="A826" s="0" t="str">
        <f aca="false">IF(AND(ISNUMBER('ANO NOVO'!$C226),'ANO NOVO'!$D226="FOLGA"),"Folga Ano Novo","")</f>
        <v/>
      </c>
      <c r="B826" s="0" t="str">
        <f aca="false">IF(AND(ISNUMBER('ANO NOVO'!$C226),'ANO NOVO'!$D226="FOLGA"),'ANO NOVO'!$A226&amp;"","")</f>
        <v/>
      </c>
      <c r="C826" s="0" t="str">
        <f aca="false">IF(AND(ISNUMBER('ANO NOVO'!$C226),'ANO NOVO'!$D226="FOLGA"),'ANO NOVO'!$B226&amp;"","")</f>
        <v/>
      </c>
      <c r="D826" s="78" t="str">
        <f aca="false">IF(AND(ISNUMBER('ANO NOVO'!$C226),'ANO NOVO'!$D226="FOLGA"),'ANO NOVO'!$C226,"")</f>
        <v/>
      </c>
      <c r="E826" s="0" t="str">
        <f aca="false">IF(AND(ISNUMBER('ANO NOVO'!$C226),'ANO NOVO'!$D226="FOLGA"),'ANO NOVO'!$E226&amp;"","")</f>
        <v/>
      </c>
      <c r="F826" s="0" t="str">
        <f aca="false">IF(AND(ISNUMBER('ANO NOVO'!$C226),'ANO NOVO'!$D226="FOLGA"),'ANO NOVO'!$F226&amp;"","")</f>
        <v/>
      </c>
      <c r="G826" s="0" t="str">
        <f aca="true">IF(D826="","",IF(D826=TODAY(),D826+ROW()/100000,""))</f>
        <v/>
      </c>
      <c r="H826" s="0" t="str">
        <f aca="true">IF(D826="","",IF(AND(D826&gt;TODAY(),D826&lt;=TODAY()+7),D826+ROW()/100000,""))</f>
        <v/>
      </c>
      <c r="I826" s="0" t="str">
        <f aca="false">IF(D826="","",IF(D826=CALENDÁRIO!$L$4,ROW(),""))</f>
        <v/>
      </c>
      <c r="J826" s="0" t="str">
        <f aca="false">IF(D826="","",CHOOSE(WEEKDAY(D826),"Domingo","Segunda","Terça","Quarta","Quinta","Sexta","Sábado"))</f>
        <v/>
      </c>
    </row>
    <row r="827" customFormat="false" ht="15" hidden="false" customHeight="false" outlineLevel="0" collapsed="false">
      <c r="A827" s="0" t="str">
        <f aca="false">IF(AND(ISNUMBER('ANO NOVO'!$C227),'ANO NOVO'!$D227="FOLGA"),"Folga Ano Novo","")</f>
        <v/>
      </c>
      <c r="B827" s="0" t="str">
        <f aca="false">IF(AND(ISNUMBER('ANO NOVO'!$C227),'ANO NOVO'!$D227="FOLGA"),'ANO NOVO'!$A227&amp;"","")</f>
        <v/>
      </c>
      <c r="C827" s="0" t="str">
        <f aca="false">IF(AND(ISNUMBER('ANO NOVO'!$C227),'ANO NOVO'!$D227="FOLGA"),'ANO NOVO'!$B227&amp;"","")</f>
        <v/>
      </c>
      <c r="D827" s="78" t="str">
        <f aca="false">IF(AND(ISNUMBER('ANO NOVO'!$C227),'ANO NOVO'!$D227="FOLGA"),'ANO NOVO'!$C227,"")</f>
        <v/>
      </c>
      <c r="E827" s="0" t="str">
        <f aca="false">IF(AND(ISNUMBER('ANO NOVO'!$C227),'ANO NOVO'!$D227="FOLGA"),'ANO NOVO'!$E227&amp;"","")</f>
        <v/>
      </c>
      <c r="F827" s="0" t="str">
        <f aca="false">IF(AND(ISNUMBER('ANO NOVO'!$C227),'ANO NOVO'!$D227="FOLGA"),'ANO NOVO'!$F227&amp;"","")</f>
        <v/>
      </c>
      <c r="G827" s="0" t="str">
        <f aca="true">IF(D827="","",IF(D827=TODAY(),D827+ROW()/100000,""))</f>
        <v/>
      </c>
      <c r="H827" s="0" t="str">
        <f aca="true">IF(D827="","",IF(AND(D827&gt;TODAY(),D827&lt;=TODAY()+7),D827+ROW()/100000,""))</f>
        <v/>
      </c>
      <c r="I827" s="0" t="str">
        <f aca="false">IF(D827="","",IF(D827=CALENDÁRIO!$L$4,ROW(),""))</f>
        <v/>
      </c>
      <c r="J827" s="0" t="str">
        <f aca="false">IF(D827="","",CHOOSE(WEEKDAY(D827),"Domingo","Segunda","Terça","Quarta","Quinta","Sexta","Sábado"))</f>
        <v/>
      </c>
    </row>
    <row r="828" customFormat="false" ht="15" hidden="false" customHeight="false" outlineLevel="0" collapsed="false">
      <c r="A828" s="0" t="str">
        <f aca="false">IF(AND(ISNUMBER('ANO NOVO'!$C228),'ANO NOVO'!$D228="FOLGA"),"Folga Ano Novo","")</f>
        <v/>
      </c>
      <c r="B828" s="0" t="str">
        <f aca="false">IF(AND(ISNUMBER('ANO NOVO'!$C228),'ANO NOVO'!$D228="FOLGA"),'ANO NOVO'!$A228&amp;"","")</f>
        <v/>
      </c>
      <c r="C828" s="0" t="str">
        <f aca="false">IF(AND(ISNUMBER('ANO NOVO'!$C228),'ANO NOVO'!$D228="FOLGA"),'ANO NOVO'!$B228&amp;"","")</f>
        <v/>
      </c>
      <c r="D828" s="78" t="str">
        <f aca="false">IF(AND(ISNUMBER('ANO NOVO'!$C228),'ANO NOVO'!$D228="FOLGA"),'ANO NOVO'!$C228,"")</f>
        <v/>
      </c>
      <c r="E828" s="0" t="str">
        <f aca="false">IF(AND(ISNUMBER('ANO NOVO'!$C228),'ANO NOVO'!$D228="FOLGA"),'ANO NOVO'!$E228&amp;"","")</f>
        <v/>
      </c>
      <c r="F828" s="0" t="str">
        <f aca="false">IF(AND(ISNUMBER('ANO NOVO'!$C228),'ANO NOVO'!$D228="FOLGA"),'ANO NOVO'!$F228&amp;"","")</f>
        <v/>
      </c>
      <c r="G828" s="0" t="str">
        <f aca="true">IF(D828="","",IF(D828=TODAY(),D828+ROW()/100000,""))</f>
        <v/>
      </c>
      <c r="H828" s="0" t="str">
        <f aca="true">IF(D828="","",IF(AND(D828&gt;TODAY(),D828&lt;=TODAY()+7),D828+ROW()/100000,""))</f>
        <v/>
      </c>
      <c r="I828" s="0" t="str">
        <f aca="false">IF(D828="","",IF(D828=CALENDÁRIO!$L$4,ROW(),""))</f>
        <v/>
      </c>
      <c r="J828" s="0" t="str">
        <f aca="false">IF(D828="","",CHOOSE(WEEKDAY(D828),"Domingo","Segunda","Terça","Quarta","Quinta","Sexta","Sábado"))</f>
        <v/>
      </c>
    </row>
    <row r="829" customFormat="false" ht="15" hidden="false" customHeight="false" outlineLevel="0" collapsed="false">
      <c r="A829" s="0" t="str">
        <f aca="false">IF(AND(ISNUMBER('ANO NOVO'!$C229),'ANO NOVO'!$D229="FOLGA"),"Folga Ano Novo","")</f>
        <v/>
      </c>
      <c r="B829" s="0" t="str">
        <f aca="false">IF(AND(ISNUMBER('ANO NOVO'!$C229),'ANO NOVO'!$D229="FOLGA"),'ANO NOVO'!$A229&amp;"","")</f>
        <v/>
      </c>
      <c r="C829" s="0" t="str">
        <f aca="false">IF(AND(ISNUMBER('ANO NOVO'!$C229),'ANO NOVO'!$D229="FOLGA"),'ANO NOVO'!$B229&amp;"","")</f>
        <v/>
      </c>
      <c r="D829" s="78" t="str">
        <f aca="false">IF(AND(ISNUMBER('ANO NOVO'!$C229),'ANO NOVO'!$D229="FOLGA"),'ANO NOVO'!$C229,"")</f>
        <v/>
      </c>
      <c r="E829" s="0" t="str">
        <f aca="false">IF(AND(ISNUMBER('ANO NOVO'!$C229),'ANO NOVO'!$D229="FOLGA"),'ANO NOVO'!$E229&amp;"","")</f>
        <v/>
      </c>
      <c r="F829" s="0" t="str">
        <f aca="false">IF(AND(ISNUMBER('ANO NOVO'!$C229),'ANO NOVO'!$D229="FOLGA"),'ANO NOVO'!$F229&amp;"","")</f>
        <v/>
      </c>
      <c r="G829" s="0" t="str">
        <f aca="true">IF(D829="","",IF(D829=TODAY(),D829+ROW()/100000,""))</f>
        <v/>
      </c>
      <c r="H829" s="0" t="str">
        <f aca="true">IF(D829="","",IF(AND(D829&gt;TODAY(),D829&lt;=TODAY()+7),D829+ROW()/100000,""))</f>
        <v/>
      </c>
      <c r="I829" s="0" t="str">
        <f aca="false">IF(D829="","",IF(D829=CALENDÁRIO!$L$4,ROW(),""))</f>
        <v/>
      </c>
      <c r="J829" s="0" t="str">
        <f aca="false">IF(D829="","",CHOOSE(WEEKDAY(D829),"Domingo","Segunda","Terça","Quarta","Quinta","Sexta","Sábado"))</f>
        <v/>
      </c>
    </row>
    <row r="830" customFormat="false" ht="15" hidden="false" customHeight="false" outlineLevel="0" collapsed="false">
      <c r="A830" s="0" t="str">
        <f aca="false">IF(AND(ISNUMBER('ANO NOVO'!$C230),'ANO NOVO'!$D230="FOLGA"),"Folga Ano Novo","")</f>
        <v/>
      </c>
      <c r="B830" s="0" t="str">
        <f aca="false">IF(AND(ISNUMBER('ANO NOVO'!$C230),'ANO NOVO'!$D230="FOLGA"),'ANO NOVO'!$A230&amp;"","")</f>
        <v/>
      </c>
      <c r="C830" s="0" t="str">
        <f aca="false">IF(AND(ISNUMBER('ANO NOVO'!$C230),'ANO NOVO'!$D230="FOLGA"),'ANO NOVO'!$B230&amp;"","")</f>
        <v/>
      </c>
      <c r="D830" s="78" t="str">
        <f aca="false">IF(AND(ISNUMBER('ANO NOVO'!$C230),'ANO NOVO'!$D230="FOLGA"),'ANO NOVO'!$C230,"")</f>
        <v/>
      </c>
      <c r="E830" s="0" t="str">
        <f aca="false">IF(AND(ISNUMBER('ANO NOVO'!$C230),'ANO NOVO'!$D230="FOLGA"),'ANO NOVO'!$E230&amp;"","")</f>
        <v/>
      </c>
      <c r="F830" s="0" t="str">
        <f aca="false">IF(AND(ISNUMBER('ANO NOVO'!$C230),'ANO NOVO'!$D230="FOLGA"),'ANO NOVO'!$F230&amp;"","")</f>
        <v/>
      </c>
      <c r="G830" s="0" t="str">
        <f aca="true">IF(D830="","",IF(D830=TODAY(),D830+ROW()/100000,""))</f>
        <v/>
      </c>
      <c r="H830" s="0" t="str">
        <f aca="true">IF(D830="","",IF(AND(D830&gt;TODAY(),D830&lt;=TODAY()+7),D830+ROW()/100000,""))</f>
        <v/>
      </c>
      <c r="I830" s="0" t="str">
        <f aca="false">IF(D830="","",IF(D830=CALENDÁRIO!$L$4,ROW(),""))</f>
        <v/>
      </c>
      <c r="J830" s="0" t="str">
        <f aca="false">IF(D830="","",CHOOSE(WEEKDAY(D830),"Domingo","Segunda","Terça","Quarta","Quinta","Sexta","Sábado"))</f>
        <v/>
      </c>
    </row>
    <row r="831" customFormat="false" ht="15" hidden="false" customHeight="false" outlineLevel="0" collapsed="false">
      <c r="A831" s="0" t="str">
        <f aca="false">IF(AND(ISNUMBER('ANO NOVO'!$C231),'ANO NOVO'!$D231="FOLGA"),"Folga Ano Novo","")</f>
        <v/>
      </c>
      <c r="B831" s="0" t="str">
        <f aca="false">IF(AND(ISNUMBER('ANO NOVO'!$C231),'ANO NOVO'!$D231="FOLGA"),'ANO NOVO'!$A231&amp;"","")</f>
        <v/>
      </c>
      <c r="C831" s="0" t="str">
        <f aca="false">IF(AND(ISNUMBER('ANO NOVO'!$C231),'ANO NOVO'!$D231="FOLGA"),'ANO NOVO'!$B231&amp;"","")</f>
        <v/>
      </c>
      <c r="D831" s="78" t="str">
        <f aca="false">IF(AND(ISNUMBER('ANO NOVO'!$C231),'ANO NOVO'!$D231="FOLGA"),'ANO NOVO'!$C231,"")</f>
        <v/>
      </c>
      <c r="E831" s="0" t="str">
        <f aca="false">IF(AND(ISNUMBER('ANO NOVO'!$C231),'ANO NOVO'!$D231="FOLGA"),'ANO NOVO'!$E231&amp;"","")</f>
        <v/>
      </c>
      <c r="F831" s="0" t="str">
        <f aca="false">IF(AND(ISNUMBER('ANO NOVO'!$C231),'ANO NOVO'!$D231="FOLGA"),'ANO NOVO'!$F231&amp;"","")</f>
        <v/>
      </c>
      <c r="G831" s="0" t="str">
        <f aca="true">IF(D831="","",IF(D831=TODAY(),D831+ROW()/100000,""))</f>
        <v/>
      </c>
      <c r="H831" s="0" t="str">
        <f aca="true">IF(D831="","",IF(AND(D831&gt;TODAY(),D831&lt;=TODAY()+7),D831+ROW()/100000,""))</f>
        <v/>
      </c>
      <c r="I831" s="0" t="str">
        <f aca="false">IF(D831="","",IF(D831=CALENDÁRIO!$L$4,ROW(),""))</f>
        <v/>
      </c>
      <c r="J831" s="0" t="str">
        <f aca="false">IF(D831="","",CHOOSE(WEEKDAY(D831),"Domingo","Segunda","Terça","Quarta","Quinta","Sexta","Sábado"))</f>
        <v/>
      </c>
    </row>
    <row r="832" customFormat="false" ht="15" hidden="false" customHeight="false" outlineLevel="0" collapsed="false">
      <c r="A832" s="0" t="str">
        <f aca="false">IF(AND(ISNUMBER('ANO NOVO'!$C232),'ANO NOVO'!$D232="FOLGA"),"Folga Ano Novo","")</f>
        <v/>
      </c>
      <c r="B832" s="0" t="str">
        <f aca="false">IF(AND(ISNUMBER('ANO NOVO'!$C232),'ANO NOVO'!$D232="FOLGA"),'ANO NOVO'!$A232&amp;"","")</f>
        <v/>
      </c>
      <c r="C832" s="0" t="str">
        <f aca="false">IF(AND(ISNUMBER('ANO NOVO'!$C232),'ANO NOVO'!$D232="FOLGA"),'ANO NOVO'!$B232&amp;"","")</f>
        <v/>
      </c>
      <c r="D832" s="78" t="str">
        <f aca="false">IF(AND(ISNUMBER('ANO NOVO'!$C232),'ANO NOVO'!$D232="FOLGA"),'ANO NOVO'!$C232,"")</f>
        <v/>
      </c>
      <c r="E832" s="0" t="str">
        <f aca="false">IF(AND(ISNUMBER('ANO NOVO'!$C232),'ANO NOVO'!$D232="FOLGA"),'ANO NOVO'!$E232&amp;"","")</f>
        <v/>
      </c>
      <c r="F832" s="0" t="str">
        <f aca="false">IF(AND(ISNUMBER('ANO NOVO'!$C232),'ANO NOVO'!$D232="FOLGA"),'ANO NOVO'!$F232&amp;"","")</f>
        <v/>
      </c>
      <c r="G832" s="0" t="str">
        <f aca="true">IF(D832="","",IF(D832=TODAY(),D832+ROW()/100000,""))</f>
        <v/>
      </c>
      <c r="H832" s="0" t="str">
        <f aca="true">IF(D832="","",IF(AND(D832&gt;TODAY(),D832&lt;=TODAY()+7),D832+ROW()/100000,""))</f>
        <v/>
      </c>
      <c r="I832" s="0" t="str">
        <f aca="false">IF(D832="","",IF(D832=CALENDÁRIO!$L$4,ROW(),""))</f>
        <v/>
      </c>
      <c r="J832" s="0" t="str">
        <f aca="false">IF(D832="","",CHOOSE(WEEKDAY(D832),"Domingo","Segunda","Terça","Quarta","Quinta","Sexta","Sábado"))</f>
        <v/>
      </c>
    </row>
    <row r="833" customFormat="false" ht="15" hidden="false" customHeight="false" outlineLevel="0" collapsed="false">
      <c r="A833" s="0" t="str">
        <f aca="false">IF(AND(ISNUMBER('ANO NOVO'!$C233),'ANO NOVO'!$D233="FOLGA"),"Folga Ano Novo","")</f>
        <v/>
      </c>
      <c r="B833" s="0" t="str">
        <f aca="false">IF(AND(ISNUMBER('ANO NOVO'!$C233),'ANO NOVO'!$D233="FOLGA"),'ANO NOVO'!$A233&amp;"","")</f>
        <v/>
      </c>
      <c r="C833" s="0" t="str">
        <f aca="false">IF(AND(ISNUMBER('ANO NOVO'!$C233),'ANO NOVO'!$D233="FOLGA"),'ANO NOVO'!$B233&amp;"","")</f>
        <v/>
      </c>
      <c r="D833" s="78" t="str">
        <f aca="false">IF(AND(ISNUMBER('ANO NOVO'!$C233),'ANO NOVO'!$D233="FOLGA"),'ANO NOVO'!$C233,"")</f>
        <v/>
      </c>
      <c r="E833" s="0" t="str">
        <f aca="false">IF(AND(ISNUMBER('ANO NOVO'!$C233),'ANO NOVO'!$D233="FOLGA"),'ANO NOVO'!$E233&amp;"","")</f>
        <v/>
      </c>
      <c r="F833" s="0" t="str">
        <f aca="false">IF(AND(ISNUMBER('ANO NOVO'!$C233),'ANO NOVO'!$D233="FOLGA"),'ANO NOVO'!$F233&amp;"","")</f>
        <v/>
      </c>
      <c r="G833" s="0" t="str">
        <f aca="true">IF(D833="","",IF(D833=TODAY(),D833+ROW()/100000,""))</f>
        <v/>
      </c>
      <c r="H833" s="0" t="str">
        <f aca="true">IF(D833="","",IF(AND(D833&gt;TODAY(),D833&lt;=TODAY()+7),D833+ROW()/100000,""))</f>
        <v/>
      </c>
      <c r="I833" s="0" t="str">
        <f aca="false">IF(D833="","",IF(D833=CALENDÁRIO!$L$4,ROW(),""))</f>
        <v/>
      </c>
      <c r="J833" s="0" t="str">
        <f aca="false">IF(D833="","",CHOOSE(WEEKDAY(D833),"Domingo","Segunda","Terça","Quarta","Quinta","Sexta","Sábado"))</f>
        <v/>
      </c>
    </row>
    <row r="834" customFormat="false" ht="15" hidden="false" customHeight="false" outlineLevel="0" collapsed="false">
      <c r="A834" s="0" t="str">
        <f aca="false">IF(AND(ISNUMBER('ANO NOVO'!$C234),'ANO NOVO'!$D234="FOLGA"),"Folga Ano Novo","")</f>
        <v/>
      </c>
      <c r="B834" s="0" t="str">
        <f aca="false">IF(AND(ISNUMBER('ANO NOVO'!$C234),'ANO NOVO'!$D234="FOLGA"),'ANO NOVO'!$A234&amp;"","")</f>
        <v/>
      </c>
      <c r="C834" s="0" t="str">
        <f aca="false">IF(AND(ISNUMBER('ANO NOVO'!$C234),'ANO NOVO'!$D234="FOLGA"),'ANO NOVO'!$B234&amp;"","")</f>
        <v/>
      </c>
      <c r="D834" s="78" t="str">
        <f aca="false">IF(AND(ISNUMBER('ANO NOVO'!$C234),'ANO NOVO'!$D234="FOLGA"),'ANO NOVO'!$C234,"")</f>
        <v/>
      </c>
      <c r="E834" s="0" t="str">
        <f aca="false">IF(AND(ISNUMBER('ANO NOVO'!$C234),'ANO NOVO'!$D234="FOLGA"),'ANO NOVO'!$E234&amp;"","")</f>
        <v/>
      </c>
      <c r="F834" s="0" t="str">
        <f aca="false">IF(AND(ISNUMBER('ANO NOVO'!$C234),'ANO NOVO'!$D234="FOLGA"),'ANO NOVO'!$F234&amp;"","")</f>
        <v/>
      </c>
      <c r="G834" s="0" t="str">
        <f aca="true">IF(D834="","",IF(D834=TODAY(),D834+ROW()/100000,""))</f>
        <v/>
      </c>
      <c r="H834" s="0" t="str">
        <f aca="true">IF(D834="","",IF(AND(D834&gt;TODAY(),D834&lt;=TODAY()+7),D834+ROW()/100000,""))</f>
        <v/>
      </c>
      <c r="I834" s="0" t="str">
        <f aca="false">IF(D834="","",IF(D834=CALENDÁRIO!$L$4,ROW(),""))</f>
        <v/>
      </c>
      <c r="J834" s="0" t="str">
        <f aca="false">IF(D834="","",CHOOSE(WEEKDAY(D834),"Domingo","Segunda","Terça","Quarta","Quinta","Sexta","Sábado"))</f>
        <v/>
      </c>
    </row>
    <row r="835" customFormat="false" ht="15" hidden="false" customHeight="false" outlineLevel="0" collapsed="false">
      <c r="A835" s="0" t="str">
        <f aca="false">IF(AND(ISNUMBER('ANO NOVO'!$C235),'ANO NOVO'!$D235="FOLGA"),"Folga Ano Novo","")</f>
        <v/>
      </c>
      <c r="B835" s="0" t="str">
        <f aca="false">IF(AND(ISNUMBER('ANO NOVO'!$C235),'ANO NOVO'!$D235="FOLGA"),'ANO NOVO'!$A235&amp;"","")</f>
        <v/>
      </c>
      <c r="C835" s="0" t="str">
        <f aca="false">IF(AND(ISNUMBER('ANO NOVO'!$C235),'ANO NOVO'!$D235="FOLGA"),'ANO NOVO'!$B235&amp;"","")</f>
        <v/>
      </c>
      <c r="D835" s="78" t="str">
        <f aca="false">IF(AND(ISNUMBER('ANO NOVO'!$C235),'ANO NOVO'!$D235="FOLGA"),'ANO NOVO'!$C235,"")</f>
        <v/>
      </c>
      <c r="E835" s="0" t="str">
        <f aca="false">IF(AND(ISNUMBER('ANO NOVO'!$C235),'ANO NOVO'!$D235="FOLGA"),'ANO NOVO'!$E235&amp;"","")</f>
        <v/>
      </c>
      <c r="F835" s="0" t="str">
        <f aca="false">IF(AND(ISNUMBER('ANO NOVO'!$C235),'ANO NOVO'!$D235="FOLGA"),'ANO NOVO'!$F235&amp;"","")</f>
        <v/>
      </c>
      <c r="G835" s="0" t="str">
        <f aca="true">IF(D835="","",IF(D835=TODAY(),D835+ROW()/100000,""))</f>
        <v/>
      </c>
      <c r="H835" s="0" t="str">
        <f aca="true">IF(D835="","",IF(AND(D835&gt;TODAY(),D835&lt;=TODAY()+7),D835+ROW()/100000,""))</f>
        <v/>
      </c>
      <c r="I835" s="0" t="str">
        <f aca="false">IF(D835="","",IF(D835=CALENDÁRIO!$L$4,ROW(),""))</f>
        <v/>
      </c>
      <c r="J835" s="0" t="str">
        <f aca="false">IF(D835="","",CHOOSE(WEEKDAY(D835),"Domingo","Segunda","Terça","Quarta","Quinta","Sexta","Sábado"))</f>
        <v/>
      </c>
    </row>
    <row r="836" customFormat="false" ht="15" hidden="false" customHeight="false" outlineLevel="0" collapsed="false">
      <c r="A836" s="0" t="str">
        <f aca="false">IF(AND(ISNUMBER('ANO NOVO'!$C236),'ANO NOVO'!$D236="FOLGA"),"Folga Ano Novo","")</f>
        <v/>
      </c>
      <c r="B836" s="0" t="str">
        <f aca="false">IF(AND(ISNUMBER('ANO NOVO'!$C236),'ANO NOVO'!$D236="FOLGA"),'ANO NOVO'!$A236&amp;"","")</f>
        <v/>
      </c>
      <c r="C836" s="0" t="str">
        <f aca="false">IF(AND(ISNUMBER('ANO NOVO'!$C236),'ANO NOVO'!$D236="FOLGA"),'ANO NOVO'!$B236&amp;"","")</f>
        <v/>
      </c>
      <c r="D836" s="78" t="str">
        <f aca="false">IF(AND(ISNUMBER('ANO NOVO'!$C236),'ANO NOVO'!$D236="FOLGA"),'ANO NOVO'!$C236,"")</f>
        <v/>
      </c>
      <c r="E836" s="0" t="str">
        <f aca="false">IF(AND(ISNUMBER('ANO NOVO'!$C236),'ANO NOVO'!$D236="FOLGA"),'ANO NOVO'!$E236&amp;"","")</f>
        <v/>
      </c>
      <c r="F836" s="0" t="str">
        <f aca="false">IF(AND(ISNUMBER('ANO NOVO'!$C236),'ANO NOVO'!$D236="FOLGA"),'ANO NOVO'!$F236&amp;"","")</f>
        <v/>
      </c>
      <c r="G836" s="0" t="str">
        <f aca="true">IF(D836="","",IF(D836=TODAY(),D836+ROW()/100000,""))</f>
        <v/>
      </c>
      <c r="H836" s="0" t="str">
        <f aca="true">IF(D836="","",IF(AND(D836&gt;TODAY(),D836&lt;=TODAY()+7),D836+ROW()/100000,""))</f>
        <v/>
      </c>
      <c r="I836" s="0" t="str">
        <f aca="false">IF(D836="","",IF(D836=CALENDÁRIO!$L$4,ROW(),""))</f>
        <v/>
      </c>
      <c r="J836" s="0" t="str">
        <f aca="false">IF(D836="","",CHOOSE(WEEKDAY(D836),"Domingo","Segunda","Terça","Quarta","Quinta","Sexta","Sábado"))</f>
        <v/>
      </c>
    </row>
    <row r="837" customFormat="false" ht="15" hidden="false" customHeight="false" outlineLevel="0" collapsed="false">
      <c r="A837" s="0" t="str">
        <f aca="false">IF(AND(ISNUMBER('ANO NOVO'!$C237),'ANO NOVO'!$D237="FOLGA"),"Folga Ano Novo","")</f>
        <v/>
      </c>
      <c r="B837" s="0" t="str">
        <f aca="false">IF(AND(ISNUMBER('ANO NOVO'!$C237),'ANO NOVO'!$D237="FOLGA"),'ANO NOVO'!$A237&amp;"","")</f>
        <v/>
      </c>
      <c r="C837" s="0" t="str">
        <f aca="false">IF(AND(ISNUMBER('ANO NOVO'!$C237),'ANO NOVO'!$D237="FOLGA"),'ANO NOVO'!$B237&amp;"","")</f>
        <v/>
      </c>
      <c r="D837" s="78" t="str">
        <f aca="false">IF(AND(ISNUMBER('ANO NOVO'!$C237),'ANO NOVO'!$D237="FOLGA"),'ANO NOVO'!$C237,"")</f>
        <v/>
      </c>
      <c r="E837" s="0" t="str">
        <f aca="false">IF(AND(ISNUMBER('ANO NOVO'!$C237),'ANO NOVO'!$D237="FOLGA"),'ANO NOVO'!$E237&amp;"","")</f>
        <v/>
      </c>
      <c r="F837" s="0" t="str">
        <f aca="false">IF(AND(ISNUMBER('ANO NOVO'!$C237),'ANO NOVO'!$D237="FOLGA"),'ANO NOVO'!$F237&amp;"","")</f>
        <v/>
      </c>
      <c r="G837" s="0" t="str">
        <f aca="true">IF(D837="","",IF(D837=TODAY(),D837+ROW()/100000,""))</f>
        <v/>
      </c>
      <c r="H837" s="0" t="str">
        <f aca="true">IF(D837="","",IF(AND(D837&gt;TODAY(),D837&lt;=TODAY()+7),D837+ROW()/100000,""))</f>
        <v/>
      </c>
      <c r="I837" s="0" t="str">
        <f aca="false">IF(D837="","",IF(D837=CALENDÁRIO!$L$4,ROW(),""))</f>
        <v/>
      </c>
      <c r="J837" s="0" t="str">
        <f aca="false">IF(D837="","",CHOOSE(WEEKDAY(D837),"Domingo","Segunda","Terça","Quarta","Quinta","Sexta","Sábado"))</f>
        <v/>
      </c>
    </row>
    <row r="838" customFormat="false" ht="15" hidden="false" customHeight="false" outlineLevel="0" collapsed="false">
      <c r="A838" s="0" t="str">
        <f aca="false">IF(AND(ISNUMBER('ANO NOVO'!$C238),'ANO NOVO'!$D238="FOLGA"),"Folga Ano Novo","")</f>
        <v/>
      </c>
      <c r="B838" s="0" t="str">
        <f aca="false">IF(AND(ISNUMBER('ANO NOVO'!$C238),'ANO NOVO'!$D238="FOLGA"),'ANO NOVO'!$A238&amp;"","")</f>
        <v/>
      </c>
      <c r="C838" s="0" t="str">
        <f aca="false">IF(AND(ISNUMBER('ANO NOVO'!$C238),'ANO NOVO'!$D238="FOLGA"),'ANO NOVO'!$B238&amp;"","")</f>
        <v/>
      </c>
      <c r="D838" s="78" t="str">
        <f aca="false">IF(AND(ISNUMBER('ANO NOVO'!$C238),'ANO NOVO'!$D238="FOLGA"),'ANO NOVO'!$C238,"")</f>
        <v/>
      </c>
      <c r="E838" s="0" t="str">
        <f aca="false">IF(AND(ISNUMBER('ANO NOVO'!$C238),'ANO NOVO'!$D238="FOLGA"),'ANO NOVO'!$E238&amp;"","")</f>
        <v/>
      </c>
      <c r="F838" s="0" t="str">
        <f aca="false">IF(AND(ISNUMBER('ANO NOVO'!$C238),'ANO NOVO'!$D238="FOLGA"),'ANO NOVO'!$F238&amp;"","")</f>
        <v/>
      </c>
      <c r="G838" s="0" t="str">
        <f aca="true">IF(D838="","",IF(D838=TODAY(),D838+ROW()/100000,""))</f>
        <v/>
      </c>
      <c r="H838" s="0" t="str">
        <f aca="true">IF(D838="","",IF(AND(D838&gt;TODAY(),D838&lt;=TODAY()+7),D838+ROW()/100000,""))</f>
        <v/>
      </c>
      <c r="I838" s="0" t="str">
        <f aca="false">IF(D838="","",IF(D838=CALENDÁRIO!$L$4,ROW(),""))</f>
        <v/>
      </c>
      <c r="J838" s="0" t="str">
        <f aca="false">IF(D838="","",CHOOSE(WEEKDAY(D838),"Domingo","Segunda","Terça","Quarta","Quinta","Sexta","Sábado"))</f>
        <v/>
      </c>
    </row>
    <row r="839" customFormat="false" ht="15" hidden="false" customHeight="false" outlineLevel="0" collapsed="false">
      <c r="A839" s="0" t="str">
        <f aca="false">IF(AND(ISNUMBER('ANO NOVO'!$C239),'ANO NOVO'!$D239="FOLGA"),"Folga Ano Novo","")</f>
        <v/>
      </c>
      <c r="B839" s="0" t="str">
        <f aca="false">IF(AND(ISNUMBER('ANO NOVO'!$C239),'ANO NOVO'!$D239="FOLGA"),'ANO NOVO'!$A239&amp;"","")</f>
        <v/>
      </c>
      <c r="C839" s="0" t="str">
        <f aca="false">IF(AND(ISNUMBER('ANO NOVO'!$C239),'ANO NOVO'!$D239="FOLGA"),'ANO NOVO'!$B239&amp;"","")</f>
        <v/>
      </c>
      <c r="D839" s="78" t="str">
        <f aca="false">IF(AND(ISNUMBER('ANO NOVO'!$C239),'ANO NOVO'!$D239="FOLGA"),'ANO NOVO'!$C239,"")</f>
        <v/>
      </c>
      <c r="E839" s="0" t="str">
        <f aca="false">IF(AND(ISNUMBER('ANO NOVO'!$C239),'ANO NOVO'!$D239="FOLGA"),'ANO NOVO'!$E239&amp;"","")</f>
        <v/>
      </c>
      <c r="F839" s="0" t="str">
        <f aca="false">IF(AND(ISNUMBER('ANO NOVO'!$C239),'ANO NOVO'!$D239="FOLGA"),'ANO NOVO'!$F239&amp;"","")</f>
        <v/>
      </c>
      <c r="G839" s="0" t="str">
        <f aca="true">IF(D839="","",IF(D839=TODAY(),D839+ROW()/100000,""))</f>
        <v/>
      </c>
      <c r="H839" s="0" t="str">
        <f aca="true">IF(D839="","",IF(AND(D839&gt;TODAY(),D839&lt;=TODAY()+7),D839+ROW()/100000,""))</f>
        <v/>
      </c>
      <c r="I839" s="0" t="str">
        <f aca="false">IF(D839="","",IF(D839=CALENDÁRIO!$L$4,ROW(),""))</f>
        <v/>
      </c>
      <c r="J839" s="0" t="str">
        <f aca="false">IF(D839="","",CHOOSE(WEEKDAY(D839),"Domingo","Segunda","Terça","Quarta","Quinta","Sexta","Sábado"))</f>
        <v/>
      </c>
    </row>
    <row r="840" customFormat="false" ht="15" hidden="false" customHeight="false" outlineLevel="0" collapsed="false">
      <c r="A840" s="0" t="str">
        <f aca="false">IF(AND(ISNUMBER('ANO NOVO'!$C240),'ANO NOVO'!$D240="FOLGA"),"Folga Ano Novo","")</f>
        <v/>
      </c>
      <c r="B840" s="0" t="str">
        <f aca="false">IF(AND(ISNUMBER('ANO NOVO'!$C240),'ANO NOVO'!$D240="FOLGA"),'ANO NOVO'!$A240&amp;"","")</f>
        <v/>
      </c>
      <c r="C840" s="0" t="str">
        <f aca="false">IF(AND(ISNUMBER('ANO NOVO'!$C240),'ANO NOVO'!$D240="FOLGA"),'ANO NOVO'!$B240&amp;"","")</f>
        <v/>
      </c>
      <c r="D840" s="78" t="str">
        <f aca="false">IF(AND(ISNUMBER('ANO NOVO'!$C240),'ANO NOVO'!$D240="FOLGA"),'ANO NOVO'!$C240,"")</f>
        <v/>
      </c>
      <c r="E840" s="0" t="str">
        <f aca="false">IF(AND(ISNUMBER('ANO NOVO'!$C240),'ANO NOVO'!$D240="FOLGA"),'ANO NOVO'!$E240&amp;"","")</f>
        <v/>
      </c>
      <c r="F840" s="0" t="str">
        <f aca="false">IF(AND(ISNUMBER('ANO NOVO'!$C240),'ANO NOVO'!$D240="FOLGA"),'ANO NOVO'!$F240&amp;"","")</f>
        <v/>
      </c>
      <c r="G840" s="0" t="str">
        <f aca="true">IF(D840="","",IF(D840=TODAY(),D840+ROW()/100000,""))</f>
        <v/>
      </c>
      <c r="H840" s="0" t="str">
        <f aca="true">IF(D840="","",IF(AND(D840&gt;TODAY(),D840&lt;=TODAY()+7),D840+ROW()/100000,""))</f>
        <v/>
      </c>
      <c r="I840" s="0" t="str">
        <f aca="false">IF(D840="","",IF(D840=CALENDÁRIO!$L$4,ROW(),""))</f>
        <v/>
      </c>
      <c r="J840" s="0" t="str">
        <f aca="false">IF(D840="","",CHOOSE(WEEKDAY(D840),"Domingo","Segunda","Terça","Quarta","Quinta","Sexta","Sábado"))</f>
        <v/>
      </c>
    </row>
    <row r="841" customFormat="false" ht="15" hidden="false" customHeight="false" outlineLevel="0" collapsed="false">
      <c r="A841" s="0" t="str">
        <f aca="false">IF(AND(ISNUMBER('ANO NOVO'!$C241),'ANO NOVO'!$D241="FOLGA"),"Folga Ano Novo","")</f>
        <v/>
      </c>
      <c r="B841" s="0" t="str">
        <f aca="false">IF(AND(ISNUMBER('ANO NOVO'!$C241),'ANO NOVO'!$D241="FOLGA"),'ANO NOVO'!$A241&amp;"","")</f>
        <v/>
      </c>
      <c r="C841" s="0" t="str">
        <f aca="false">IF(AND(ISNUMBER('ANO NOVO'!$C241),'ANO NOVO'!$D241="FOLGA"),'ANO NOVO'!$B241&amp;"","")</f>
        <v/>
      </c>
      <c r="D841" s="78" t="str">
        <f aca="false">IF(AND(ISNUMBER('ANO NOVO'!$C241),'ANO NOVO'!$D241="FOLGA"),'ANO NOVO'!$C241,"")</f>
        <v/>
      </c>
      <c r="E841" s="0" t="str">
        <f aca="false">IF(AND(ISNUMBER('ANO NOVO'!$C241),'ANO NOVO'!$D241="FOLGA"),'ANO NOVO'!$E241&amp;"","")</f>
        <v/>
      </c>
      <c r="F841" s="0" t="str">
        <f aca="false">IF(AND(ISNUMBER('ANO NOVO'!$C241),'ANO NOVO'!$D241="FOLGA"),'ANO NOVO'!$F241&amp;"","")</f>
        <v/>
      </c>
      <c r="G841" s="0" t="str">
        <f aca="true">IF(D841="","",IF(D841=TODAY(),D841+ROW()/100000,""))</f>
        <v/>
      </c>
      <c r="H841" s="0" t="str">
        <f aca="true">IF(D841="","",IF(AND(D841&gt;TODAY(),D841&lt;=TODAY()+7),D841+ROW()/100000,""))</f>
        <v/>
      </c>
      <c r="I841" s="0" t="str">
        <f aca="false">IF(D841="","",IF(D841=CALENDÁRIO!$L$4,ROW(),""))</f>
        <v/>
      </c>
      <c r="J841" s="0" t="str">
        <f aca="false">IF(D841="","",CHOOSE(WEEKDAY(D841),"Domingo","Segunda","Terça","Quarta","Quinta","Sexta","Sábado"))</f>
        <v/>
      </c>
    </row>
    <row r="842" customFormat="false" ht="15" hidden="false" customHeight="false" outlineLevel="0" collapsed="false">
      <c r="A842" s="0" t="str">
        <f aca="false">IF(AND(ISNUMBER('ANO NOVO'!$C242),'ANO NOVO'!$D242="FOLGA"),"Folga Ano Novo","")</f>
        <v/>
      </c>
      <c r="B842" s="0" t="str">
        <f aca="false">IF(AND(ISNUMBER('ANO NOVO'!$C242),'ANO NOVO'!$D242="FOLGA"),'ANO NOVO'!$A242&amp;"","")</f>
        <v/>
      </c>
      <c r="C842" s="0" t="str">
        <f aca="false">IF(AND(ISNUMBER('ANO NOVO'!$C242),'ANO NOVO'!$D242="FOLGA"),'ANO NOVO'!$B242&amp;"","")</f>
        <v/>
      </c>
      <c r="D842" s="78" t="str">
        <f aca="false">IF(AND(ISNUMBER('ANO NOVO'!$C242),'ANO NOVO'!$D242="FOLGA"),'ANO NOVO'!$C242,"")</f>
        <v/>
      </c>
      <c r="E842" s="0" t="str">
        <f aca="false">IF(AND(ISNUMBER('ANO NOVO'!$C242),'ANO NOVO'!$D242="FOLGA"),'ANO NOVO'!$E242&amp;"","")</f>
        <v/>
      </c>
      <c r="F842" s="0" t="str">
        <f aca="false">IF(AND(ISNUMBER('ANO NOVO'!$C242),'ANO NOVO'!$D242="FOLGA"),'ANO NOVO'!$F242&amp;"","")</f>
        <v/>
      </c>
      <c r="G842" s="0" t="str">
        <f aca="true">IF(D842="","",IF(D842=TODAY(),D842+ROW()/100000,""))</f>
        <v/>
      </c>
      <c r="H842" s="0" t="str">
        <f aca="true">IF(D842="","",IF(AND(D842&gt;TODAY(),D842&lt;=TODAY()+7),D842+ROW()/100000,""))</f>
        <v/>
      </c>
      <c r="I842" s="0" t="str">
        <f aca="false">IF(D842="","",IF(D842=CALENDÁRIO!$L$4,ROW(),""))</f>
        <v/>
      </c>
      <c r="J842" s="0" t="str">
        <f aca="false">IF(D842="","",CHOOSE(WEEKDAY(D842),"Domingo","Segunda","Terça","Quarta","Quinta","Sexta","Sábado"))</f>
        <v/>
      </c>
    </row>
    <row r="843" customFormat="false" ht="15" hidden="false" customHeight="false" outlineLevel="0" collapsed="false">
      <c r="A843" s="0" t="str">
        <f aca="false">IF(AND(ISNUMBER('ANO NOVO'!$C243),'ANO NOVO'!$D243="FOLGA"),"Folga Ano Novo","")</f>
        <v/>
      </c>
      <c r="B843" s="0" t="str">
        <f aca="false">IF(AND(ISNUMBER('ANO NOVO'!$C243),'ANO NOVO'!$D243="FOLGA"),'ANO NOVO'!$A243&amp;"","")</f>
        <v/>
      </c>
      <c r="C843" s="0" t="str">
        <f aca="false">IF(AND(ISNUMBER('ANO NOVO'!$C243),'ANO NOVO'!$D243="FOLGA"),'ANO NOVO'!$B243&amp;"","")</f>
        <v/>
      </c>
      <c r="D843" s="78" t="str">
        <f aca="false">IF(AND(ISNUMBER('ANO NOVO'!$C243),'ANO NOVO'!$D243="FOLGA"),'ANO NOVO'!$C243,"")</f>
        <v/>
      </c>
      <c r="E843" s="0" t="str">
        <f aca="false">IF(AND(ISNUMBER('ANO NOVO'!$C243),'ANO NOVO'!$D243="FOLGA"),'ANO NOVO'!$E243&amp;"","")</f>
        <v/>
      </c>
      <c r="F843" s="0" t="str">
        <f aca="false">IF(AND(ISNUMBER('ANO NOVO'!$C243),'ANO NOVO'!$D243="FOLGA"),'ANO NOVO'!$F243&amp;"","")</f>
        <v/>
      </c>
      <c r="G843" s="0" t="str">
        <f aca="true">IF(D843="","",IF(D843=TODAY(),D843+ROW()/100000,""))</f>
        <v/>
      </c>
      <c r="H843" s="0" t="str">
        <f aca="true">IF(D843="","",IF(AND(D843&gt;TODAY(),D843&lt;=TODAY()+7),D843+ROW()/100000,""))</f>
        <v/>
      </c>
      <c r="I843" s="0" t="str">
        <f aca="false">IF(D843="","",IF(D843=CALENDÁRIO!$L$4,ROW(),""))</f>
        <v/>
      </c>
      <c r="J843" s="0" t="str">
        <f aca="false">IF(D843="","",CHOOSE(WEEKDAY(D843),"Domingo","Segunda","Terça","Quarta","Quinta","Sexta","Sábado"))</f>
        <v/>
      </c>
    </row>
    <row r="844" customFormat="false" ht="15" hidden="false" customHeight="false" outlineLevel="0" collapsed="false">
      <c r="A844" s="0" t="str">
        <f aca="false">IF(AND(ISNUMBER('ANO NOVO'!$C244),'ANO NOVO'!$D244="FOLGA"),"Folga Ano Novo","")</f>
        <v/>
      </c>
      <c r="B844" s="0" t="str">
        <f aca="false">IF(AND(ISNUMBER('ANO NOVO'!$C244),'ANO NOVO'!$D244="FOLGA"),'ANO NOVO'!$A244&amp;"","")</f>
        <v/>
      </c>
      <c r="C844" s="0" t="str">
        <f aca="false">IF(AND(ISNUMBER('ANO NOVO'!$C244),'ANO NOVO'!$D244="FOLGA"),'ANO NOVO'!$B244&amp;"","")</f>
        <v/>
      </c>
      <c r="D844" s="78" t="str">
        <f aca="false">IF(AND(ISNUMBER('ANO NOVO'!$C244),'ANO NOVO'!$D244="FOLGA"),'ANO NOVO'!$C244,"")</f>
        <v/>
      </c>
      <c r="E844" s="0" t="str">
        <f aca="false">IF(AND(ISNUMBER('ANO NOVO'!$C244),'ANO NOVO'!$D244="FOLGA"),'ANO NOVO'!$E244&amp;"","")</f>
        <v/>
      </c>
      <c r="F844" s="0" t="str">
        <f aca="false">IF(AND(ISNUMBER('ANO NOVO'!$C244),'ANO NOVO'!$D244="FOLGA"),'ANO NOVO'!$F244&amp;"","")</f>
        <v/>
      </c>
      <c r="G844" s="0" t="str">
        <f aca="true">IF(D844="","",IF(D844=TODAY(),D844+ROW()/100000,""))</f>
        <v/>
      </c>
      <c r="H844" s="0" t="str">
        <f aca="true">IF(D844="","",IF(AND(D844&gt;TODAY(),D844&lt;=TODAY()+7),D844+ROW()/100000,""))</f>
        <v/>
      </c>
      <c r="I844" s="0" t="str">
        <f aca="false">IF(D844="","",IF(D844=CALENDÁRIO!$L$4,ROW(),""))</f>
        <v/>
      </c>
      <c r="J844" s="0" t="str">
        <f aca="false">IF(D844="","",CHOOSE(WEEKDAY(D844),"Domingo","Segunda","Terça","Quarta","Quinta","Sexta","Sábado"))</f>
        <v/>
      </c>
    </row>
    <row r="845" customFormat="false" ht="15" hidden="false" customHeight="false" outlineLevel="0" collapsed="false">
      <c r="A845" s="0" t="str">
        <f aca="false">IF(AND(ISNUMBER('ANO NOVO'!$C245),'ANO NOVO'!$D245="FOLGA"),"Folga Ano Novo","")</f>
        <v/>
      </c>
      <c r="B845" s="0" t="str">
        <f aca="false">IF(AND(ISNUMBER('ANO NOVO'!$C245),'ANO NOVO'!$D245="FOLGA"),'ANO NOVO'!$A245&amp;"","")</f>
        <v/>
      </c>
      <c r="C845" s="0" t="str">
        <f aca="false">IF(AND(ISNUMBER('ANO NOVO'!$C245),'ANO NOVO'!$D245="FOLGA"),'ANO NOVO'!$B245&amp;"","")</f>
        <v/>
      </c>
      <c r="D845" s="78" t="str">
        <f aca="false">IF(AND(ISNUMBER('ANO NOVO'!$C245),'ANO NOVO'!$D245="FOLGA"),'ANO NOVO'!$C245,"")</f>
        <v/>
      </c>
      <c r="E845" s="0" t="str">
        <f aca="false">IF(AND(ISNUMBER('ANO NOVO'!$C245),'ANO NOVO'!$D245="FOLGA"),'ANO NOVO'!$E245&amp;"","")</f>
        <v/>
      </c>
      <c r="F845" s="0" t="str">
        <f aca="false">IF(AND(ISNUMBER('ANO NOVO'!$C245),'ANO NOVO'!$D245="FOLGA"),'ANO NOVO'!$F245&amp;"","")</f>
        <v/>
      </c>
      <c r="G845" s="0" t="str">
        <f aca="true">IF(D845="","",IF(D845=TODAY(),D845+ROW()/100000,""))</f>
        <v/>
      </c>
      <c r="H845" s="0" t="str">
        <f aca="true">IF(D845="","",IF(AND(D845&gt;TODAY(),D845&lt;=TODAY()+7),D845+ROW()/100000,""))</f>
        <v/>
      </c>
      <c r="I845" s="0" t="str">
        <f aca="false">IF(D845="","",IF(D845=CALENDÁRIO!$L$4,ROW(),""))</f>
        <v/>
      </c>
      <c r="J845" s="0" t="str">
        <f aca="false">IF(D845="","",CHOOSE(WEEKDAY(D845),"Domingo","Segunda","Terça","Quarta","Quinta","Sexta","Sábado"))</f>
        <v/>
      </c>
    </row>
    <row r="846" customFormat="false" ht="15" hidden="false" customHeight="false" outlineLevel="0" collapsed="false">
      <c r="A846" s="0" t="str">
        <f aca="false">IF(AND(ISNUMBER('ANO NOVO'!$C246),'ANO NOVO'!$D246="FOLGA"),"Folga Ano Novo","")</f>
        <v/>
      </c>
      <c r="B846" s="0" t="str">
        <f aca="false">IF(AND(ISNUMBER('ANO NOVO'!$C246),'ANO NOVO'!$D246="FOLGA"),'ANO NOVO'!$A246&amp;"","")</f>
        <v/>
      </c>
      <c r="C846" s="0" t="str">
        <f aca="false">IF(AND(ISNUMBER('ANO NOVO'!$C246),'ANO NOVO'!$D246="FOLGA"),'ANO NOVO'!$B246&amp;"","")</f>
        <v/>
      </c>
      <c r="D846" s="78" t="str">
        <f aca="false">IF(AND(ISNUMBER('ANO NOVO'!$C246),'ANO NOVO'!$D246="FOLGA"),'ANO NOVO'!$C246,"")</f>
        <v/>
      </c>
      <c r="E846" s="0" t="str">
        <f aca="false">IF(AND(ISNUMBER('ANO NOVO'!$C246),'ANO NOVO'!$D246="FOLGA"),'ANO NOVO'!$E246&amp;"","")</f>
        <v/>
      </c>
      <c r="F846" s="0" t="str">
        <f aca="false">IF(AND(ISNUMBER('ANO NOVO'!$C246),'ANO NOVO'!$D246="FOLGA"),'ANO NOVO'!$F246&amp;"","")</f>
        <v/>
      </c>
      <c r="G846" s="0" t="str">
        <f aca="true">IF(D846="","",IF(D846=TODAY(),D846+ROW()/100000,""))</f>
        <v/>
      </c>
      <c r="H846" s="0" t="str">
        <f aca="true">IF(D846="","",IF(AND(D846&gt;TODAY(),D846&lt;=TODAY()+7),D846+ROW()/100000,""))</f>
        <v/>
      </c>
      <c r="I846" s="0" t="str">
        <f aca="false">IF(D846="","",IF(D846=CALENDÁRIO!$L$4,ROW(),""))</f>
        <v/>
      </c>
      <c r="J846" s="0" t="str">
        <f aca="false">IF(D846="","",CHOOSE(WEEKDAY(D846),"Domingo","Segunda","Terça","Quarta","Quinta","Sexta","Sábado"))</f>
        <v/>
      </c>
    </row>
    <row r="847" customFormat="false" ht="15" hidden="false" customHeight="false" outlineLevel="0" collapsed="false">
      <c r="A847" s="0" t="str">
        <f aca="false">IF(AND(ISNUMBER('ANO NOVO'!$C247),'ANO NOVO'!$D247="FOLGA"),"Folga Ano Novo","")</f>
        <v/>
      </c>
      <c r="B847" s="0" t="str">
        <f aca="false">IF(AND(ISNUMBER('ANO NOVO'!$C247),'ANO NOVO'!$D247="FOLGA"),'ANO NOVO'!$A247&amp;"","")</f>
        <v/>
      </c>
      <c r="C847" s="0" t="str">
        <f aca="false">IF(AND(ISNUMBER('ANO NOVO'!$C247),'ANO NOVO'!$D247="FOLGA"),'ANO NOVO'!$B247&amp;"","")</f>
        <v/>
      </c>
      <c r="D847" s="78" t="str">
        <f aca="false">IF(AND(ISNUMBER('ANO NOVO'!$C247),'ANO NOVO'!$D247="FOLGA"),'ANO NOVO'!$C247,"")</f>
        <v/>
      </c>
      <c r="E847" s="0" t="str">
        <f aca="false">IF(AND(ISNUMBER('ANO NOVO'!$C247),'ANO NOVO'!$D247="FOLGA"),'ANO NOVO'!$E247&amp;"","")</f>
        <v/>
      </c>
      <c r="F847" s="0" t="str">
        <f aca="false">IF(AND(ISNUMBER('ANO NOVO'!$C247),'ANO NOVO'!$D247="FOLGA"),'ANO NOVO'!$F247&amp;"","")</f>
        <v/>
      </c>
      <c r="G847" s="0" t="str">
        <f aca="true">IF(D847="","",IF(D847=TODAY(),D847+ROW()/100000,""))</f>
        <v/>
      </c>
      <c r="H847" s="0" t="str">
        <f aca="true">IF(D847="","",IF(AND(D847&gt;TODAY(),D847&lt;=TODAY()+7),D847+ROW()/100000,""))</f>
        <v/>
      </c>
      <c r="I847" s="0" t="str">
        <f aca="false">IF(D847="","",IF(D847=CALENDÁRIO!$L$4,ROW(),""))</f>
        <v/>
      </c>
      <c r="J847" s="0" t="str">
        <f aca="false">IF(D847="","",CHOOSE(WEEKDAY(D847),"Domingo","Segunda","Terça","Quarta","Quinta","Sexta","Sábado"))</f>
        <v/>
      </c>
    </row>
    <row r="848" customFormat="false" ht="15" hidden="false" customHeight="false" outlineLevel="0" collapsed="false">
      <c r="A848" s="0" t="str">
        <f aca="false">IF(AND(ISNUMBER('ANO NOVO'!$C248),'ANO NOVO'!$D248="FOLGA"),"Folga Ano Novo","")</f>
        <v/>
      </c>
      <c r="B848" s="0" t="str">
        <f aca="false">IF(AND(ISNUMBER('ANO NOVO'!$C248),'ANO NOVO'!$D248="FOLGA"),'ANO NOVO'!$A248&amp;"","")</f>
        <v/>
      </c>
      <c r="C848" s="0" t="str">
        <f aca="false">IF(AND(ISNUMBER('ANO NOVO'!$C248),'ANO NOVO'!$D248="FOLGA"),'ANO NOVO'!$B248&amp;"","")</f>
        <v/>
      </c>
      <c r="D848" s="78" t="str">
        <f aca="false">IF(AND(ISNUMBER('ANO NOVO'!$C248),'ANO NOVO'!$D248="FOLGA"),'ANO NOVO'!$C248,"")</f>
        <v/>
      </c>
      <c r="E848" s="0" t="str">
        <f aca="false">IF(AND(ISNUMBER('ANO NOVO'!$C248),'ANO NOVO'!$D248="FOLGA"),'ANO NOVO'!$E248&amp;"","")</f>
        <v/>
      </c>
      <c r="F848" s="0" t="str">
        <f aca="false">IF(AND(ISNUMBER('ANO NOVO'!$C248),'ANO NOVO'!$D248="FOLGA"),'ANO NOVO'!$F248&amp;"","")</f>
        <v/>
      </c>
      <c r="G848" s="0" t="str">
        <f aca="true">IF(D848="","",IF(D848=TODAY(),D848+ROW()/100000,""))</f>
        <v/>
      </c>
      <c r="H848" s="0" t="str">
        <f aca="true">IF(D848="","",IF(AND(D848&gt;TODAY(),D848&lt;=TODAY()+7),D848+ROW()/100000,""))</f>
        <v/>
      </c>
      <c r="I848" s="0" t="str">
        <f aca="false">IF(D848="","",IF(D848=CALENDÁRIO!$L$4,ROW(),""))</f>
        <v/>
      </c>
      <c r="J848" s="0" t="str">
        <f aca="false">IF(D848="","",CHOOSE(WEEKDAY(D848),"Domingo","Segunda","Terça","Quarta","Quinta","Sexta","Sábado"))</f>
        <v/>
      </c>
    </row>
    <row r="849" customFormat="false" ht="15" hidden="false" customHeight="false" outlineLevel="0" collapsed="false">
      <c r="A849" s="0" t="str">
        <f aca="false">IF(AND(ISNUMBER('ANO NOVO'!$C249),'ANO NOVO'!$D249="FOLGA"),"Folga Ano Novo","")</f>
        <v/>
      </c>
      <c r="B849" s="0" t="str">
        <f aca="false">IF(AND(ISNUMBER('ANO NOVO'!$C249),'ANO NOVO'!$D249="FOLGA"),'ANO NOVO'!$A249&amp;"","")</f>
        <v/>
      </c>
      <c r="C849" s="0" t="str">
        <f aca="false">IF(AND(ISNUMBER('ANO NOVO'!$C249),'ANO NOVO'!$D249="FOLGA"),'ANO NOVO'!$B249&amp;"","")</f>
        <v/>
      </c>
      <c r="D849" s="78" t="str">
        <f aca="false">IF(AND(ISNUMBER('ANO NOVO'!$C249),'ANO NOVO'!$D249="FOLGA"),'ANO NOVO'!$C249,"")</f>
        <v/>
      </c>
      <c r="E849" s="0" t="str">
        <f aca="false">IF(AND(ISNUMBER('ANO NOVO'!$C249),'ANO NOVO'!$D249="FOLGA"),'ANO NOVO'!$E249&amp;"","")</f>
        <v/>
      </c>
      <c r="F849" s="0" t="str">
        <f aca="false">IF(AND(ISNUMBER('ANO NOVO'!$C249),'ANO NOVO'!$D249="FOLGA"),'ANO NOVO'!$F249&amp;"","")</f>
        <v/>
      </c>
      <c r="G849" s="0" t="str">
        <f aca="true">IF(D849="","",IF(D849=TODAY(),D849+ROW()/100000,""))</f>
        <v/>
      </c>
      <c r="H849" s="0" t="str">
        <f aca="true">IF(D849="","",IF(AND(D849&gt;TODAY(),D849&lt;=TODAY()+7),D849+ROW()/100000,""))</f>
        <v/>
      </c>
      <c r="I849" s="0" t="str">
        <f aca="false">IF(D849="","",IF(D849=CALENDÁRIO!$L$4,ROW(),""))</f>
        <v/>
      </c>
      <c r="J849" s="0" t="str">
        <f aca="false">IF(D849="","",CHOOSE(WEEKDAY(D849),"Domingo","Segunda","Terça","Quarta","Quinta","Sexta","Sábado"))</f>
        <v/>
      </c>
    </row>
    <row r="850" customFormat="false" ht="15" hidden="false" customHeight="false" outlineLevel="0" collapsed="false">
      <c r="A850" s="0" t="str">
        <f aca="false">IF(AND(ISNUMBER('ANO NOVO'!$C250),'ANO NOVO'!$D250="FOLGA"),"Folga Ano Novo","")</f>
        <v/>
      </c>
      <c r="B850" s="0" t="str">
        <f aca="false">IF(AND(ISNUMBER('ANO NOVO'!$C250),'ANO NOVO'!$D250="FOLGA"),'ANO NOVO'!$A250&amp;"","")</f>
        <v/>
      </c>
      <c r="C850" s="0" t="str">
        <f aca="false">IF(AND(ISNUMBER('ANO NOVO'!$C250),'ANO NOVO'!$D250="FOLGA"),'ANO NOVO'!$B250&amp;"","")</f>
        <v/>
      </c>
      <c r="D850" s="78" t="str">
        <f aca="false">IF(AND(ISNUMBER('ANO NOVO'!$C250),'ANO NOVO'!$D250="FOLGA"),'ANO NOVO'!$C250,"")</f>
        <v/>
      </c>
      <c r="E850" s="0" t="str">
        <f aca="false">IF(AND(ISNUMBER('ANO NOVO'!$C250),'ANO NOVO'!$D250="FOLGA"),'ANO NOVO'!$E250&amp;"","")</f>
        <v/>
      </c>
      <c r="F850" s="0" t="str">
        <f aca="false">IF(AND(ISNUMBER('ANO NOVO'!$C250),'ANO NOVO'!$D250="FOLGA"),'ANO NOVO'!$F250&amp;"","")</f>
        <v/>
      </c>
      <c r="G850" s="0" t="str">
        <f aca="true">IF(D850="","",IF(D850=TODAY(),D850+ROW()/100000,""))</f>
        <v/>
      </c>
      <c r="H850" s="0" t="str">
        <f aca="true">IF(D850="","",IF(AND(D850&gt;TODAY(),D850&lt;=TODAY()+7),D850+ROW()/100000,""))</f>
        <v/>
      </c>
      <c r="I850" s="0" t="str">
        <f aca="false">IF(D850="","",IF(D850=CALENDÁRIO!$L$4,ROW(),""))</f>
        <v/>
      </c>
      <c r="J850" s="0" t="str">
        <f aca="false">IF(D850="","",CHOOSE(WEEKDAY(D850),"Domingo","Segunda","Terça","Quarta","Quinta","Sexta","Sábado"))</f>
        <v/>
      </c>
    </row>
    <row r="851" customFormat="false" ht="15" hidden="false" customHeight="false" outlineLevel="0" collapsed="false">
      <c r="A851" s="0" t="str">
        <f aca="false">IF(AND(ISNUMBER('ANO NOVO'!$C251),'ANO NOVO'!$D251="FOLGA"),"Folga Ano Novo","")</f>
        <v/>
      </c>
      <c r="B851" s="0" t="str">
        <f aca="false">IF(AND(ISNUMBER('ANO NOVO'!$C251),'ANO NOVO'!$D251="FOLGA"),'ANO NOVO'!$A251&amp;"","")</f>
        <v/>
      </c>
      <c r="C851" s="0" t="str">
        <f aca="false">IF(AND(ISNUMBER('ANO NOVO'!$C251),'ANO NOVO'!$D251="FOLGA"),'ANO NOVO'!$B251&amp;"","")</f>
        <v/>
      </c>
      <c r="D851" s="78" t="str">
        <f aca="false">IF(AND(ISNUMBER('ANO NOVO'!$C251),'ANO NOVO'!$D251="FOLGA"),'ANO NOVO'!$C251,"")</f>
        <v/>
      </c>
      <c r="E851" s="0" t="str">
        <f aca="false">IF(AND(ISNUMBER('ANO NOVO'!$C251),'ANO NOVO'!$D251="FOLGA"),'ANO NOVO'!$E251&amp;"","")</f>
        <v/>
      </c>
      <c r="F851" s="0" t="str">
        <f aca="false">IF(AND(ISNUMBER('ANO NOVO'!$C251),'ANO NOVO'!$D251="FOLGA"),'ANO NOVO'!$F251&amp;"","")</f>
        <v/>
      </c>
      <c r="G851" s="0" t="str">
        <f aca="true">IF(D851="","",IF(D851=TODAY(),D851+ROW()/100000,""))</f>
        <v/>
      </c>
      <c r="H851" s="0" t="str">
        <f aca="true">IF(D851="","",IF(AND(D851&gt;TODAY(),D851&lt;=TODAY()+7),D851+ROW()/100000,""))</f>
        <v/>
      </c>
      <c r="I851" s="0" t="str">
        <f aca="false">IF(D851="","",IF(D851=CALENDÁRIO!$L$4,ROW(),""))</f>
        <v/>
      </c>
      <c r="J851" s="0" t="str">
        <f aca="false">IF(D851="","",CHOOSE(WEEKDAY(D851),"Domingo","Segunda","Terça","Quarta","Quinta","Sexta","Sábado"))</f>
        <v/>
      </c>
    </row>
    <row r="852" customFormat="false" ht="15" hidden="false" customHeight="false" outlineLevel="0" collapsed="false">
      <c r="A852" s="0" t="str">
        <f aca="false">IF(AND(ISNUMBER('ANO NOVO'!$C252),'ANO NOVO'!$D252="FOLGA"),"Folga Ano Novo","")</f>
        <v/>
      </c>
      <c r="B852" s="0" t="str">
        <f aca="false">IF(AND(ISNUMBER('ANO NOVO'!$C252),'ANO NOVO'!$D252="FOLGA"),'ANO NOVO'!$A252&amp;"","")</f>
        <v/>
      </c>
      <c r="C852" s="0" t="str">
        <f aca="false">IF(AND(ISNUMBER('ANO NOVO'!$C252),'ANO NOVO'!$D252="FOLGA"),'ANO NOVO'!$B252&amp;"","")</f>
        <v/>
      </c>
      <c r="D852" s="78" t="str">
        <f aca="false">IF(AND(ISNUMBER('ANO NOVO'!$C252),'ANO NOVO'!$D252="FOLGA"),'ANO NOVO'!$C252,"")</f>
        <v/>
      </c>
      <c r="E852" s="0" t="str">
        <f aca="false">IF(AND(ISNUMBER('ANO NOVO'!$C252),'ANO NOVO'!$D252="FOLGA"),'ANO NOVO'!$E252&amp;"","")</f>
        <v/>
      </c>
      <c r="F852" s="0" t="str">
        <f aca="false">IF(AND(ISNUMBER('ANO NOVO'!$C252),'ANO NOVO'!$D252="FOLGA"),'ANO NOVO'!$F252&amp;"","")</f>
        <v/>
      </c>
      <c r="G852" s="0" t="str">
        <f aca="true">IF(D852="","",IF(D852=TODAY(),D852+ROW()/100000,""))</f>
        <v/>
      </c>
      <c r="H852" s="0" t="str">
        <f aca="true">IF(D852="","",IF(AND(D852&gt;TODAY(),D852&lt;=TODAY()+7),D852+ROW()/100000,""))</f>
        <v/>
      </c>
      <c r="I852" s="0" t="str">
        <f aca="false">IF(D852="","",IF(D852=CALENDÁRIO!$L$4,ROW(),""))</f>
        <v/>
      </c>
      <c r="J852" s="0" t="str">
        <f aca="false">IF(D852="","",CHOOSE(WEEKDAY(D852),"Domingo","Segunda","Terça","Quarta","Quinta","Sexta","Sábado"))</f>
        <v/>
      </c>
    </row>
    <row r="853" customFormat="false" ht="15" hidden="false" customHeight="false" outlineLevel="0" collapsed="false">
      <c r="A853" s="0" t="str">
        <f aca="false">IF(AND(ISNUMBER('ANO NOVO'!$C253),'ANO NOVO'!$D253="FOLGA"),"Folga Ano Novo","")</f>
        <v/>
      </c>
      <c r="B853" s="0" t="str">
        <f aca="false">IF(AND(ISNUMBER('ANO NOVO'!$C253),'ANO NOVO'!$D253="FOLGA"),'ANO NOVO'!$A253&amp;"","")</f>
        <v/>
      </c>
      <c r="C853" s="0" t="str">
        <f aca="false">IF(AND(ISNUMBER('ANO NOVO'!$C253),'ANO NOVO'!$D253="FOLGA"),'ANO NOVO'!$B253&amp;"","")</f>
        <v/>
      </c>
      <c r="D853" s="78" t="str">
        <f aca="false">IF(AND(ISNUMBER('ANO NOVO'!$C253),'ANO NOVO'!$D253="FOLGA"),'ANO NOVO'!$C253,"")</f>
        <v/>
      </c>
      <c r="E853" s="0" t="str">
        <f aca="false">IF(AND(ISNUMBER('ANO NOVO'!$C253),'ANO NOVO'!$D253="FOLGA"),'ANO NOVO'!$E253&amp;"","")</f>
        <v/>
      </c>
      <c r="F853" s="0" t="str">
        <f aca="false">IF(AND(ISNUMBER('ANO NOVO'!$C253),'ANO NOVO'!$D253="FOLGA"),'ANO NOVO'!$F253&amp;"","")</f>
        <v/>
      </c>
      <c r="G853" s="0" t="str">
        <f aca="true">IF(D853="","",IF(D853=TODAY(),D853+ROW()/100000,""))</f>
        <v/>
      </c>
      <c r="H853" s="0" t="str">
        <f aca="true">IF(D853="","",IF(AND(D853&gt;TODAY(),D853&lt;=TODAY()+7),D853+ROW()/100000,""))</f>
        <v/>
      </c>
      <c r="I853" s="0" t="str">
        <f aca="false">IF(D853="","",IF(D853=CALENDÁRIO!$L$4,ROW(),""))</f>
        <v/>
      </c>
      <c r="J853" s="0" t="str">
        <f aca="false">IF(D853="","",CHOOSE(WEEKDAY(D853),"Domingo","Segunda","Terça","Quarta","Quinta","Sexta","Sábado"))</f>
        <v/>
      </c>
    </row>
    <row r="854" customFormat="false" ht="15" hidden="false" customHeight="false" outlineLevel="0" collapsed="false">
      <c r="A854" s="0" t="str">
        <f aca="false">IF(AND(ISNUMBER('ANO NOVO'!$C254),'ANO NOVO'!$D254="FOLGA"),"Folga Ano Novo","")</f>
        <v/>
      </c>
      <c r="B854" s="0" t="str">
        <f aca="false">IF(AND(ISNUMBER('ANO NOVO'!$C254),'ANO NOVO'!$D254="FOLGA"),'ANO NOVO'!$A254&amp;"","")</f>
        <v/>
      </c>
      <c r="C854" s="0" t="str">
        <f aca="false">IF(AND(ISNUMBER('ANO NOVO'!$C254),'ANO NOVO'!$D254="FOLGA"),'ANO NOVO'!$B254&amp;"","")</f>
        <v/>
      </c>
      <c r="D854" s="78" t="str">
        <f aca="false">IF(AND(ISNUMBER('ANO NOVO'!$C254),'ANO NOVO'!$D254="FOLGA"),'ANO NOVO'!$C254,"")</f>
        <v/>
      </c>
      <c r="E854" s="0" t="str">
        <f aca="false">IF(AND(ISNUMBER('ANO NOVO'!$C254),'ANO NOVO'!$D254="FOLGA"),'ANO NOVO'!$E254&amp;"","")</f>
        <v/>
      </c>
      <c r="F854" s="0" t="str">
        <f aca="false">IF(AND(ISNUMBER('ANO NOVO'!$C254),'ANO NOVO'!$D254="FOLGA"),'ANO NOVO'!$F254&amp;"","")</f>
        <v/>
      </c>
      <c r="G854" s="0" t="str">
        <f aca="true">IF(D854="","",IF(D854=TODAY(),D854+ROW()/100000,""))</f>
        <v/>
      </c>
      <c r="H854" s="0" t="str">
        <f aca="true">IF(D854="","",IF(AND(D854&gt;TODAY(),D854&lt;=TODAY()+7),D854+ROW()/100000,""))</f>
        <v/>
      </c>
      <c r="I854" s="0" t="str">
        <f aca="false">IF(D854="","",IF(D854=CALENDÁRIO!$L$4,ROW(),""))</f>
        <v/>
      </c>
      <c r="J854" s="0" t="str">
        <f aca="false">IF(D854="","",CHOOSE(WEEKDAY(D854),"Domingo","Segunda","Terça","Quarta","Quinta","Sexta","Sábado"))</f>
        <v/>
      </c>
    </row>
    <row r="855" customFormat="false" ht="15" hidden="false" customHeight="false" outlineLevel="0" collapsed="false">
      <c r="A855" s="0" t="str">
        <f aca="false">IF(AND(ISNUMBER('ANO NOVO'!$C255),'ANO NOVO'!$D255="FOLGA"),"Folga Ano Novo","")</f>
        <v/>
      </c>
      <c r="B855" s="0" t="str">
        <f aca="false">IF(AND(ISNUMBER('ANO NOVO'!$C255),'ANO NOVO'!$D255="FOLGA"),'ANO NOVO'!$A255&amp;"","")</f>
        <v/>
      </c>
      <c r="C855" s="0" t="str">
        <f aca="false">IF(AND(ISNUMBER('ANO NOVO'!$C255),'ANO NOVO'!$D255="FOLGA"),'ANO NOVO'!$B255&amp;"","")</f>
        <v/>
      </c>
      <c r="D855" s="78" t="str">
        <f aca="false">IF(AND(ISNUMBER('ANO NOVO'!$C255),'ANO NOVO'!$D255="FOLGA"),'ANO NOVO'!$C255,"")</f>
        <v/>
      </c>
      <c r="E855" s="0" t="str">
        <f aca="false">IF(AND(ISNUMBER('ANO NOVO'!$C255),'ANO NOVO'!$D255="FOLGA"),'ANO NOVO'!$E255&amp;"","")</f>
        <v/>
      </c>
      <c r="F855" s="0" t="str">
        <f aca="false">IF(AND(ISNUMBER('ANO NOVO'!$C255),'ANO NOVO'!$D255="FOLGA"),'ANO NOVO'!$F255&amp;"","")</f>
        <v/>
      </c>
      <c r="G855" s="0" t="str">
        <f aca="true">IF(D855="","",IF(D855=TODAY(),D855+ROW()/100000,""))</f>
        <v/>
      </c>
      <c r="H855" s="0" t="str">
        <f aca="true">IF(D855="","",IF(AND(D855&gt;TODAY(),D855&lt;=TODAY()+7),D855+ROW()/100000,""))</f>
        <v/>
      </c>
      <c r="I855" s="0" t="str">
        <f aca="false">IF(D855="","",IF(D855=CALENDÁRIO!$L$4,ROW(),""))</f>
        <v/>
      </c>
      <c r="J855" s="0" t="str">
        <f aca="false">IF(D855="","",CHOOSE(WEEKDAY(D855),"Domingo","Segunda","Terça","Quarta","Quinta","Sexta","Sábado"))</f>
        <v/>
      </c>
    </row>
    <row r="856" customFormat="false" ht="15" hidden="false" customHeight="false" outlineLevel="0" collapsed="false">
      <c r="A856" s="0" t="str">
        <f aca="false">IF(AND(ISNUMBER('ANO NOVO'!$C256),'ANO NOVO'!$D256="FOLGA"),"Folga Ano Novo","")</f>
        <v/>
      </c>
      <c r="B856" s="0" t="str">
        <f aca="false">IF(AND(ISNUMBER('ANO NOVO'!$C256),'ANO NOVO'!$D256="FOLGA"),'ANO NOVO'!$A256&amp;"","")</f>
        <v/>
      </c>
      <c r="C856" s="0" t="str">
        <f aca="false">IF(AND(ISNUMBER('ANO NOVO'!$C256),'ANO NOVO'!$D256="FOLGA"),'ANO NOVO'!$B256&amp;"","")</f>
        <v/>
      </c>
      <c r="D856" s="78" t="str">
        <f aca="false">IF(AND(ISNUMBER('ANO NOVO'!$C256),'ANO NOVO'!$D256="FOLGA"),'ANO NOVO'!$C256,"")</f>
        <v/>
      </c>
      <c r="E856" s="0" t="str">
        <f aca="false">IF(AND(ISNUMBER('ANO NOVO'!$C256),'ANO NOVO'!$D256="FOLGA"),'ANO NOVO'!$E256&amp;"","")</f>
        <v/>
      </c>
      <c r="F856" s="0" t="str">
        <f aca="false">IF(AND(ISNUMBER('ANO NOVO'!$C256),'ANO NOVO'!$D256="FOLGA"),'ANO NOVO'!$F256&amp;"","")</f>
        <v/>
      </c>
      <c r="G856" s="0" t="str">
        <f aca="true">IF(D856="","",IF(D856=TODAY(),D856+ROW()/100000,""))</f>
        <v/>
      </c>
      <c r="H856" s="0" t="str">
        <f aca="true">IF(D856="","",IF(AND(D856&gt;TODAY(),D856&lt;=TODAY()+7),D856+ROW()/100000,""))</f>
        <v/>
      </c>
      <c r="I856" s="0" t="str">
        <f aca="false">IF(D856="","",IF(D856=CALENDÁRIO!$L$4,ROW(),""))</f>
        <v/>
      </c>
      <c r="J856" s="0" t="str">
        <f aca="false">IF(D856="","",CHOOSE(WEEKDAY(D856),"Domingo","Segunda","Terça","Quarta","Quinta","Sexta","Sábado"))</f>
        <v/>
      </c>
    </row>
    <row r="857" customFormat="false" ht="15" hidden="false" customHeight="false" outlineLevel="0" collapsed="false">
      <c r="A857" s="0" t="str">
        <f aca="false">IF(AND(ISNUMBER('ANO NOVO'!$C257),'ANO NOVO'!$D257="FOLGA"),"Folga Ano Novo","")</f>
        <v/>
      </c>
      <c r="B857" s="0" t="str">
        <f aca="false">IF(AND(ISNUMBER('ANO NOVO'!$C257),'ANO NOVO'!$D257="FOLGA"),'ANO NOVO'!$A257&amp;"","")</f>
        <v/>
      </c>
      <c r="C857" s="0" t="str">
        <f aca="false">IF(AND(ISNUMBER('ANO NOVO'!$C257),'ANO NOVO'!$D257="FOLGA"),'ANO NOVO'!$B257&amp;"","")</f>
        <v/>
      </c>
      <c r="D857" s="78" t="str">
        <f aca="false">IF(AND(ISNUMBER('ANO NOVO'!$C257),'ANO NOVO'!$D257="FOLGA"),'ANO NOVO'!$C257,"")</f>
        <v/>
      </c>
      <c r="E857" s="0" t="str">
        <f aca="false">IF(AND(ISNUMBER('ANO NOVO'!$C257),'ANO NOVO'!$D257="FOLGA"),'ANO NOVO'!$E257&amp;"","")</f>
        <v/>
      </c>
      <c r="F857" s="0" t="str">
        <f aca="false">IF(AND(ISNUMBER('ANO NOVO'!$C257),'ANO NOVO'!$D257="FOLGA"),'ANO NOVO'!$F257&amp;"","")</f>
        <v/>
      </c>
      <c r="G857" s="0" t="str">
        <f aca="true">IF(D857="","",IF(D857=TODAY(),D857+ROW()/100000,""))</f>
        <v/>
      </c>
      <c r="H857" s="0" t="str">
        <f aca="true">IF(D857="","",IF(AND(D857&gt;TODAY(),D857&lt;=TODAY()+7),D857+ROW()/100000,""))</f>
        <v/>
      </c>
      <c r="I857" s="0" t="str">
        <f aca="false">IF(D857="","",IF(D857=CALENDÁRIO!$L$4,ROW(),""))</f>
        <v/>
      </c>
      <c r="J857" s="0" t="str">
        <f aca="false">IF(D857="","",CHOOSE(WEEKDAY(D857),"Domingo","Segunda","Terça","Quarta","Quinta","Sexta","Sábado"))</f>
        <v/>
      </c>
    </row>
    <row r="858" customFormat="false" ht="15" hidden="false" customHeight="false" outlineLevel="0" collapsed="false">
      <c r="A858" s="0" t="str">
        <f aca="false">IF(AND(ISNUMBER('ANO NOVO'!$C258),'ANO NOVO'!$D258="FOLGA"),"Folga Ano Novo","")</f>
        <v/>
      </c>
      <c r="B858" s="0" t="str">
        <f aca="false">IF(AND(ISNUMBER('ANO NOVO'!$C258),'ANO NOVO'!$D258="FOLGA"),'ANO NOVO'!$A258&amp;"","")</f>
        <v/>
      </c>
      <c r="C858" s="0" t="str">
        <f aca="false">IF(AND(ISNUMBER('ANO NOVO'!$C258),'ANO NOVO'!$D258="FOLGA"),'ANO NOVO'!$B258&amp;"","")</f>
        <v/>
      </c>
      <c r="D858" s="78" t="str">
        <f aca="false">IF(AND(ISNUMBER('ANO NOVO'!$C258),'ANO NOVO'!$D258="FOLGA"),'ANO NOVO'!$C258,"")</f>
        <v/>
      </c>
      <c r="E858" s="0" t="str">
        <f aca="false">IF(AND(ISNUMBER('ANO NOVO'!$C258),'ANO NOVO'!$D258="FOLGA"),'ANO NOVO'!$E258&amp;"","")</f>
        <v/>
      </c>
      <c r="F858" s="0" t="str">
        <f aca="false">IF(AND(ISNUMBER('ANO NOVO'!$C258),'ANO NOVO'!$D258="FOLGA"),'ANO NOVO'!$F258&amp;"","")</f>
        <v/>
      </c>
      <c r="G858" s="0" t="str">
        <f aca="true">IF(D858="","",IF(D858=TODAY(),D858+ROW()/100000,""))</f>
        <v/>
      </c>
      <c r="H858" s="0" t="str">
        <f aca="true">IF(D858="","",IF(AND(D858&gt;TODAY(),D858&lt;=TODAY()+7),D858+ROW()/100000,""))</f>
        <v/>
      </c>
      <c r="I858" s="0" t="str">
        <f aca="false">IF(D858="","",IF(D858=CALENDÁRIO!$L$4,ROW(),""))</f>
        <v/>
      </c>
      <c r="J858" s="0" t="str">
        <f aca="false">IF(D858="","",CHOOSE(WEEKDAY(D858),"Domingo","Segunda","Terça","Quarta","Quinta","Sexta","Sábado"))</f>
        <v/>
      </c>
    </row>
    <row r="859" customFormat="false" ht="15" hidden="false" customHeight="false" outlineLevel="0" collapsed="false">
      <c r="A859" s="0" t="str">
        <f aca="false">IF(AND(ISNUMBER('ANO NOVO'!$C259),'ANO NOVO'!$D259="FOLGA"),"Folga Ano Novo","")</f>
        <v/>
      </c>
      <c r="B859" s="0" t="str">
        <f aca="false">IF(AND(ISNUMBER('ANO NOVO'!$C259),'ANO NOVO'!$D259="FOLGA"),'ANO NOVO'!$A259&amp;"","")</f>
        <v/>
      </c>
      <c r="C859" s="0" t="str">
        <f aca="false">IF(AND(ISNUMBER('ANO NOVO'!$C259),'ANO NOVO'!$D259="FOLGA"),'ANO NOVO'!$B259&amp;"","")</f>
        <v/>
      </c>
      <c r="D859" s="78" t="str">
        <f aca="false">IF(AND(ISNUMBER('ANO NOVO'!$C259),'ANO NOVO'!$D259="FOLGA"),'ANO NOVO'!$C259,"")</f>
        <v/>
      </c>
      <c r="E859" s="0" t="str">
        <f aca="false">IF(AND(ISNUMBER('ANO NOVO'!$C259),'ANO NOVO'!$D259="FOLGA"),'ANO NOVO'!$E259&amp;"","")</f>
        <v/>
      </c>
      <c r="F859" s="0" t="str">
        <f aca="false">IF(AND(ISNUMBER('ANO NOVO'!$C259),'ANO NOVO'!$D259="FOLGA"),'ANO NOVO'!$F259&amp;"","")</f>
        <v/>
      </c>
      <c r="G859" s="0" t="str">
        <f aca="true">IF(D859="","",IF(D859=TODAY(),D859+ROW()/100000,""))</f>
        <v/>
      </c>
      <c r="H859" s="0" t="str">
        <f aca="true">IF(D859="","",IF(AND(D859&gt;TODAY(),D859&lt;=TODAY()+7),D859+ROW()/100000,""))</f>
        <v/>
      </c>
      <c r="I859" s="0" t="str">
        <f aca="false">IF(D859="","",IF(D859=CALENDÁRIO!$L$4,ROW(),""))</f>
        <v/>
      </c>
      <c r="J859" s="0" t="str">
        <f aca="false">IF(D859="","",CHOOSE(WEEKDAY(D859),"Domingo","Segunda","Terça","Quarta","Quinta","Sexta","Sábado"))</f>
        <v/>
      </c>
    </row>
    <row r="860" customFormat="false" ht="15" hidden="false" customHeight="false" outlineLevel="0" collapsed="false">
      <c r="A860" s="0" t="str">
        <f aca="false">IF(AND(ISNUMBER('ANO NOVO'!$C260),'ANO NOVO'!$D260="FOLGA"),"Folga Ano Novo","")</f>
        <v/>
      </c>
      <c r="B860" s="0" t="str">
        <f aca="false">IF(AND(ISNUMBER('ANO NOVO'!$C260),'ANO NOVO'!$D260="FOLGA"),'ANO NOVO'!$A260&amp;"","")</f>
        <v/>
      </c>
      <c r="C860" s="0" t="str">
        <f aca="false">IF(AND(ISNUMBER('ANO NOVO'!$C260),'ANO NOVO'!$D260="FOLGA"),'ANO NOVO'!$B260&amp;"","")</f>
        <v/>
      </c>
      <c r="D860" s="78" t="str">
        <f aca="false">IF(AND(ISNUMBER('ANO NOVO'!$C260),'ANO NOVO'!$D260="FOLGA"),'ANO NOVO'!$C260,"")</f>
        <v/>
      </c>
      <c r="E860" s="0" t="str">
        <f aca="false">IF(AND(ISNUMBER('ANO NOVO'!$C260),'ANO NOVO'!$D260="FOLGA"),'ANO NOVO'!$E260&amp;"","")</f>
        <v/>
      </c>
      <c r="F860" s="0" t="str">
        <f aca="false">IF(AND(ISNUMBER('ANO NOVO'!$C260),'ANO NOVO'!$D260="FOLGA"),'ANO NOVO'!$F260&amp;"","")</f>
        <v/>
      </c>
      <c r="G860" s="0" t="str">
        <f aca="true">IF(D860="","",IF(D860=TODAY(),D860+ROW()/100000,""))</f>
        <v/>
      </c>
      <c r="H860" s="0" t="str">
        <f aca="true">IF(D860="","",IF(AND(D860&gt;TODAY(),D860&lt;=TODAY()+7),D860+ROW()/100000,""))</f>
        <v/>
      </c>
      <c r="I860" s="0" t="str">
        <f aca="false">IF(D860="","",IF(D860=CALENDÁRIO!$L$4,ROW(),""))</f>
        <v/>
      </c>
      <c r="J860" s="0" t="str">
        <f aca="false">IF(D860="","",CHOOSE(WEEKDAY(D860),"Domingo","Segunda","Terça","Quarta","Quinta","Sexta","Sábado"))</f>
        <v/>
      </c>
    </row>
    <row r="861" customFormat="false" ht="15" hidden="false" customHeight="false" outlineLevel="0" collapsed="false">
      <c r="A861" s="0" t="str">
        <f aca="false">IF(AND(ISNUMBER('ANO NOVO'!$C261),'ANO NOVO'!$D261="FOLGA"),"Folga Ano Novo","")</f>
        <v/>
      </c>
      <c r="B861" s="0" t="str">
        <f aca="false">IF(AND(ISNUMBER('ANO NOVO'!$C261),'ANO NOVO'!$D261="FOLGA"),'ANO NOVO'!$A261&amp;"","")</f>
        <v/>
      </c>
      <c r="C861" s="0" t="str">
        <f aca="false">IF(AND(ISNUMBER('ANO NOVO'!$C261),'ANO NOVO'!$D261="FOLGA"),'ANO NOVO'!$B261&amp;"","")</f>
        <v/>
      </c>
      <c r="D861" s="78" t="str">
        <f aca="false">IF(AND(ISNUMBER('ANO NOVO'!$C261),'ANO NOVO'!$D261="FOLGA"),'ANO NOVO'!$C261,"")</f>
        <v/>
      </c>
      <c r="E861" s="0" t="str">
        <f aca="false">IF(AND(ISNUMBER('ANO NOVO'!$C261),'ANO NOVO'!$D261="FOLGA"),'ANO NOVO'!$E261&amp;"","")</f>
        <v/>
      </c>
      <c r="F861" s="0" t="str">
        <f aca="false">IF(AND(ISNUMBER('ANO NOVO'!$C261),'ANO NOVO'!$D261="FOLGA"),'ANO NOVO'!$F261&amp;"","")</f>
        <v/>
      </c>
      <c r="G861" s="0" t="str">
        <f aca="true">IF(D861="","",IF(D861=TODAY(),D861+ROW()/100000,""))</f>
        <v/>
      </c>
      <c r="H861" s="0" t="str">
        <f aca="true">IF(D861="","",IF(AND(D861&gt;TODAY(),D861&lt;=TODAY()+7),D861+ROW()/100000,""))</f>
        <v/>
      </c>
      <c r="I861" s="0" t="str">
        <f aca="false">IF(D861="","",IF(D861=CALENDÁRIO!$L$4,ROW(),""))</f>
        <v/>
      </c>
      <c r="J861" s="0" t="str">
        <f aca="false">IF(D861="","",CHOOSE(WEEKDAY(D861),"Domingo","Segunda","Terça","Quarta","Quinta","Sexta","Sábado"))</f>
        <v/>
      </c>
    </row>
    <row r="862" customFormat="false" ht="15" hidden="false" customHeight="false" outlineLevel="0" collapsed="false">
      <c r="A862" s="0" t="str">
        <f aca="false">IF(AND(ISNUMBER('ANO NOVO'!$C262),'ANO NOVO'!$D262="FOLGA"),"Folga Ano Novo","")</f>
        <v/>
      </c>
      <c r="B862" s="0" t="str">
        <f aca="false">IF(AND(ISNUMBER('ANO NOVO'!$C262),'ANO NOVO'!$D262="FOLGA"),'ANO NOVO'!$A262&amp;"","")</f>
        <v/>
      </c>
      <c r="C862" s="0" t="str">
        <f aca="false">IF(AND(ISNUMBER('ANO NOVO'!$C262),'ANO NOVO'!$D262="FOLGA"),'ANO NOVO'!$B262&amp;"","")</f>
        <v/>
      </c>
      <c r="D862" s="78" t="str">
        <f aca="false">IF(AND(ISNUMBER('ANO NOVO'!$C262),'ANO NOVO'!$D262="FOLGA"),'ANO NOVO'!$C262,"")</f>
        <v/>
      </c>
      <c r="E862" s="0" t="str">
        <f aca="false">IF(AND(ISNUMBER('ANO NOVO'!$C262),'ANO NOVO'!$D262="FOLGA"),'ANO NOVO'!$E262&amp;"","")</f>
        <v/>
      </c>
      <c r="F862" s="0" t="str">
        <f aca="false">IF(AND(ISNUMBER('ANO NOVO'!$C262),'ANO NOVO'!$D262="FOLGA"),'ANO NOVO'!$F262&amp;"","")</f>
        <v/>
      </c>
      <c r="G862" s="0" t="str">
        <f aca="true">IF(D862="","",IF(D862=TODAY(),D862+ROW()/100000,""))</f>
        <v/>
      </c>
      <c r="H862" s="0" t="str">
        <f aca="true">IF(D862="","",IF(AND(D862&gt;TODAY(),D862&lt;=TODAY()+7),D862+ROW()/100000,""))</f>
        <v/>
      </c>
      <c r="I862" s="0" t="str">
        <f aca="false">IF(D862="","",IF(D862=CALENDÁRIO!$L$4,ROW(),""))</f>
        <v/>
      </c>
      <c r="J862" s="0" t="str">
        <f aca="false">IF(D862="","",CHOOSE(WEEKDAY(D862),"Domingo","Segunda","Terça","Quarta","Quinta","Sexta","Sábado"))</f>
        <v/>
      </c>
    </row>
    <row r="863" customFormat="false" ht="15" hidden="false" customHeight="false" outlineLevel="0" collapsed="false">
      <c r="A863" s="0" t="str">
        <f aca="false">IF(AND(ISNUMBER('ANO NOVO'!$C263),'ANO NOVO'!$D263="FOLGA"),"Folga Ano Novo","")</f>
        <v/>
      </c>
      <c r="B863" s="0" t="str">
        <f aca="false">IF(AND(ISNUMBER('ANO NOVO'!$C263),'ANO NOVO'!$D263="FOLGA"),'ANO NOVO'!$A263&amp;"","")</f>
        <v/>
      </c>
      <c r="C863" s="0" t="str">
        <f aca="false">IF(AND(ISNUMBER('ANO NOVO'!$C263),'ANO NOVO'!$D263="FOLGA"),'ANO NOVO'!$B263&amp;"","")</f>
        <v/>
      </c>
      <c r="D863" s="78" t="str">
        <f aca="false">IF(AND(ISNUMBER('ANO NOVO'!$C263),'ANO NOVO'!$D263="FOLGA"),'ANO NOVO'!$C263,"")</f>
        <v/>
      </c>
      <c r="E863" s="0" t="str">
        <f aca="false">IF(AND(ISNUMBER('ANO NOVO'!$C263),'ANO NOVO'!$D263="FOLGA"),'ANO NOVO'!$E263&amp;"","")</f>
        <v/>
      </c>
      <c r="F863" s="0" t="str">
        <f aca="false">IF(AND(ISNUMBER('ANO NOVO'!$C263),'ANO NOVO'!$D263="FOLGA"),'ANO NOVO'!$F263&amp;"","")</f>
        <v/>
      </c>
      <c r="G863" s="0" t="str">
        <f aca="true">IF(D863="","",IF(D863=TODAY(),D863+ROW()/100000,""))</f>
        <v/>
      </c>
      <c r="H863" s="0" t="str">
        <f aca="true">IF(D863="","",IF(AND(D863&gt;TODAY(),D863&lt;=TODAY()+7),D863+ROW()/100000,""))</f>
        <v/>
      </c>
      <c r="I863" s="0" t="str">
        <f aca="false">IF(D863="","",IF(D863=CALENDÁRIO!$L$4,ROW(),""))</f>
        <v/>
      </c>
      <c r="J863" s="0" t="str">
        <f aca="false">IF(D863="","",CHOOSE(WEEKDAY(D863),"Domingo","Segunda","Terça","Quarta","Quinta","Sexta","Sábado"))</f>
        <v/>
      </c>
    </row>
    <row r="864" customFormat="false" ht="15" hidden="false" customHeight="false" outlineLevel="0" collapsed="false">
      <c r="A864" s="0" t="str">
        <f aca="false">IF(AND(ISNUMBER('ANO NOVO'!$C264),'ANO NOVO'!$D264="FOLGA"),"Folga Ano Novo","")</f>
        <v/>
      </c>
      <c r="B864" s="0" t="str">
        <f aca="false">IF(AND(ISNUMBER('ANO NOVO'!$C264),'ANO NOVO'!$D264="FOLGA"),'ANO NOVO'!$A264&amp;"","")</f>
        <v/>
      </c>
      <c r="C864" s="0" t="str">
        <f aca="false">IF(AND(ISNUMBER('ANO NOVO'!$C264),'ANO NOVO'!$D264="FOLGA"),'ANO NOVO'!$B264&amp;"","")</f>
        <v/>
      </c>
      <c r="D864" s="78" t="str">
        <f aca="false">IF(AND(ISNUMBER('ANO NOVO'!$C264),'ANO NOVO'!$D264="FOLGA"),'ANO NOVO'!$C264,"")</f>
        <v/>
      </c>
      <c r="E864" s="0" t="str">
        <f aca="false">IF(AND(ISNUMBER('ANO NOVO'!$C264),'ANO NOVO'!$D264="FOLGA"),'ANO NOVO'!$E264&amp;"","")</f>
        <v/>
      </c>
      <c r="F864" s="0" t="str">
        <f aca="false">IF(AND(ISNUMBER('ANO NOVO'!$C264),'ANO NOVO'!$D264="FOLGA"),'ANO NOVO'!$F264&amp;"","")</f>
        <v/>
      </c>
      <c r="G864" s="0" t="str">
        <f aca="true">IF(D864="","",IF(D864=TODAY(),D864+ROW()/100000,""))</f>
        <v/>
      </c>
      <c r="H864" s="0" t="str">
        <f aca="true">IF(D864="","",IF(AND(D864&gt;TODAY(),D864&lt;=TODAY()+7),D864+ROW()/100000,""))</f>
        <v/>
      </c>
      <c r="I864" s="0" t="str">
        <f aca="false">IF(D864="","",IF(D864=CALENDÁRIO!$L$4,ROW(),""))</f>
        <v/>
      </c>
      <c r="J864" s="0" t="str">
        <f aca="false">IF(D864="","",CHOOSE(WEEKDAY(D864),"Domingo","Segunda","Terça","Quarta","Quinta","Sexta","Sábado"))</f>
        <v/>
      </c>
    </row>
    <row r="865" customFormat="false" ht="15" hidden="false" customHeight="false" outlineLevel="0" collapsed="false">
      <c r="A865" s="0" t="str">
        <f aca="false">IF(AND(ISNUMBER('ANO NOVO'!$C265),'ANO NOVO'!$D265="FOLGA"),"Folga Ano Novo","")</f>
        <v/>
      </c>
      <c r="B865" s="0" t="str">
        <f aca="false">IF(AND(ISNUMBER('ANO NOVO'!$C265),'ANO NOVO'!$D265="FOLGA"),'ANO NOVO'!$A265&amp;"","")</f>
        <v/>
      </c>
      <c r="C865" s="0" t="str">
        <f aca="false">IF(AND(ISNUMBER('ANO NOVO'!$C265),'ANO NOVO'!$D265="FOLGA"),'ANO NOVO'!$B265&amp;"","")</f>
        <v/>
      </c>
      <c r="D865" s="78" t="str">
        <f aca="false">IF(AND(ISNUMBER('ANO NOVO'!$C265),'ANO NOVO'!$D265="FOLGA"),'ANO NOVO'!$C265,"")</f>
        <v/>
      </c>
      <c r="E865" s="0" t="str">
        <f aca="false">IF(AND(ISNUMBER('ANO NOVO'!$C265),'ANO NOVO'!$D265="FOLGA"),'ANO NOVO'!$E265&amp;"","")</f>
        <v/>
      </c>
      <c r="F865" s="0" t="str">
        <f aca="false">IF(AND(ISNUMBER('ANO NOVO'!$C265),'ANO NOVO'!$D265="FOLGA"),'ANO NOVO'!$F265&amp;"","")</f>
        <v/>
      </c>
      <c r="G865" s="0" t="str">
        <f aca="true">IF(D865="","",IF(D865=TODAY(),D865+ROW()/100000,""))</f>
        <v/>
      </c>
      <c r="H865" s="0" t="str">
        <f aca="true">IF(D865="","",IF(AND(D865&gt;TODAY(),D865&lt;=TODAY()+7),D865+ROW()/100000,""))</f>
        <v/>
      </c>
      <c r="I865" s="0" t="str">
        <f aca="false">IF(D865="","",IF(D865=CALENDÁRIO!$L$4,ROW(),""))</f>
        <v/>
      </c>
      <c r="J865" s="0" t="str">
        <f aca="false">IF(D865="","",CHOOSE(WEEKDAY(D865),"Domingo","Segunda","Terça","Quarta","Quinta","Sexta","Sábado"))</f>
        <v/>
      </c>
    </row>
    <row r="866" customFormat="false" ht="15" hidden="false" customHeight="false" outlineLevel="0" collapsed="false">
      <c r="A866" s="0" t="str">
        <f aca="false">IF(AND(ISNUMBER('ANO NOVO'!$C266),'ANO NOVO'!$D266="FOLGA"),"Folga Ano Novo","")</f>
        <v/>
      </c>
      <c r="B866" s="0" t="str">
        <f aca="false">IF(AND(ISNUMBER('ANO NOVO'!$C266),'ANO NOVO'!$D266="FOLGA"),'ANO NOVO'!$A266&amp;"","")</f>
        <v/>
      </c>
      <c r="C866" s="0" t="str">
        <f aca="false">IF(AND(ISNUMBER('ANO NOVO'!$C266),'ANO NOVO'!$D266="FOLGA"),'ANO NOVO'!$B266&amp;"","")</f>
        <v/>
      </c>
      <c r="D866" s="78" t="str">
        <f aca="false">IF(AND(ISNUMBER('ANO NOVO'!$C266),'ANO NOVO'!$D266="FOLGA"),'ANO NOVO'!$C266,"")</f>
        <v/>
      </c>
      <c r="E866" s="0" t="str">
        <f aca="false">IF(AND(ISNUMBER('ANO NOVO'!$C266),'ANO NOVO'!$D266="FOLGA"),'ANO NOVO'!$E266&amp;"","")</f>
        <v/>
      </c>
      <c r="F866" s="0" t="str">
        <f aca="false">IF(AND(ISNUMBER('ANO NOVO'!$C266),'ANO NOVO'!$D266="FOLGA"),'ANO NOVO'!$F266&amp;"","")</f>
        <v/>
      </c>
      <c r="G866" s="0" t="str">
        <f aca="true">IF(D866="","",IF(D866=TODAY(),D866+ROW()/100000,""))</f>
        <v/>
      </c>
      <c r="H866" s="0" t="str">
        <f aca="true">IF(D866="","",IF(AND(D866&gt;TODAY(),D866&lt;=TODAY()+7),D866+ROW()/100000,""))</f>
        <v/>
      </c>
      <c r="I866" s="0" t="str">
        <f aca="false">IF(D866="","",IF(D866=CALENDÁRIO!$L$4,ROW(),""))</f>
        <v/>
      </c>
      <c r="J866" s="0" t="str">
        <f aca="false">IF(D866="","",CHOOSE(WEEKDAY(D866),"Domingo","Segunda","Terça","Quarta","Quinta","Sexta","Sábado"))</f>
        <v/>
      </c>
    </row>
    <row r="867" customFormat="false" ht="15" hidden="false" customHeight="false" outlineLevel="0" collapsed="false">
      <c r="A867" s="0" t="str">
        <f aca="false">IF(AND(ISNUMBER('ANO NOVO'!$C267),'ANO NOVO'!$D267="FOLGA"),"Folga Ano Novo","")</f>
        <v/>
      </c>
      <c r="B867" s="0" t="str">
        <f aca="false">IF(AND(ISNUMBER('ANO NOVO'!$C267),'ANO NOVO'!$D267="FOLGA"),'ANO NOVO'!$A267&amp;"","")</f>
        <v/>
      </c>
      <c r="C867" s="0" t="str">
        <f aca="false">IF(AND(ISNUMBER('ANO NOVO'!$C267),'ANO NOVO'!$D267="FOLGA"),'ANO NOVO'!$B267&amp;"","")</f>
        <v/>
      </c>
      <c r="D867" s="78" t="str">
        <f aca="false">IF(AND(ISNUMBER('ANO NOVO'!$C267),'ANO NOVO'!$D267="FOLGA"),'ANO NOVO'!$C267,"")</f>
        <v/>
      </c>
      <c r="E867" s="0" t="str">
        <f aca="false">IF(AND(ISNUMBER('ANO NOVO'!$C267),'ANO NOVO'!$D267="FOLGA"),'ANO NOVO'!$E267&amp;"","")</f>
        <v/>
      </c>
      <c r="F867" s="0" t="str">
        <f aca="false">IF(AND(ISNUMBER('ANO NOVO'!$C267),'ANO NOVO'!$D267="FOLGA"),'ANO NOVO'!$F267&amp;"","")</f>
        <v/>
      </c>
      <c r="G867" s="0" t="str">
        <f aca="true">IF(D867="","",IF(D867=TODAY(),D867+ROW()/100000,""))</f>
        <v/>
      </c>
      <c r="H867" s="0" t="str">
        <f aca="true">IF(D867="","",IF(AND(D867&gt;TODAY(),D867&lt;=TODAY()+7),D867+ROW()/100000,""))</f>
        <v/>
      </c>
      <c r="I867" s="0" t="str">
        <f aca="false">IF(D867="","",IF(D867=CALENDÁRIO!$L$4,ROW(),""))</f>
        <v/>
      </c>
      <c r="J867" s="0" t="str">
        <f aca="false">IF(D867="","",CHOOSE(WEEKDAY(D867),"Domingo","Segunda","Terça","Quarta","Quinta","Sexta","Sábado"))</f>
        <v/>
      </c>
    </row>
    <row r="868" customFormat="false" ht="15" hidden="false" customHeight="false" outlineLevel="0" collapsed="false">
      <c r="A868" s="0" t="str">
        <f aca="false">IF(AND(ISNUMBER('ANO NOVO'!$C268),'ANO NOVO'!$D268="FOLGA"),"Folga Ano Novo","")</f>
        <v/>
      </c>
      <c r="B868" s="0" t="str">
        <f aca="false">IF(AND(ISNUMBER('ANO NOVO'!$C268),'ANO NOVO'!$D268="FOLGA"),'ANO NOVO'!$A268&amp;"","")</f>
        <v/>
      </c>
      <c r="C868" s="0" t="str">
        <f aca="false">IF(AND(ISNUMBER('ANO NOVO'!$C268),'ANO NOVO'!$D268="FOLGA"),'ANO NOVO'!$B268&amp;"","")</f>
        <v/>
      </c>
      <c r="D868" s="78" t="str">
        <f aca="false">IF(AND(ISNUMBER('ANO NOVO'!$C268),'ANO NOVO'!$D268="FOLGA"),'ANO NOVO'!$C268,"")</f>
        <v/>
      </c>
      <c r="E868" s="0" t="str">
        <f aca="false">IF(AND(ISNUMBER('ANO NOVO'!$C268),'ANO NOVO'!$D268="FOLGA"),'ANO NOVO'!$E268&amp;"","")</f>
        <v/>
      </c>
      <c r="F868" s="0" t="str">
        <f aca="false">IF(AND(ISNUMBER('ANO NOVO'!$C268),'ANO NOVO'!$D268="FOLGA"),'ANO NOVO'!$F268&amp;"","")</f>
        <v/>
      </c>
      <c r="G868" s="0" t="str">
        <f aca="true">IF(D868="","",IF(D868=TODAY(),D868+ROW()/100000,""))</f>
        <v/>
      </c>
      <c r="H868" s="0" t="str">
        <f aca="true">IF(D868="","",IF(AND(D868&gt;TODAY(),D868&lt;=TODAY()+7),D868+ROW()/100000,""))</f>
        <v/>
      </c>
      <c r="I868" s="0" t="str">
        <f aca="false">IF(D868="","",IF(D868=CALENDÁRIO!$L$4,ROW(),""))</f>
        <v/>
      </c>
      <c r="J868" s="0" t="str">
        <f aca="false">IF(D868="","",CHOOSE(WEEKDAY(D868),"Domingo","Segunda","Terça","Quarta","Quinta","Sexta","Sábado"))</f>
        <v/>
      </c>
    </row>
    <row r="869" customFormat="false" ht="15" hidden="false" customHeight="false" outlineLevel="0" collapsed="false">
      <c r="A869" s="0" t="str">
        <f aca="false">IF(AND(ISNUMBER('ANO NOVO'!$C269),'ANO NOVO'!$D269="FOLGA"),"Folga Ano Novo","")</f>
        <v/>
      </c>
      <c r="B869" s="0" t="str">
        <f aca="false">IF(AND(ISNUMBER('ANO NOVO'!$C269),'ANO NOVO'!$D269="FOLGA"),'ANO NOVO'!$A269&amp;"","")</f>
        <v/>
      </c>
      <c r="C869" s="0" t="str">
        <f aca="false">IF(AND(ISNUMBER('ANO NOVO'!$C269),'ANO NOVO'!$D269="FOLGA"),'ANO NOVO'!$B269&amp;"","")</f>
        <v/>
      </c>
      <c r="D869" s="78" t="str">
        <f aca="false">IF(AND(ISNUMBER('ANO NOVO'!$C269),'ANO NOVO'!$D269="FOLGA"),'ANO NOVO'!$C269,"")</f>
        <v/>
      </c>
      <c r="E869" s="0" t="str">
        <f aca="false">IF(AND(ISNUMBER('ANO NOVO'!$C269),'ANO NOVO'!$D269="FOLGA"),'ANO NOVO'!$E269&amp;"","")</f>
        <v/>
      </c>
      <c r="F869" s="0" t="str">
        <f aca="false">IF(AND(ISNUMBER('ANO NOVO'!$C269),'ANO NOVO'!$D269="FOLGA"),'ANO NOVO'!$F269&amp;"","")</f>
        <v/>
      </c>
      <c r="G869" s="0" t="str">
        <f aca="true">IF(D869="","",IF(D869=TODAY(),D869+ROW()/100000,""))</f>
        <v/>
      </c>
      <c r="H869" s="0" t="str">
        <f aca="true">IF(D869="","",IF(AND(D869&gt;TODAY(),D869&lt;=TODAY()+7),D869+ROW()/100000,""))</f>
        <v/>
      </c>
      <c r="I869" s="0" t="str">
        <f aca="false">IF(D869="","",IF(D869=CALENDÁRIO!$L$4,ROW(),""))</f>
        <v/>
      </c>
      <c r="J869" s="0" t="str">
        <f aca="false">IF(D869="","",CHOOSE(WEEKDAY(D869),"Domingo","Segunda","Terça","Quarta","Quinta","Sexta","Sábado"))</f>
        <v/>
      </c>
    </row>
    <row r="870" customFormat="false" ht="15" hidden="false" customHeight="false" outlineLevel="0" collapsed="false">
      <c r="A870" s="0" t="str">
        <f aca="false">IF(AND(ISNUMBER('ANO NOVO'!$C270),'ANO NOVO'!$D270="FOLGA"),"Folga Ano Novo","")</f>
        <v/>
      </c>
      <c r="B870" s="0" t="str">
        <f aca="false">IF(AND(ISNUMBER('ANO NOVO'!$C270),'ANO NOVO'!$D270="FOLGA"),'ANO NOVO'!$A270&amp;"","")</f>
        <v/>
      </c>
      <c r="C870" s="0" t="str">
        <f aca="false">IF(AND(ISNUMBER('ANO NOVO'!$C270),'ANO NOVO'!$D270="FOLGA"),'ANO NOVO'!$B270&amp;"","")</f>
        <v/>
      </c>
      <c r="D870" s="78" t="str">
        <f aca="false">IF(AND(ISNUMBER('ANO NOVO'!$C270),'ANO NOVO'!$D270="FOLGA"),'ANO NOVO'!$C270,"")</f>
        <v/>
      </c>
      <c r="E870" s="0" t="str">
        <f aca="false">IF(AND(ISNUMBER('ANO NOVO'!$C270),'ANO NOVO'!$D270="FOLGA"),'ANO NOVO'!$E270&amp;"","")</f>
        <v/>
      </c>
      <c r="F870" s="0" t="str">
        <f aca="false">IF(AND(ISNUMBER('ANO NOVO'!$C270),'ANO NOVO'!$D270="FOLGA"),'ANO NOVO'!$F270&amp;"","")</f>
        <v/>
      </c>
      <c r="G870" s="0" t="str">
        <f aca="true">IF(D870="","",IF(D870=TODAY(),D870+ROW()/100000,""))</f>
        <v/>
      </c>
      <c r="H870" s="0" t="str">
        <f aca="true">IF(D870="","",IF(AND(D870&gt;TODAY(),D870&lt;=TODAY()+7),D870+ROW()/100000,""))</f>
        <v/>
      </c>
      <c r="I870" s="0" t="str">
        <f aca="false">IF(D870="","",IF(D870=CALENDÁRIO!$L$4,ROW(),""))</f>
        <v/>
      </c>
      <c r="J870" s="0" t="str">
        <f aca="false">IF(D870="","",CHOOSE(WEEKDAY(D870),"Domingo","Segunda","Terça","Quarta","Quinta","Sexta","Sábado"))</f>
        <v/>
      </c>
    </row>
    <row r="871" customFormat="false" ht="15" hidden="false" customHeight="false" outlineLevel="0" collapsed="false">
      <c r="A871" s="0" t="str">
        <f aca="false">IF(AND(ISNUMBER('ANO NOVO'!$C271),'ANO NOVO'!$D271="FOLGA"),"Folga Ano Novo","")</f>
        <v/>
      </c>
      <c r="B871" s="0" t="str">
        <f aca="false">IF(AND(ISNUMBER('ANO NOVO'!$C271),'ANO NOVO'!$D271="FOLGA"),'ANO NOVO'!$A271&amp;"","")</f>
        <v/>
      </c>
      <c r="C871" s="0" t="str">
        <f aca="false">IF(AND(ISNUMBER('ANO NOVO'!$C271),'ANO NOVO'!$D271="FOLGA"),'ANO NOVO'!$B271&amp;"","")</f>
        <v/>
      </c>
      <c r="D871" s="78" t="str">
        <f aca="false">IF(AND(ISNUMBER('ANO NOVO'!$C271),'ANO NOVO'!$D271="FOLGA"),'ANO NOVO'!$C271,"")</f>
        <v/>
      </c>
      <c r="E871" s="0" t="str">
        <f aca="false">IF(AND(ISNUMBER('ANO NOVO'!$C271),'ANO NOVO'!$D271="FOLGA"),'ANO NOVO'!$E271&amp;"","")</f>
        <v/>
      </c>
      <c r="F871" s="0" t="str">
        <f aca="false">IF(AND(ISNUMBER('ANO NOVO'!$C271),'ANO NOVO'!$D271="FOLGA"),'ANO NOVO'!$F271&amp;"","")</f>
        <v/>
      </c>
      <c r="G871" s="0" t="str">
        <f aca="true">IF(D871="","",IF(D871=TODAY(),D871+ROW()/100000,""))</f>
        <v/>
      </c>
      <c r="H871" s="0" t="str">
        <f aca="true">IF(D871="","",IF(AND(D871&gt;TODAY(),D871&lt;=TODAY()+7),D871+ROW()/100000,""))</f>
        <v/>
      </c>
      <c r="I871" s="0" t="str">
        <f aca="false">IF(D871="","",IF(D871=CALENDÁRIO!$L$4,ROW(),""))</f>
        <v/>
      </c>
      <c r="J871" s="0" t="str">
        <f aca="false">IF(D871="","",CHOOSE(WEEKDAY(D871),"Domingo","Segunda","Terça","Quarta","Quinta","Sexta","Sábado"))</f>
        <v/>
      </c>
    </row>
    <row r="872" customFormat="false" ht="15" hidden="false" customHeight="false" outlineLevel="0" collapsed="false">
      <c r="A872" s="0" t="str">
        <f aca="false">IF(AND(ISNUMBER('ANO NOVO'!$C272),'ANO NOVO'!$D272="FOLGA"),"Folga Ano Novo","")</f>
        <v/>
      </c>
      <c r="B872" s="0" t="str">
        <f aca="false">IF(AND(ISNUMBER('ANO NOVO'!$C272),'ANO NOVO'!$D272="FOLGA"),'ANO NOVO'!$A272&amp;"","")</f>
        <v/>
      </c>
      <c r="C872" s="0" t="str">
        <f aca="false">IF(AND(ISNUMBER('ANO NOVO'!$C272),'ANO NOVO'!$D272="FOLGA"),'ANO NOVO'!$B272&amp;"","")</f>
        <v/>
      </c>
      <c r="D872" s="78" t="str">
        <f aca="false">IF(AND(ISNUMBER('ANO NOVO'!$C272),'ANO NOVO'!$D272="FOLGA"),'ANO NOVO'!$C272,"")</f>
        <v/>
      </c>
      <c r="E872" s="0" t="str">
        <f aca="false">IF(AND(ISNUMBER('ANO NOVO'!$C272),'ANO NOVO'!$D272="FOLGA"),'ANO NOVO'!$E272&amp;"","")</f>
        <v/>
      </c>
      <c r="F872" s="0" t="str">
        <f aca="false">IF(AND(ISNUMBER('ANO NOVO'!$C272),'ANO NOVO'!$D272="FOLGA"),'ANO NOVO'!$F272&amp;"","")</f>
        <v/>
      </c>
      <c r="G872" s="0" t="str">
        <f aca="true">IF(D872="","",IF(D872=TODAY(),D872+ROW()/100000,""))</f>
        <v/>
      </c>
      <c r="H872" s="0" t="str">
        <f aca="true">IF(D872="","",IF(AND(D872&gt;TODAY(),D872&lt;=TODAY()+7),D872+ROW()/100000,""))</f>
        <v/>
      </c>
      <c r="I872" s="0" t="str">
        <f aca="false">IF(D872="","",IF(D872=CALENDÁRIO!$L$4,ROW(),""))</f>
        <v/>
      </c>
      <c r="J872" s="0" t="str">
        <f aca="false">IF(D872="","",CHOOSE(WEEKDAY(D872),"Domingo","Segunda","Terça","Quarta","Quinta","Sexta","Sábado"))</f>
        <v/>
      </c>
    </row>
    <row r="873" customFormat="false" ht="15" hidden="false" customHeight="false" outlineLevel="0" collapsed="false">
      <c r="A873" s="0" t="str">
        <f aca="false">IF(AND(ISNUMBER('ANO NOVO'!$C273),'ANO NOVO'!$D273="FOLGA"),"Folga Ano Novo","")</f>
        <v/>
      </c>
      <c r="B873" s="0" t="str">
        <f aca="false">IF(AND(ISNUMBER('ANO NOVO'!$C273),'ANO NOVO'!$D273="FOLGA"),'ANO NOVO'!$A273&amp;"","")</f>
        <v/>
      </c>
      <c r="C873" s="0" t="str">
        <f aca="false">IF(AND(ISNUMBER('ANO NOVO'!$C273),'ANO NOVO'!$D273="FOLGA"),'ANO NOVO'!$B273&amp;"","")</f>
        <v/>
      </c>
      <c r="D873" s="78" t="str">
        <f aca="false">IF(AND(ISNUMBER('ANO NOVO'!$C273),'ANO NOVO'!$D273="FOLGA"),'ANO NOVO'!$C273,"")</f>
        <v/>
      </c>
      <c r="E873" s="0" t="str">
        <f aca="false">IF(AND(ISNUMBER('ANO NOVO'!$C273),'ANO NOVO'!$D273="FOLGA"),'ANO NOVO'!$E273&amp;"","")</f>
        <v/>
      </c>
      <c r="F873" s="0" t="str">
        <f aca="false">IF(AND(ISNUMBER('ANO NOVO'!$C273),'ANO NOVO'!$D273="FOLGA"),'ANO NOVO'!$F273&amp;"","")</f>
        <v/>
      </c>
      <c r="G873" s="0" t="str">
        <f aca="true">IF(D873="","",IF(D873=TODAY(),D873+ROW()/100000,""))</f>
        <v/>
      </c>
      <c r="H873" s="0" t="str">
        <f aca="true">IF(D873="","",IF(AND(D873&gt;TODAY(),D873&lt;=TODAY()+7),D873+ROW()/100000,""))</f>
        <v/>
      </c>
      <c r="I873" s="0" t="str">
        <f aca="false">IF(D873="","",IF(D873=CALENDÁRIO!$L$4,ROW(),""))</f>
        <v/>
      </c>
      <c r="J873" s="0" t="str">
        <f aca="false">IF(D873="","",CHOOSE(WEEKDAY(D873),"Domingo","Segunda","Terça","Quarta","Quinta","Sexta","Sábado"))</f>
        <v/>
      </c>
    </row>
    <row r="874" customFormat="false" ht="15" hidden="false" customHeight="false" outlineLevel="0" collapsed="false">
      <c r="A874" s="0" t="str">
        <f aca="false">IF(AND(ISNUMBER('ANO NOVO'!$C274),'ANO NOVO'!$D274="FOLGA"),"Folga Ano Novo","")</f>
        <v/>
      </c>
      <c r="B874" s="0" t="str">
        <f aca="false">IF(AND(ISNUMBER('ANO NOVO'!$C274),'ANO NOVO'!$D274="FOLGA"),'ANO NOVO'!$A274&amp;"","")</f>
        <v/>
      </c>
      <c r="C874" s="0" t="str">
        <f aca="false">IF(AND(ISNUMBER('ANO NOVO'!$C274),'ANO NOVO'!$D274="FOLGA"),'ANO NOVO'!$B274&amp;"","")</f>
        <v/>
      </c>
      <c r="D874" s="78" t="str">
        <f aca="false">IF(AND(ISNUMBER('ANO NOVO'!$C274),'ANO NOVO'!$D274="FOLGA"),'ANO NOVO'!$C274,"")</f>
        <v/>
      </c>
      <c r="E874" s="0" t="str">
        <f aca="false">IF(AND(ISNUMBER('ANO NOVO'!$C274),'ANO NOVO'!$D274="FOLGA"),'ANO NOVO'!$E274&amp;"","")</f>
        <v/>
      </c>
      <c r="F874" s="0" t="str">
        <f aca="false">IF(AND(ISNUMBER('ANO NOVO'!$C274),'ANO NOVO'!$D274="FOLGA"),'ANO NOVO'!$F274&amp;"","")</f>
        <v/>
      </c>
      <c r="G874" s="0" t="str">
        <f aca="true">IF(D874="","",IF(D874=TODAY(),D874+ROW()/100000,""))</f>
        <v/>
      </c>
      <c r="H874" s="0" t="str">
        <f aca="true">IF(D874="","",IF(AND(D874&gt;TODAY(),D874&lt;=TODAY()+7),D874+ROW()/100000,""))</f>
        <v/>
      </c>
      <c r="I874" s="0" t="str">
        <f aca="false">IF(D874="","",IF(D874=CALENDÁRIO!$L$4,ROW(),""))</f>
        <v/>
      </c>
      <c r="J874" s="0" t="str">
        <f aca="false">IF(D874="","",CHOOSE(WEEKDAY(D874),"Domingo","Segunda","Terça","Quarta","Quinta","Sexta","Sábado"))</f>
        <v/>
      </c>
    </row>
    <row r="875" customFormat="false" ht="15" hidden="false" customHeight="false" outlineLevel="0" collapsed="false">
      <c r="A875" s="0" t="str">
        <f aca="false">IF(AND(ISNUMBER('ANO NOVO'!$C275),'ANO NOVO'!$D275="FOLGA"),"Folga Ano Novo","")</f>
        <v/>
      </c>
      <c r="B875" s="0" t="str">
        <f aca="false">IF(AND(ISNUMBER('ANO NOVO'!$C275),'ANO NOVO'!$D275="FOLGA"),'ANO NOVO'!$A275&amp;"","")</f>
        <v/>
      </c>
      <c r="C875" s="0" t="str">
        <f aca="false">IF(AND(ISNUMBER('ANO NOVO'!$C275),'ANO NOVO'!$D275="FOLGA"),'ANO NOVO'!$B275&amp;"","")</f>
        <v/>
      </c>
      <c r="D875" s="78" t="str">
        <f aca="false">IF(AND(ISNUMBER('ANO NOVO'!$C275),'ANO NOVO'!$D275="FOLGA"),'ANO NOVO'!$C275,"")</f>
        <v/>
      </c>
      <c r="E875" s="0" t="str">
        <f aca="false">IF(AND(ISNUMBER('ANO NOVO'!$C275),'ANO NOVO'!$D275="FOLGA"),'ANO NOVO'!$E275&amp;"","")</f>
        <v/>
      </c>
      <c r="F875" s="0" t="str">
        <f aca="false">IF(AND(ISNUMBER('ANO NOVO'!$C275),'ANO NOVO'!$D275="FOLGA"),'ANO NOVO'!$F275&amp;"","")</f>
        <v/>
      </c>
      <c r="G875" s="0" t="str">
        <f aca="true">IF(D875="","",IF(D875=TODAY(),D875+ROW()/100000,""))</f>
        <v/>
      </c>
      <c r="H875" s="0" t="str">
        <f aca="true">IF(D875="","",IF(AND(D875&gt;TODAY(),D875&lt;=TODAY()+7),D875+ROW()/100000,""))</f>
        <v/>
      </c>
      <c r="I875" s="0" t="str">
        <f aca="false">IF(D875="","",IF(D875=CALENDÁRIO!$L$4,ROW(),""))</f>
        <v/>
      </c>
      <c r="J875" s="0" t="str">
        <f aca="false">IF(D875="","",CHOOSE(WEEKDAY(D875),"Domingo","Segunda","Terça","Quarta","Quinta","Sexta","Sábado"))</f>
        <v/>
      </c>
    </row>
    <row r="876" customFormat="false" ht="15" hidden="false" customHeight="false" outlineLevel="0" collapsed="false">
      <c r="A876" s="0" t="str">
        <f aca="false">IF(AND(ISNUMBER('ANO NOVO'!$C276),'ANO NOVO'!$D276="FOLGA"),"Folga Ano Novo","")</f>
        <v/>
      </c>
      <c r="B876" s="0" t="str">
        <f aca="false">IF(AND(ISNUMBER('ANO NOVO'!$C276),'ANO NOVO'!$D276="FOLGA"),'ANO NOVO'!$A276&amp;"","")</f>
        <v/>
      </c>
      <c r="C876" s="0" t="str">
        <f aca="false">IF(AND(ISNUMBER('ANO NOVO'!$C276),'ANO NOVO'!$D276="FOLGA"),'ANO NOVO'!$B276&amp;"","")</f>
        <v/>
      </c>
      <c r="D876" s="78" t="str">
        <f aca="false">IF(AND(ISNUMBER('ANO NOVO'!$C276),'ANO NOVO'!$D276="FOLGA"),'ANO NOVO'!$C276,"")</f>
        <v/>
      </c>
      <c r="E876" s="0" t="str">
        <f aca="false">IF(AND(ISNUMBER('ANO NOVO'!$C276),'ANO NOVO'!$D276="FOLGA"),'ANO NOVO'!$E276&amp;"","")</f>
        <v/>
      </c>
      <c r="F876" s="0" t="str">
        <f aca="false">IF(AND(ISNUMBER('ANO NOVO'!$C276),'ANO NOVO'!$D276="FOLGA"),'ANO NOVO'!$F276&amp;"","")</f>
        <v/>
      </c>
      <c r="G876" s="0" t="str">
        <f aca="true">IF(D876="","",IF(D876=TODAY(),D876+ROW()/100000,""))</f>
        <v/>
      </c>
      <c r="H876" s="0" t="str">
        <f aca="true">IF(D876="","",IF(AND(D876&gt;TODAY(),D876&lt;=TODAY()+7),D876+ROW()/100000,""))</f>
        <v/>
      </c>
      <c r="I876" s="0" t="str">
        <f aca="false">IF(D876="","",IF(D876=CALENDÁRIO!$L$4,ROW(),""))</f>
        <v/>
      </c>
      <c r="J876" s="0" t="str">
        <f aca="false">IF(D876="","",CHOOSE(WEEKDAY(D876),"Domingo","Segunda","Terça","Quarta","Quinta","Sexta","Sábado"))</f>
        <v/>
      </c>
    </row>
    <row r="877" customFormat="false" ht="15" hidden="false" customHeight="false" outlineLevel="0" collapsed="false">
      <c r="A877" s="0" t="str">
        <f aca="false">IF(AND(ISNUMBER('ANO NOVO'!$C277),'ANO NOVO'!$D277="FOLGA"),"Folga Ano Novo","")</f>
        <v/>
      </c>
      <c r="B877" s="0" t="str">
        <f aca="false">IF(AND(ISNUMBER('ANO NOVO'!$C277),'ANO NOVO'!$D277="FOLGA"),'ANO NOVO'!$A277&amp;"","")</f>
        <v/>
      </c>
      <c r="C877" s="0" t="str">
        <f aca="false">IF(AND(ISNUMBER('ANO NOVO'!$C277),'ANO NOVO'!$D277="FOLGA"),'ANO NOVO'!$B277&amp;"","")</f>
        <v/>
      </c>
      <c r="D877" s="78" t="str">
        <f aca="false">IF(AND(ISNUMBER('ANO NOVO'!$C277),'ANO NOVO'!$D277="FOLGA"),'ANO NOVO'!$C277,"")</f>
        <v/>
      </c>
      <c r="E877" s="0" t="str">
        <f aca="false">IF(AND(ISNUMBER('ANO NOVO'!$C277),'ANO NOVO'!$D277="FOLGA"),'ANO NOVO'!$E277&amp;"","")</f>
        <v/>
      </c>
      <c r="F877" s="0" t="str">
        <f aca="false">IF(AND(ISNUMBER('ANO NOVO'!$C277),'ANO NOVO'!$D277="FOLGA"),'ANO NOVO'!$F277&amp;"","")</f>
        <v/>
      </c>
      <c r="G877" s="0" t="str">
        <f aca="true">IF(D877="","",IF(D877=TODAY(),D877+ROW()/100000,""))</f>
        <v/>
      </c>
      <c r="H877" s="0" t="str">
        <f aca="true">IF(D877="","",IF(AND(D877&gt;TODAY(),D877&lt;=TODAY()+7),D877+ROW()/100000,""))</f>
        <v/>
      </c>
      <c r="I877" s="0" t="str">
        <f aca="false">IF(D877="","",IF(D877=CALENDÁRIO!$L$4,ROW(),""))</f>
        <v/>
      </c>
      <c r="J877" s="0" t="str">
        <f aca="false">IF(D877="","",CHOOSE(WEEKDAY(D877),"Domingo","Segunda","Terça","Quarta","Quinta","Sexta","Sábado"))</f>
        <v/>
      </c>
    </row>
    <row r="878" customFormat="false" ht="15" hidden="false" customHeight="false" outlineLevel="0" collapsed="false">
      <c r="A878" s="0" t="str">
        <f aca="false">IF(AND(ISNUMBER('ANO NOVO'!$C278),'ANO NOVO'!$D278="FOLGA"),"Folga Ano Novo","")</f>
        <v/>
      </c>
      <c r="B878" s="0" t="str">
        <f aca="false">IF(AND(ISNUMBER('ANO NOVO'!$C278),'ANO NOVO'!$D278="FOLGA"),'ANO NOVO'!$A278&amp;"","")</f>
        <v/>
      </c>
      <c r="C878" s="0" t="str">
        <f aca="false">IF(AND(ISNUMBER('ANO NOVO'!$C278),'ANO NOVO'!$D278="FOLGA"),'ANO NOVO'!$B278&amp;"","")</f>
        <v/>
      </c>
      <c r="D878" s="78" t="str">
        <f aca="false">IF(AND(ISNUMBER('ANO NOVO'!$C278),'ANO NOVO'!$D278="FOLGA"),'ANO NOVO'!$C278,"")</f>
        <v/>
      </c>
      <c r="E878" s="0" t="str">
        <f aca="false">IF(AND(ISNUMBER('ANO NOVO'!$C278),'ANO NOVO'!$D278="FOLGA"),'ANO NOVO'!$E278&amp;"","")</f>
        <v/>
      </c>
      <c r="F878" s="0" t="str">
        <f aca="false">IF(AND(ISNUMBER('ANO NOVO'!$C278),'ANO NOVO'!$D278="FOLGA"),'ANO NOVO'!$F278&amp;"","")</f>
        <v/>
      </c>
      <c r="G878" s="0" t="str">
        <f aca="true">IF(D878="","",IF(D878=TODAY(),D878+ROW()/100000,""))</f>
        <v/>
      </c>
      <c r="H878" s="0" t="str">
        <f aca="true">IF(D878="","",IF(AND(D878&gt;TODAY(),D878&lt;=TODAY()+7),D878+ROW()/100000,""))</f>
        <v/>
      </c>
      <c r="I878" s="0" t="str">
        <f aca="false">IF(D878="","",IF(D878=CALENDÁRIO!$L$4,ROW(),""))</f>
        <v/>
      </c>
      <c r="J878" s="0" t="str">
        <f aca="false">IF(D878="","",CHOOSE(WEEKDAY(D878),"Domingo","Segunda","Terça","Quarta","Quinta","Sexta","Sábado"))</f>
        <v/>
      </c>
    </row>
    <row r="879" customFormat="false" ht="15" hidden="false" customHeight="false" outlineLevel="0" collapsed="false">
      <c r="A879" s="0" t="str">
        <f aca="false">IF(AND(ISNUMBER('ANO NOVO'!$C279),'ANO NOVO'!$D279="FOLGA"),"Folga Ano Novo","")</f>
        <v/>
      </c>
      <c r="B879" s="0" t="str">
        <f aca="false">IF(AND(ISNUMBER('ANO NOVO'!$C279),'ANO NOVO'!$D279="FOLGA"),'ANO NOVO'!$A279&amp;"","")</f>
        <v/>
      </c>
      <c r="C879" s="0" t="str">
        <f aca="false">IF(AND(ISNUMBER('ANO NOVO'!$C279),'ANO NOVO'!$D279="FOLGA"),'ANO NOVO'!$B279&amp;"","")</f>
        <v/>
      </c>
      <c r="D879" s="78" t="str">
        <f aca="false">IF(AND(ISNUMBER('ANO NOVO'!$C279),'ANO NOVO'!$D279="FOLGA"),'ANO NOVO'!$C279,"")</f>
        <v/>
      </c>
      <c r="E879" s="0" t="str">
        <f aca="false">IF(AND(ISNUMBER('ANO NOVO'!$C279),'ANO NOVO'!$D279="FOLGA"),'ANO NOVO'!$E279&amp;"","")</f>
        <v/>
      </c>
      <c r="F879" s="0" t="str">
        <f aca="false">IF(AND(ISNUMBER('ANO NOVO'!$C279),'ANO NOVO'!$D279="FOLGA"),'ANO NOVO'!$F279&amp;"","")</f>
        <v/>
      </c>
      <c r="G879" s="0" t="str">
        <f aca="true">IF(D879="","",IF(D879=TODAY(),D879+ROW()/100000,""))</f>
        <v/>
      </c>
      <c r="H879" s="0" t="str">
        <f aca="true">IF(D879="","",IF(AND(D879&gt;TODAY(),D879&lt;=TODAY()+7),D879+ROW()/100000,""))</f>
        <v/>
      </c>
      <c r="I879" s="0" t="str">
        <f aca="false">IF(D879="","",IF(D879=CALENDÁRIO!$L$4,ROW(),""))</f>
        <v/>
      </c>
      <c r="J879" s="0" t="str">
        <f aca="false">IF(D879="","",CHOOSE(WEEKDAY(D879),"Domingo","Segunda","Terça","Quarta","Quinta","Sexta","Sábado"))</f>
        <v/>
      </c>
    </row>
    <row r="880" customFormat="false" ht="15" hidden="false" customHeight="false" outlineLevel="0" collapsed="false">
      <c r="A880" s="0" t="str">
        <f aca="false">IF(AND(ISNUMBER('ANO NOVO'!$C280),'ANO NOVO'!$D280="FOLGA"),"Folga Ano Novo","")</f>
        <v/>
      </c>
      <c r="B880" s="0" t="str">
        <f aca="false">IF(AND(ISNUMBER('ANO NOVO'!$C280),'ANO NOVO'!$D280="FOLGA"),'ANO NOVO'!$A280&amp;"","")</f>
        <v/>
      </c>
      <c r="C880" s="0" t="str">
        <f aca="false">IF(AND(ISNUMBER('ANO NOVO'!$C280),'ANO NOVO'!$D280="FOLGA"),'ANO NOVO'!$B280&amp;"","")</f>
        <v/>
      </c>
      <c r="D880" s="78" t="str">
        <f aca="false">IF(AND(ISNUMBER('ANO NOVO'!$C280),'ANO NOVO'!$D280="FOLGA"),'ANO NOVO'!$C280,"")</f>
        <v/>
      </c>
      <c r="E880" s="0" t="str">
        <f aca="false">IF(AND(ISNUMBER('ANO NOVO'!$C280),'ANO NOVO'!$D280="FOLGA"),'ANO NOVO'!$E280&amp;"","")</f>
        <v/>
      </c>
      <c r="F880" s="0" t="str">
        <f aca="false">IF(AND(ISNUMBER('ANO NOVO'!$C280),'ANO NOVO'!$D280="FOLGA"),'ANO NOVO'!$F280&amp;"","")</f>
        <v/>
      </c>
      <c r="G880" s="0" t="str">
        <f aca="true">IF(D880="","",IF(D880=TODAY(),D880+ROW()/100000,""))</f>
        <v/>
      </c>
      <c r="H880" s="0" t="str">
        <f aca="true">IF(D880="","",IF(AND(D880&gt;TODAY(),D880&lt;=TODAY()+7),D880+ROW()/100000,""))</f>
        <v/>
      </c>
      <c r="I880" s="0" t="str">
        <f aca="false">IF(D880="","",IF(D880=CALENDÁRIO!$L$4,ROW(),""))</f>
        <v/>
      </c>
      <c r="J880" s="0" t="str">
        <f aca="false">IF(D880="","",CHOOSE(WEEKDAY(D880),"Domingo","Segunda","Terça","Quarta","Quinta","Sexta","Sábado"))</f>
        <v/>
      </c>
    </row>
    <row r="881" customFormat="false" ht="15" hidden="false" customHeight="false" outlineLevel="0" collapsed="false">
      <c r="A881" s="0" t="str">
        <f aca="false">IF(AND(ISNUMBER('ANO NOVO'!$C281),'ANO NOVO'!$D281="FOLGA"),"Folga Ano Novo","")</f>
        <v/>
      </c>
      <c r="B881" s="0" t="str">
        <f aca="false">IF(AND(ISNUMBER('ANO NOVO'!$C281),'ANO NOVO'!$D281="FOLGA"),'ANO NOVO'!$A281&amp;"","")</f>
        <v/>
      </c>
      <c r="C881" s="0" t="str">
        <f aca="false">IF(AND(ISNUMBER('ANO NOVO'!$C281),'ANO NOVO'!$D281="FOLGA"),'ANO NOVO'!$B281&amp;"","")</f>
        <v/>
      </c>
      <c r="D881" s="78" t="str">
        <f aca="false">IF(AND(ISNUMBER('ANO NOVO'!$C281),'ANO NOVO'!$D281="FOLGA"),'ANO NOVO'!$C281,"")</f>
        <v/>
      </c>
      <c r="E881" s="0" t="str">
        <f aca="false">IF(AND(ISNUMBER('ANO NOVO'!$C281),'ANO NOVO'!$D281="FOLGA"),'ANO NOVO'!$E281&amp;"","")</f>
        <v/>
      </c>
      <c r="F881" s="0" t="str">
        <f aca="false">IF(AND(ISNUMBER('ANO NOVO'!$C281),'ANO NOVO'!$D281="FOLGA"),'ANO NOVO'!$F281&amp;"","")</f>
        <v/>
      </c>
      <c r="G881" s="0" t="str">
        <f aca="true">IF(D881="","",IF(D881=TODAY(),D881+ROW()/100000,""))</f>
        <v/>
      </c>
      <c r="H881" s="0" t="str">
        <f aca="true">IF(D881="","",IF(AND(D881&gt;TODAY(),D881&lt;=TODAY()+7),D881+ROW()/100000,""))</f>
        <v/>
      </c>
      <c r="I881" s="0" t="str">
        <f aca="false">IF(D881="","",IF(D881=CALENDÁRIO!$L$4,ROW(),""))</f>
        <v/>
      </c>
      <c r="J881" s="0" t="str">
        <f aca="false">IF(D881="","",CHOOSE(WEEKDAY(D881),"Domingo","Segunda","Terça","Quarta","Quinta","Sexta","Sábado"))</f>
        <v/>
      </c>
    </row>
    <row r="882" customFormat="false" ht="15" hidden="false" customHeight="false" outlineLevel="0" collapsed="false">
      <c r="A882" s="0" t="str">
        <f aca="false">IF(AND(ISNUMBER('ANO NOVO'!$C282),'ANO NOVO'!$D282="FOLGA"),"Folga Ano Novo","")</f>
        <v/>
      </c>
      <c r="B882" s="0" t="str">
        <f aca="false">IF(AND(ISNUMBER('ANO NOVO'!$C282),'ANO NOVO'!$D282="FOLGA"),'ANO NOVO'!$A282&amp;"","")</f>
        <v/>
      </c>
      <c r="C882" s="0" t="str">
        <f aca="false">IF(AND(ISNUMBER('ANO NOVO'!$C282),'ANO NOVO'!$D282="FOLGA"),'ANO NOVO'!$B282&amp;"","")</f>
        <v/>
      </c>
      <c r="D882" s="78" t="str">
        <f aca="false">IF(AND(ISNUMBER('ANO NOVO'!$C282),'ANO NOVO'!$D282="FOLGA"),'ANO NOVO'!$C282,"")</f>
        <v/>
      </c>
      <c r="E882" s="0" t="str">
        <f aca="false">IF(AND(ISNUMBER('ANO NOVO'!$C282),'ANO NOVO'!$D282="FOLGA"),'ANO NOVO'!$E282&amp;"","")</f>
        <v/>
      </c>
      <c r="F882" s="0" t="str">
        <f aca="false">IF(AND(ISNUMBER('ANO NOVO'!$C282),'ANO NOVO'!$D282="FOLGA"),'ANO NOVO'!$F282&amp;"","")</f>
        <v/>
      </c>
      <c r="G882" s="0" t="str">
        <f aca="true">IF(D882="","",IF(D882=TODAY(),D882+ROW()/100000,""))</f>
        <v/>
      </c>
      <c r="H882" s="0" t="str">
        <f aca="true">IF(D882="","",IF(AND(D882&gt;TODAY(),D882&lt;=TODAY()+7),D882+ROW()/100000,""))</f>
        <v/>
      </c>
      <c r="I882" s="0" t="str">
        <f aca="false">IF(D882="","",IF(D882=CALENDÁRIO!$L$4,ROW(),""))</f>
        <v/>
      </c>
      <c r="J882" s="0" t="str">
        <f aca="false">IF(D882="","",CHOOSE(WEEKDAY(D882),"Domingo","Segunda","Terça","Quarta","Quinta","Sexta","Sábado"))</f>
        <v/>
      </c>
    </row>
    <row r="883" customFormat="false" ht="15" hidden="false" customHeight="false" outlineLevel="0" collapsed="false">
      <c r="A883" s="0" t="str">
        <f aca="false">IF(AND(ISNUMBER('ANO NOVO'!$C283),'ANO NOVO'!$D283="FOLGA"),"Folga Ano Novo","")</f>
        <v/>
      </c>
      <c r="B883" s="0" t="str">
        <f aca="false">IF(AND(ISNUMBER('ANO NOVO'!$C283),'ANO NOVO'!$D283="FOLGA"),'ANO NOVO'!$A283&amp;"","")</f>
        <v/>
      </c>
      <c r="C883" s="0" t="str">
        <f aca="false">IF(AND(ISNUMBER('ANO NOVO'!$C283),'ANO NOVO'!$D283="FOLGA"),'ANO NOVO'!$B283&amp;"","")</f>
        <v/>
      </c>
      <c r="D883" s="78" t="str">
        <f aca="false">IF(AND(ISNUMBER('ANO NOVO'!$C283),'ANO NOVO'!$D283="FOLGA"),'ANO NOVO'!$C283,"")</f>
        <v/>
      </c>
      <c r="E883" s="0" t="str">
        <f aca="false">IF(AND(ISNUMBER('ANO NOVO'!$C283),'ANO NOVO'!$D283="FOLGA"),'ANO NOVO'!$E283&amp;"","")</f>
        <v/>
      </c>
      <c r="F883" s="0" t="str">
        <f aca="false">IF(AND(ISNUMBER('ANO NOVO'!$C283),'ANO NOVO'!$D283="FOLGA"),'ANO NOVO'!$F283&amp;"","")</f>
        <v/>
      </c>
      <c r="G883" s="0" t="str">
        <f aca="true">IF(D883="","",IF(D883=TODAY(),D883+ROW()/100000,""))</f>
        <v/>
      </c>
      <c r="H883" s="0" t="str">
        <f aca="true">IF(D883="","",IF(AND(D883&gt;TODAY(),D883&lt;=TODAY()+7),D883+ROW()/100000,""))</f>
        <v/>
      </c>
      <c r="I883" s="0" t="str">
        <f aca="false">IF(D883="","",IF(D883=CALENDÁRIO!$L$4,ROW(),""))</f>
        <v/>
      </c>
      <c r="J883" s="0" t="str">
        <f aca="false">IF(D883="","",CHOOSE(WEEKDAY(D883),"Domingo","Segunda","Terça","Quarta","Quinta","Sexta","Sábado"))</f>
        <v/>
      </c>
    </row>
    <row r="884" customFormat="false" ht="15" hidden="false" customHeight="false" outlineLevel="0" collapsed="false">
      <c r="A884" s="0" t="str">
        <f aca="false">IF(AND(ISNUMBER('ANO NOVO'!$C284),'ANO NOVO'!$D284="FOLGA"),"Folga Ano Novo","")</f>
        <v/>
      </c>
      <c r="B884" s="0" t="str">
        <f aca="false">IF(AND(ISNUMBER('ANO NOVO'!$C284),'ANO NOVO'!$D284="FOLGA"),'ANO NOVO'!$A284&amp;"","")</f>
        <v/>
      </c>
      <c r="C884" s="0" t="str">
        <f aca="false">IF(AND(ISNUMBER('ANO NOVO'!$C284),'ANO NOVO'!$D284="FOLGA"),'ANO NOVO'!$B284&amp;"","")</f>
        <v/>
      </c>
      <c r="D884" s="78" t="str">
        <f aca="false">IF(AND(ISNUMBER('ANO NOVO'!$C284),'ANO NOVO'!$D284="FOLGA"),'ANO NOVO'!$C284,"")</f>
        <v/>
      </c>
      <c r="E884" s="0" t="str">
        <f aca="false">IF(AND(ISNUMBER('ANO NOVO'!$C284),'ANO NOVO'!$D284="FOLGA"),'ANO NOVO'!$E284&amp;"","")</f>
        <v/>
      </c>
      <c r="F884" s="0" t="str">
        <f aca="false">IF(AND(ISNUMBER('ANO NOVO'!$C284),'ANO NOVO'!$D284="FOLGA"),'ANO NOVO'!$F284&amp;"","")</f>
        <v/>
      </c>
      <c r="G884" s="0" t="str">
        <f aca="true">IF(D884="","",IF(D884=TODAY(),D884+ROW()/100000,""))</f>
        <v/>
      </c>
      <c r="H884" s="0" t="str">
        <f aca="true">IF(D884="","",IF(AND(D884&gt;TODAY(),D884&lt;=TODAY()+7),D884+ROW()/100000,""))</f>
        <v/>
      </c>
      <c r="I884" s="0" t="str">
        <f aca="false">IF(D884="","",IF(D884=CALENDÁRIO!$L$4,ROW(),""))</f>
        <v/>
      </c>
      <c r="J884" s="0" t="str">
        <f aca="false">IF(D884="","",CHOOSE(WEEKDAY(D884),"Domingo","Segunda","Terça","Quarta","Quinta","Sexta","Sábado"))</f>
        <v/>
      </c>
    </row>
    <row r="885" customFormat="false" ht="15" hidden="false" customHeight="false" outlineLevel="0" collapsed="false">
      <c r="A885" s="0" t="str">
        <f aca="false">IF(AND(ISNUMBER('ANO NOVO'!$C285),'ANO NOVO'!$D285="FOLGA"),"Folga Ano Novo","")</f>
        <v/>
      </c>
      <c r="B885" s="0" t="str">
        <f aca="false">IF(AND(ISNUMBER('ANO NOVO'!$C285),'ANO NOVO'!$D285="FOLGA"),'ANO NOVO'!$A285&amp;"","")</f>
        <v/>
      </c>
      <c r="C885" s="0" t="str">
        <f aca="false">IF(AND(ISNUMBER('ANO NOVO'!$C285),'ANO NOVO'!$D285="FOLGA"),'ANO NOVO'!$B285&amp;"","")</f>
        <v/>
      </c>
      <c r="D885" s="78" t="str">
        <f aca="false">IF(AND(ISNUMBER('ANO NOVO'!$C285),'ANO NOVO'!$D285="FOLGA"),'ANO NOVO'!$C285,"")</f>
        <v/>
      </c>
      <c r="E885" s="0" t="str">
        <f aca="false">IF(AND(ISNUMBER('ANO NOVO'!$C285),'ANO NOVO'!$D285="FOLGA"),'ANO NOVO'!$E285&amp;"","")</f>
        <v/>
      </c>
      <c r="F885" s="0" t="str">
        <f aca="false">IF(AND(ISNUMBER('ANO NOVO'!$C285),'ANO NOVO'!$D285="FOLGA"),'ANO NOVO'!$F285&amp;"","")</f>
        <v/>
      </c>
      <c r="G885" s="0" t="str">
        <f aca="true">IF(D885="","",IF(D885=TODAY(),D885+ROW()/100000,""))</f>
        <v/>
      </c>
      <c r="H885" s="0" t="str">
        <f aca="true">IF(D885="","",IF(AND(D885&gt;TODAY(),D885&lt;=TODAY()+7),D885+ROW()/100000,""))</f>
        <v/>
      </c>
      <c r="I885" s="0" t="str">
        <f aca="false">IF(D885="","",IF(D885=CALENDÁRIO!$L$4,ROW(),""))</f>
        <v/>
      </c>
      <c r="J885" s="0" t="str">
        <f aca="false">IF(D885="","",CHOOSE(WEEKDAY(D885),"Domingo","Segunda","Terça","Quarta","Quinta","Sexta","Sábado"))</f>
        <v/>
      </c>
    </row>
    <row r="886" customFormat="false" ht="15" hidden="false" customHeight="false" outlineLevel="0" collapsed="false">
      <c r="A886" s="0" t="str">
        <f aca="false">IF(AND(ISNUMBER('ANO NOVO'!$C286),'ANO NOVO'!$D286="FOLGA"),"Folga Ano Novo","")</f>
        <v/>
      </c>
      <c r="B886" s="0" t="str">
        <f aca="false">IF(AND(ISNUMBER('ANO NOVO'!$C286),'ANO NOVO'!$D286="FOLGA"),'ANO NOVO'!$A286&amp;"","")</f>
        <v/>
      </c>
      <c r="C886" s="0" t="str">
        <f aca="false">IF(AND(ISNUMBER('ANO NOVO'!$C286),'ANO NOVO'!$D286="FOLGA"),'ANO NOVO'!$B286&amp;"","")</f>
        <v/>
      </c>
      <c r="D886" s="78" t="str">
        <f aca="false">IF(AND(ISNUMBER('ANO NOVO'!$C286),'ANO NOVO'!$D286="FOLGA"),'ANO NOVO'!$C286,"")</f>
        <v/>
      </c>
      <c r="E886" s="0" t="str">
        <f aca="false">IF(AND(ISNUMBER('ANO NOVO'!$C286),'ANO NOVO'!$D286="FOLGA"),'ANO NOVO'!$E286&amp;"","")</f>
        <v/>
      </c>
      <c r="F886" s="0" t="str">
        <f aca="false">IF(AND(ISNUMBER('ANO NOVO'!$C286),'ANO NOVO'!$D286="FOLGA"),'ANO NOVO'!$F286&amp;"","")</f>
        <v/>
      </c>
      <c r="G886" s="0" t="str">
        <f aca="true">IF(D886="","",IF(D886=TODAY(),D886+ROW()/100000,""))</f>
        <v/>
      </c>
      <c r="H886" s="0" t="str">
        <f aca="true">IF(D886="","",IF(AND(D886&gt;TODAY(),D886&lt;=TODAY()+7),D886+ROW()/100000,""))</f>
        <v/>
      </c>
      <c r="I886" s="0" t="str">
        <f aca="false">IF(D886="","",IF(D886=CALENDÁRIO!$L$4,ROW(),""))</f>
        <v/>
      </c>
      <c r="J886" s="0" t="str">
        <f aca="false">IF(D886="","",CHOOSE(WEEKDAY(D886),"Domingo","Segunda","Terça","Quarta","Quinta","Sexta","Sábado"))</f>
        <v/>
      </c>
    </row>
    <row r="887" customFormat="false" ht="15" hidden="false" customHeight="false" outlineLevel="0" collapsed="false">
      <c r="A887" s="0" t="str">
        <f aca="false">IF(AND(ISNUMBER('ANO NOVO'!$C287),'ANO NOVO'!$D287="FOLGA"),"Folga Ano Novo","")</f>
        <v/>
      </c>
      <c r="B887" s="0" t="str">
        <f aca="false">IF(AND(ISNUMBER('ANO NOVO'!$C287),'ANO NOVO'!$D287="FOLGA"),'ANO NOVO'!$A287&amp;"","")</f>
        <v/>
      </c>
      <c r="C887" s="0" t="str">
        <f aca="false">IF(AND(ISNUMBER('ANO NOVO'!$C287),'ANO NOVO'!$D287="FOLGA"),'ANO NOVO'!$B287&amp;"","")</f>
        <v/>
      </c>
      <c r="D887" s="78" t="str">
        <f aca="false">IF(AND(ISNUMBER('ANO NOVO'!$C287),'ANO NOVO'!$D287="FOLGA"),'ANO NOVO'!$C287,"")</f>
        <v/>
      </c>
      <c r="E887" s="0" t="str">
        <f aca="false">IF(AND(ISNUMBER('ANO NOVO'!$C287),'ANO NOVO'!$D287="FOLGA"),'ANO NOVO'!$E287&amp;"","")</f>
        <v/>
      </c>
      <c r="F887" s="0" t="str">
        <f aca="false">IF(AND(ISNUMBER('ANO NOVO'!$C287),'ANO NOVO'!$D287="FOLGA"),'ANO NOVO'!$F287&amp;"","")</f>
        <v/>
      </c>
      <c r="G887" s="0" t="str">
        <f aca="true">IF(D887="","",IF(D887=TODAY(),D887+ROW()/100000,""))</f>
        <v/>
      </c>
      <c r="H887" s="0" t="str">
        <f aca="true">IF(D887="","",IF(AND(D887&gt;TODAY(),D887&lt;=TODAY()+7),D887+ROW()/100000,""))</f>
        <v/>
      </c>
      <c r="I887" s="0" t="str">
        <f aca="false">IF(D887="","",IF(D887=CALENDÁRIO!$L$4,ROW(),""))</f>
        <v/>
      </c>
      <c r="J887" s="0" t="str">
        <f aca="false">IF(D887="","",CHOOSE(WEEKDAY(D887),"Domingo","Segunda","Terça","Quarta","Quinta","Sexta","Sábado"))</f>
        <v/>
      </c>
    </row>
    <row r="888" customFormat="false" ht="15" hidden="false" customHeight="false" outlineLevel="0" collapsed="false">
      <c r="A888" s="0" t="str">
        <f aca="false">IF(AND(ISNUMBER('ANO NOVO'!$C288),'ANO NOVO'!$D288="FOLGA"),"Folga Ano Novo","")</f>
        <v/>
      </c>
      <c r="B888" s="0" t="str">
        <f aca="false">IF(AND(ISNUMBER('ANO NOVO'!$C288),'ANO NOVO'!$D288="FOLGA"),'ANO NOVO'!$A288&amp;"","")</f>
        <v/>
      </c>
      <c r="C888" s="0" t="str">
        <f aca="false">IF(AND(ISNUMBER('ANO NOVO'!$C288),'ANO NOVO'!$D288="FOLGA"),'ANO NOVO'!$B288&amp;"","")</f>
        <v/>
      </c>
      <c r="D888" s="78" t="str">
        <f aca="false">IF(AND(ISNUMBER('ANO NOVO'!$C288),'ANO NOVO'!$D288="FOLGA"),'ANO NOVO'!$C288,"")</f>
        <v/>
      </c>
      <c r="E888" s="0" t="str">
        <f aca="false">IF(AND(ISNUMBER('ANO NOVO'!$C288),'ANO NOVO'!$D288="FOLGA"),'ANO NOVO'!$E288&amp;"","")</f>
        <v/>
      </c>
      <c r="F888" s="0" t="str">
        <f aca="false">IF(AND(ISNUMBER('ANO NOVO'!$C288),'ANO NOVO'!$D288="FOLGA"),'ANO NOVO'!$F288&amp;"","")</f>
        <v/>
      </c>
      <c r="G888" s="0" t="str">
        <f aca="true">IF(D888="","",IF(D888=TODAY(),D888+ROW()/100000,""))</f>
        <v/>
      </c>
      <c r="H888" s="0" t="str">
        <f aca="true">IF(D888="","",IF(AND(D888&gt;TODAY(),D888&lt;=TODAY()+7),D888+ROW()/100000,""))</f>
        <v/>
      </c>
      <c r="I888" s="0" t="str">
        <f aca="false">IF(D888="","",IF(D888=CALENDÁRIO!$L$4,ROW(),""))</f>
        <v/>
      </c>
      <c r="J888" s="0" t="str">
        <f aca="false">IF(D888="","",CHOOSE(WEEKDAY(D888),"Domingo","Segunda","Terça","Quarta","Quinta","Sexta","Sábado"))</f>
        <v/>
      </c>
    </row>
    <row r="889" customFormat="false" ht="15" hidden="false" customHeight="false" outlineLevel="0" collapsed="false">
      <c r="A889" s="0" t="str">
        <f aca="false">IF(AND(ISNUMBER('ANO NOVO'!$C289),'ANO NOVO'!$D289="FOLGA"),"Folga Ano Novo","")</f>
        <v/>
      </c>
      <c r="B889" s="0" t="str">
        <f aca="false">IF(AND(ISNUMBER('ANO NOVO'!$C289),'ANO NOVO'!$D289="FOLGA"),'ANO NOVO'!$A289&amp;"","")</f>
        <v/>
      </c>
      <c r="C889" s="0" t="str">
        <f aca="false">IF(AND(ISNUMBER('ANO NOVO'!$C289),'ANO NOVO'!$D289="FOLGA"),'ANO NOVO'!$B289&amp;"","")</f>
        <v/>
      </c>
      <c r="D889" s="78" t="str">
        <f aca="false">IF(AND(ISNUMBER('ANO NOVO'!$C289),'ANO NOVO'!$D289="FOLGA"),'ANO NOVO'!$C289,"")</f>
        <v/>
      </c>
      <c r="E889" s="0" t="str">
        <f aca="false">IF(AND(ISNUMBER('ANO NOVO'!$C289),'ANO NOVO'!$D289="FOLGA"),'ANO NOVO'!$E289&amp;"","")</f>
        <v/>
      </c>
      <c r="F889" s="0" t="str">
        <f aca="false">IF(AND(ISNUMBER('ANO NOVO'!$C289),'ANO NOVO'!$D289="FOLGA"),'ANO NOVO'!$F289&amp;"","")</f>
        <v/>
      </c>
      <c r="G889" s="0" t="str">
        <f aca="true">IF(D889="","",IF(D889=TODAY(),D889+ROW()/100000,""))</f>
        <v/>
      </c>
      <c r="H889" s="0" t="str">
        <f aca="true">IF(D889="","",IF(AND(D889&gt;TODAY(),D889&lt;=TODAY()+7),D889+ROW()/100000,""))</f>
        <v/>
      </c>
      <c r="I889" s="0" t="str">
        <f aca="false">IF(D889="","",IF(D889=CALENDÁRIO!$L$4,ROW(),""))</f>
        <v/>
      </c>
      <c r="J889" s="0" t="str">
        <f aca="false">IF(D889="","",CHOOSE(WEEKDAY(D889),"Domingo","Segunda","Terça","Quarta","Quinta","Sexta","Sábado"))</f>
        <v/>
      </c>
    </row>
    <row r="890" customFormat="false" ht="15" hidden="false" customHeight="false" outlineLevel="0" collapsed="false">
      <c r="A890" s="0" t="str">
        <f aca="false">IF(AND(ISNUMBER('ANO NOVO'!$C290),'ANO NOVO'!$D290="FOLGA"),"Folga Ano Novo","")</f>
        <v/>
      </c>
      <c r="B890" s="0" t="str">
        <f aca="false">IF(AND(ISNUMBER('ANO NOVO'!$C290),'ANO NOVO'!$D290="FOLGA"),'ANO NOVO'!$A290&amp;"","")</f>
        <v/>
      </c>
      <c r="C890" s="0" t="str">
        <f aca="false">IF(AND(ISNUMBER('ANO NOVO'!$C290),'ANO NOVO'!$D290="FOLGA"),'ANO NOVO'!$B290&amp;"","")</f>
        <v/>
      </c>
      <c r="D890" s="78" t="str">
        <f aca="false">IF(AND(ISNUMBER('ANO NOVO'!$C290),'ANO NOVO'!$D290="FOLGA"),'ANO NOVO'!$C290,"")</f>
        <v/>
      </c>
      <c r="E890" s="0" t="str">
        <f aca="false">IF(AND(ISNUMBER('ANO NOVO'!$C290),'ANO NOVO'!$D290="FOLGA"),'ANO NOVO'!$E290&amp;"","")</f>
        <v/>
      </c>
      <c r="F890" s="0" t="str">
        <f aca="false">IF(AND(ISNUMBER('ANO NOVO'!$C290),'ANO NOVO'!$D290="FOLGA"),'ANO NOVO'!$F290&amp;"","")</f>
        <v/>
      </c>
      <c r="G890" s="0" t="str">
        <f aca="true">IF(D890="","",IF(D890=TODAY(),D890+ROW()/100000,""))</f>
        <v/>
      </c>
      <c r="H890" s="0" t="str">
        <f aca="true">IF(D890="","",IF(AND(D890&gt;TODAY(),D890&lt;=TODAY()+7),D890+ROW()/100000,""))</f>
        <v/>
      </c>
      <c r="I890" s="0" t="str">
        <f aca="false">IF(D890="","",IF(D890=CALENDÁRIO!$L$4,ROW(),""))</f>
        <v/>
      </c>
      <c r="J890" s="0" t="str">
        <f aca="false">IF(D890="","",CHOOSE(WEEKDAY(D890),"Domingo","Segunda","Terça","Quarta","Quinta","Sexta","Sábado"))</f>
        <v/>
      </c>
    </row>
    <row r="891" customFormat="false" ht="15" hidden="false" customHeight="false" outlineLevel="0" collapsed="false">
      <c r="A891" s="0" t="str">
        <f aca="false">IF(AND(ISNUMBER('ANO NOVO'!$C291),'ANO NOVO'!$D291="FOLGA"),"Folga Ano Novo","")</f>
        <v/>
      </c>
      <c r="B891" s="0" t="str">
        <f aca="false">IF(AND(ISNUMBER('ANO NOVO'!$C291),'ANO NOVO'!$D291="FOLGA"),'ANO NOVO'!$A291&amp;"","")</f>
        <v/>
      </c>
      <c r="C891" s="0" t="str">
        <f aca="false">IF(AND(ISNUMBER('ANO NOVO'!$C291),'ANO NOVO'!$D291="FOLGA"),'ANO NOVO'!$B291&amp;"","")</f>
        <v/>
      </c>
      <c r="D891" s="78" t="str">
        <f aca="false">IF(AND(ISNUMBER('ANO NOVO'!$C291),'ANO NOVO'!$D291="FOLGA"),'ANO NOVO'!$C291,"")</f>
        <v/>
      </c>
      <c r="E891" s="0" t="str">
        <f aca="false">IF(AND(ISNUMBER('ANO NOVO'!$C291),'ANO NOVO'!$D291="FOLGA"),'ANO NOVO'!$E291&amp;"","")</f>
        <v/>
      </c>
      <c r="F891" s="0" t="str">
        <f aca="false">IF(AND(ISNUMBER('ANO NOVO'!$C291),'ANO NOVO'!$D291="FOLGA"),'ANO NOVO'!$F291&amp;"","")</f>
        <v/>
      </c>
      <c r="G891" s="0" t="str">
        <f aca="true">IF(D891="","",IF(D891=TODAY(),D891+ROW()/100000,""))</f>
        <v/>
      </c>
      <c r="H891" s="0" t="str">
        <f aca="true">IF(D891="","",IF(AND(D891&gt;TODAY(),D891&lt;=TODAY()+7),D891+ROW()/100000,""))</f>
        <v/>
      </c>
      <c r="I891" s="0" t="str">
        <f aca="false">IF(D891="","",IF(D891=CALENDÁRIO!$L$4,ROW(),""))</f>
        <v/>
      </c>
      <c r="J891" s="0" t="str">
        <f aca="false">IF(D891="","",CHOOSE(WEEKDAY(D891),"Domingo","Segunda","Terça","Quarta","Quinta","Sexta","Sábado"))</f>
        <v/>
      </c>
    </row>
    <row r="892" customFormat="false" ht="15" hidden="false" customHeight="false" outlineLevel="0" collapsed="false">
      <c r="A892" s="0" t="str">
        <f aca="false">IF(AND(ISNUMBER('ANO NOVO'!$C292),'ANO NOVO'!$D292="FOLGA"),"Folga Ano Novo","")</f>
        <v/>
      </c>
      <c r="B892" s="0" t="str">
        <f aca="false">IF(AND(ISNUMBER('ANO NOVO'!$C292),'ANO NOVO'!$D292="FOLGA"),'ANO NOVO'!$A292&amp;"","")</f>
        <v/>
      </c>
      <c r="C892" s="0" t="str">
        <f aca="false">IF(AND(ISNUMBER('ANO NOVO'!$C292),'ANO NOVO'!$D292="FOLGA"),'ANO NOVO'!$B292&amp;"","")</f>
        <v/>
      </c>
      <c r="D892" s="78" t="str">
        <f aca="false">IF(AND(ISNUMBER('ANO NOVO'!$C292),'ANO NOVO'!$D292="FOLGA"),'ANO NOVO'!$C292,"")</f>
        <v/>
      </c>
      <c r="E892" s="0" t="str">
        <f aca="false">IF(AND(ISNUMBER('ANO NOVO'!$C292),'ANO NOVO'!$D292="FOLGA"),'ANO NOVO'!$E292&amp;"","")</f>
        <v/>
      </c>
      <c r="F892" s="0" t="str">
        <f aca="false">IF(AND(ISNUMBER('ANO NOVO'!$C292),'ANO NOVO'!$D292="FOLGA"),'ANO NOVO'!$F292&amp;"","")</f>
        <v/>
      </c>
      <c r="G892" s="0" t="str">
        <f aca="true">IF(D892="","",IF(D892=TODAY(),D892+ROW()/100000,""))</f>
        <v/>
      </c>
      <c r="H892" s="0" t="str">
        <f aca="true">IF(D892="","",IF(AND(D892&gt;TODAY(),D892&lt;=TODAY()+7),D892+ROW()/100000,""))</f>
        <v/>
      </c>
      <c r="I892" s="0" t="str">
        <f aca="false">IF(D892="","",IF(D892=CALENDÁRIO!$L$4,ROW(),""))</f>
        <v/>
      </c>
      <c r="J892" s="0" t="str">
        <f aca="false">IF(D892="","",CHOOSE(WEEKDAY(D892),"Domingo","Segunda","Terça","Quarta","Quinta","Sexta","Sábado"))</f>
        <v/>
      </c>
    </row>
    <row r="893" customFormat="false" ht="15" hidden="false" customHeight="false" outlineLevel="0" collapsed="false">
      <c r="A893" s="0" t="str">
        <f aca="false">IF(AND(ISNUMBER('ANO NOVO'!$C293),'ANO NOVO'!$D293="FOLGA"),"Folga Ano Novo","")</f>
        <v/>
      </c>
      <c r="B893" s="0" t="str">
        <f aca="false">IF(AND(ISNUMBER('ANO NOVO'!$C293),'ANO NOVO'!$D293="FOLGA"),'ANO NOVO'!$A293&amp;"","")</f>
        <v/>
      </c>
      <c r="C893" s="0" t="str">
        <f aca="false">IF(AND(ISNUMBER('ANO NOVO'!$C293),'ANO NOVO'!$D293="FOLGA"),'ANO NOVO'!$B293&amp;"","")</f>
        <v/>
      </c>
      <c r="D893" s="78" t="str">
        <f aca="false">IF(AND(ISNUMBER('ANO NOVO'!$C293),'ANO NOVO'!$D293="FOLGA"),'ANO NOVO'!$C293,"")</f>
        <v/>
      </c>
      <c r="E893" s="0" t="str">
        <f aca="false">IF(AND(ISNUMBER('ANO NOVO'!$C293),'ANO NOVO'!$D293="FOLGA"),'ANO NOVO'!$E293&amp;"","")</f>
        <v/>
      </c>
      <c r="F893" s="0" t="str">
        <f aca="false">IF(AND(ISNUMBER('ANO NOVO'!$C293),'ANO NOVO'!$D293="FOLGA"),'ANO NOVO'!$F293&amp;"","")</f>
        <v/>
      </c>
      <c r="G893" s="0" t="str">
        <f aca="true">IF(D893="","",IF(D893=TODAY(),D893+ROW()/100000,""))</f>
        <v/>
      </c>
      <c r="H893" s="0" t="str">
        <f aca="true">IF(D893="","",IF(AND(D893&gt;TODAY(),D893&lt;=TODAY()+7),D893+ROW()/100000,""))</f>
        <v/>
      </c>
      <c r="I893" s="0" t="str">
        <f aca="false">IF(D893="","",IF(D893=CALENDÁRIO!$L$4,ROW(),""))</f>
        <v/>
      </c>
      <c r="J893" s="0" t="str">
        <f aca="false">IF(D893="","",CHOOSE(WEEKDAY(D893),"Domingo","Segunda","Terça","Quarta","Quinta","Sexta","Sábado"))</f>
        <v/>
      </c>
    </row>
    <row r="894" customFormat="false" ht="15" hidden="false" customHeight="false" outlineLevel="0" collapsed="false">
      <c r="A894" s="0" t="str">
        <f aca="false">IF(AND(ISNUMBER('ANO NOVO'!$C294),'ANO NOVO'!$D294="FOLGA"),"Folga Ano Novo","")</f>
        <v/>
      </c>
      <c r="B894" s="0" t="str">
        <f aca="false">IF(AND(ISNUMBER('ANO NOVO'!$C294),'ANO NOVO'!$D294="FOLGA"),'ANO NOVO'!$A294&amp;"","")</f>
        <v/>
      </c>
      <c r="C894" s="0" t="str">
        <f aca="false">IF(AND(ISNUMBER('ANO NOVO'!$C294),'ANO NOVO'!$D294="FOLGA"),'ANO NOVO'!$B294&amp;"","")</f>
        <v/>
      </c>
      <c r="D894" s="78" t="str">
        <f aca="false">IF(AND(ISNUMBER('ANO NOVO'!$C294),'ANO NOVO'!$D294="FOLGA"),'ANO NOVO'!$C294,"")</f>
        <v/>
      </c>
      <c r="E894" s="0" t="str">
        <f aca="false">IF(AND(ISNUMBER('ANO NOVO'!$C294),'ANO NOVO'!$D294="FOLGA"),'ANO NOVO'!$E294&amp;"","")</f>
        <v/>
      </c>
      <c r="F894" s="0" t="str">
        <f aca="false">IF(AND(ISNUMBER('ANO NOVO'!$C294),'ANO NOVO'!$D294="FOLGA"),'ANO NOVO'!$F294&amp;"","")</f>
        <v/>
      </c>
      <c r="G894" s="0" t="str">
        <f aca="true">IF(D894="","",IF(D894=TODAY(),D894+ROW()/100000,""))</f>
        <v/>
      </c>
      <c r="H894" s="0" t="str">
        <f aca="true">IF(D894="","",IF(AND(D894&gt;TODAY(),D894&lt;=TODAY()+7),D894+ROW()/100000,""))</f>
        <v/>
      </c>
      <c r="I894" s="0" t="str">
        <f aca="false">IF(D894="","",IF(D894=CALENDÁRIO!$L$4,ROW(),""))</f>
        <v/>
      </c>
      <c r="J894" s="0" t="str">
        <f aca="false">IF(D894="","",CHOOSE(WEEKDAY(D894),"Domingo","Segunda","Terça","Quarta","Quinta","Sexta","Sábado"))</f>
        <v/>
      </c>
    </row>
    <row r="895" customFormat="false" ht="15" hidden="false" customHeight="false" outlineLevel="0" collapsed="false">
      <c r="A895" s="0" t="str">
        <f aca="false">IF(AND(ISNUMBER('ANO NOVO'!$C295),'ANO NOVO'!$D295="FOLGA"),"Folga Ano Novo","")</f>
        <v/>
      </c>
      <c r="B895" s="0" t="str">
        <f aca="false">IF(AND(ISNUMBER('ANO NOVO'!$C295),'ANO NOVO'!$D295="FOLGA"),'ANO NOVO'!$A295&amp;"","")</f>
        <v/>
      </c>
      <c r="C895" s="0" t="str">
        <f aca="false">IF(AND(ISNUMBER('ANO NOVO'!$C295),'ANO NOVO'!$D295="FOLGA"),'ANO NOVO'!$B295&amp;"","")</f>
        <v/>
      </c>
      <c r="D895" s="78" t="str">
        <f aca="false">IF(AND(ISNUMBER('ANO NOVO'!$C295),'ANO NOVO'!$D295="FOLGA"),'ANO NOVO'!$C295,"")</f>
        <v/>
      </c>
      <c r="E895" s="0" t="str">
        <f aca="false">IF(AND(ISNUMBER('ANO NOVO'!$C295),'ANO NOVO'!$D295="FOLGA"),'ANO NOVO'!$E295&amp;"","")</f>
        <v/>
      </c>
      <c r="F895" s="0" t="str">
        <f aca="false">IF(AND(ISNUMBER('ANO NOVO'!$C295),'ANO NOVO'!$D295="FOLGA"),'ANO NOVO'!$F295&amp;"","")</f>
        <v/>
      </c>
      <c r="G895" s="0" t="str">
        <f aca="true">IF(D895="","",IF(D895=TODAY(),D895+ROW()/100000,""))</f>
        <v/>
      </c>
      <c r="H895" s="0" t="str">
        <f aca="true">IF(D895="","",IF(AND(D895&gt;TODAY(),D895&lt;=TODAY()+7),D895+ROW()/100000,""))</f>
        <v/>
      </c>
      <c r="I895" s="0" t="str">
        <f aca="false">IF(D895="","",IF(D895=CALENDÁRIO!$L$4,ROW(),""))</f>
        <v/>
      </c>
      <c r="J895" s="0" t="str">
        <f aca="false">IF(D895="","",CHOOSE(WEEKDAY(D895),"Domingo","Segunda","Terça","Quarta","Quinta","Sexta","Sábado"))</f>
        <v/>
      </c>
    </row>
    <row r="896" customFormat="false" ht="15" hidden="false" customHeight="false" outlineLevel="0" collapsed="false">
      <c r="A896" s="0" t="str">
        <f aca="false">IF(AND(ISNUMBER('ANO NOVO'!$C296),'ANO NOVO'!$D296="FOLGA"),"Folga Ano Novo","")</f>
        <v/>
      </c>
      <c r="B896" s="0" t="str">
        <f aca="false">IF(AND(ISNUMBER('ANO NOVO'!$C296),'ANO NOVO'!$D296="FOLGA"),'ANO NOVO'!$A296&amp;"","")</f>
        <v/>
      </c>
      <c r="C896" s="0" t="str">
        <f aca="false">IF(AND(ISNUMBER('ANO NOVO'!$C296),'ANO NOVO'!$D296="FOLGA"),'ANO NOVO'!$B296&amp;"","")</f>
        <v/>
      </c>
      <c r="D896" s="78" t="str">
        <f aca="false">IF(AND(ISNUMBER('ANO NOVO'!$C296),'ANO NOVO'!$D296="FOLGA"),'ANO NOVO'!$C296,"")</f>
        <v/>
      </c>
      <c r="E896" s="0" t="str">
        <f aca="false">IF(AND(ISNUMBER('ANO NOVO'!$C296),'ANO NOVO'!$D296="FOLGA"),'ANO NOVO'!$E296&amp;"","")</f>
        <v/>
      </c>
      <c r="F896" s="0" t="str">
        <f aca="false">IF(AND(ISNUMBER('ANO NOVO'!$C296),'ANO NOVO'!$D296="FOLGA"),'ANO NOVO'!$F296&amp;"","")</f>
        <v/>
      </c>
      <c r="G896" s="0" t="str">
        <f aca="true">IF(D896="","",IF(D896=TODAY(),D896+ROW()/100000,""))</f>
        <v/>
      </c>
      <c r="H896" s="0" t="str">
        <f aca="true">IF(D896="","",IF(AND(D896&gt;TODAY(),D896&lt;=TODAY()+7),D896+ROW()/100000,""))</f>
        <v/>
      </c>
      <c r="I896" s="0" t="str">
        <f aca="false">IF(D896="","",IF(D896=CALENDÁRIO!$L$4,ROW(),""))</f>
        <v/>
      </c>
      <c r="J896" s="0" t="str">
        <f aca="false">IF(D896="","",CHOOSE(WEEKDAY(D896),"Domingo","Segunda","Terça","Quarta","Quinta","Sexta","Sábado"))</f>
        <v/>
      </c>
    </row>
    <row r="897" customFormat="false" ht="15" hidden="false" customHeight="false" outlineLevel="0" collapsed="false">
      <c r="A897" s="0" t="str">
        <f aca="false">IF(AND(ISNUMBER('ANO NOVO'!$C297),'ANO NOVO'!$D297="FOLGA"),"Folga Ano Novo","")</f>
        <v/>
      </c>
      <c r="B897" s="0" t="str">
        <f aca="false">IF(AND(ISNUMBER('ANO NOVO'!$C297),'ANO NOVO'!$D297="FOLGA"),'ANO NOVO'!$A297&amp;"","")</f>
        <v/>
      </c>
      <c r="C897" s="0" t="str">
        <f aca="false">IF(AND(ISNUMBER('ANO NOVO'!$C297),'ANO NOVO'!$D297="FOLGA"),'ANO NOVO'!$B297&amp;"","")</f>
        <v/>
      </c>
      <c r="D897" s="78" t="str">
        <f aca="false">IF(AND(ISNUMBER('ANO NOVO'!$C297),'ANO NOVO'!$D297="FOLGA"),'ANO NOVO'!$C297,"")</f>
        <v/>
      </c>
      <c r="E897" s="0" t="str">
        <f aca="false">IF(AND(ISNUMBER('ANO NOVO'!$C297),'ANO NOVO'!$D297="FOLGA"),'ANO NOVO'!$E297&amp;"","")</f>
        <v/>
      </c>
      <c r="F897" s="0" t="str">
        <f aca="false">IF(AND(ISNUMBER('ANO NOVO'!$C297),'ANO NOVO'!$D297="FOLGA"),'ANO NOVO'!$F297&amp;"","")</f>
        <v/>
      </c>
      <c r="G897" s="0" t="str">
        <f aca="true">IF(D897="","",IF(D897=TODAY(),D897+ROW()/100000,""))</f>
        <v/>
      </c>
      <c r="H897" s="0" t="str">
        <f aca="true">IF(D897="","",IF(AND(D897&gt;TODAY(),D897&lt;=TODAY()+7),D897+ROW()/100000,""))</f>
        <v/>
      </c>
      <c r="I897" s="0" t="str">
        <f aca="false">IF(D897="","",IF(D897=CALENDÁRIO!$L$4,ROW(),""))</f>
        <v/>
      </c>
      <c r="J897" s="0" t="str">
        <f aca="false">IF(D897="","",CHOOSE(WEEKDAY(D897),"Domingo","Segunda","Terça","Quarta","Quinta","Sexta","Sábado"))</f>
        <v/>
      </c>
    </row>
    <row r="898" customFormat="false" ht="15" hidden="false" customHeight="false" outlineLevel="0" collapsed="false">
      <c r="A898" s="0" t="str">
        <f aca="false">IF(AND(ISNUMBER('ANO NOVO'!$C298),'ANO NOVO'!$D298="FOLGA"),"Folga Ano Novo","")</f>
        <v/>
      </c>
      <c r="B898" s="0" t="str">
        <f aca="false">IF(AND(ISNUMBER('ANO NOVO'!$C298),'ANO NOVO'!$D298="FOLGA"),'ANO NOVO'!$A298&amp;"","")</f>
        <v/>
      </c>
      <c r="C898" s="0" t="str">
        <f aca="false">IF(AND(ISNUMBER('ANO NOVO'!$C298),'ANO NOVO'!$D298="FOLGA"),'ANO NOVO'!$B298&amp;"","")</f>
        <v/>
      </c>
      <c r="D898" s="78" t="str">
        <f aca="false">IF(AND(ISNUMBER('ANO NOVO'!$C298),'ANO NOVO'!$D298="FOLGA"),'ANO NOVO'!$C298,"")</f>
        <v/>
      </c>
      <c r="E898" s="0" t="str">
        <f aca="false">IF(AND(ISNUMBER('ANO NOVO'!$C298),'ANO NOVO'!$D298="FOLGA"),'ANO NOVO'!$E298&amp;"","")</f>
        <v/>
      </c>
      <c r="F898" s="0" t="str">
        <f aca="false">IF(AND(ISNUMBER('ANO NOVO'!$C298),'ANO NOVO'!$D298="FOLGA"),'ANO NOVO'!$F298&amp;"","")</f>
        <v/>
      </c>
      <c r="G898" s="0" t="str">
        <f aca="true">IF(D898="","",IF(D898=TODAY(),D898+ROW()/100000,""))</f>
        <v/>
      </c>
      <c r="H898" s="0" t="str">
        <f aca="true">IF(D898="","",IF(AND(D898&gt;TODAY(),D898&lt;=TODAY()+7),D898+ROW()/100000,""))</f>
        <v/>
      </c>
      <c r="I898" s="0" t="str">
        <f aca="false">IF(D898="","",IF(D898=CALENDÁRIO!$L$4,ROW(),""))</f>
        <v/>
      </c>
      <c r="J898" s="0" t="str">
        <f aca="false">IF(D898="","",CHOOSE(WEEKDAY(D898),"Domingo","Segunda","Terça","Quarta","Quinta","Sexta","Sábado"))</f>
        <v/>
      </c>
    </row>
    <row r="899" customFormat="false" ht="15" hidden="false" customHeight="false" outlineLevel="0" collapsed="false">
      <c r="A899" s="0" t="str">
        <f aca="false">IF(AND(ISNUMBER('ANO NOVO'!$C299),'ANO NOVO'!$D299="FOLGA"),"Folga Ano Novo","")</f>
        <v/>
      </c>
      <c r="B899" s="0" t="str">
        <f aca="false">IF(AND(ISNUMBER('ANO NOVO'!$C299),'ANO NOVO'!$D299="FOLGA"),'ANO NOVO'!$A299&amp;"","")</f>
        <v/>
      </c>
      <c r="C899" s="0" t="str">
        <f aca="false">IF(AND(ISNUMBER('ANO NOVO'!$C299),'ANO NOVO'!$D299="FOLGA"),'ANO NOVO'!$B299&amp;"","")</f>
        <v/>
      </c>
      <c r="D899" s="78" t="str">
        <f aca="false">IF(AND(ISNUMBER('ANO NOVO'!$C299),'ANO NOVO'!$D299="FOLGA"),'ANO NOVO'!$C299,"")</f>
        <v/>
      </c>
      <c r="E899" s="0" t="str">
        <f aca="false">IF(AND(ISNUMBER('ANO NOVO'!$C299),'ANO NOVO'!$D299="FOLGA"),'ANO NOVO'!$E299&amp;"","")</f>
        <v/>
      </c>
      <c r="F899" s="0" t="str">
        <f aca="false">IF(AND(ISNUMBER('ANO NOVO'!$C299),'ANO NOVO'!$D299="FOLGA"),'ANO NOVO'!$F299&amp;"","")</f>
        <v/>
      </c>
      <c r="G899" s="0" t="str">
        <f aca="true">IF(D899="","",IF(D899=TODAY(),D899+ROW()/100000,""))</f>
        <v/>
      </c>
      <c r="H899" s="0" t="str">
        <f aca="true">IF(D899="","",IF(AND(D899&gt;TODAY(),D899&lt;=TODAY()+7),D899+ROW()/100000,""))</f>
        <v/>
      </c>
      <c r="I899" s="0" t="str">
        <f aca="false">IF(D899="","",IF(D899=CALENDÁRIO!$L$4,ROW(),""))</f>
        <v/>
      </c>
      <c r="J899" s="0" t="str">
        <f aca="false">IF(D899="","",CHOOSE(WEEKDAY(D899),"Domingo","Segunda","Terça","Quarta","Quinta","Sexta","Sábado"))</f>
        <v/>
      </c>
    </row>
    <row r="900" customFormat="false" ht="15" hidden="false" customHeight="false" outlineLevel="0" collapsed="false">
      <c r="A900" s="0" t="str">
        <f aca="false">IF(AND(ISNUMBER('ANO NOVO'!$C300),'ANO NOVO'!$D300="FOLGA"),"Folga Ano Novo","")</f>
        <v/>
      </c>
      <c r="B900" s="0" t="str">
        <f aca="false">IF(AND(ISNUMBER('ANO NOVO'!$C300),'ANO NOVO'!$D300="FOLGA"),'ANO NOVO'!$A300&amp;"","")</f>
        <v/>
      </c>
      <c r="C900" s="0" t="str">
        <f aca="false">IF(AND(ISNUMBER('ANO NOVO'!$C300),'ANO NOVO'!$D300="FOLGA"),'ANO NOVO'!$B300&amp;"","")</f>
        <v/>
      </c>
      <c r="D900" s="78" t="str">
        <f aca="false">IF(AND(ISNUMBER('ANO NOVO'!$C300),'ANO NOVO'!$D300="FOLGA"),'ANO NOVO'!$C300,"")</f>
        <v/>
      </c>
      <c r="E900" s="0" t="str">
        <f aca="false">IF(AND(ISNUMBER('ANO NOVO'!$C300),'ANO NOVO'!$D300="FOLGA"),'ANO NOVO'!$E300&amp;"","")</f>
        <v/>
      </c>
      <c r="F900" s="0" t="str">
        <f aca="false">IF(AND(ISNUMBER('ANO NOVO'!$C300),'ANO NOVO'!$D300="FOLGA"),'ANO NOVO'!$F300&amp;"","")</f>
        <v/>
      </c>
      <c r="G900" s="0" t="str">
        <f aca="true">IF(D900="","",IF(D900=TODAY(),D900+ROW()/100000,""))</f>
        <v/>
      </c>
      <c r="H900" s="0" t="str">
        <f aca="true">IF(D900="","",IF(AND(D900&gt;TODAY(),D900&lt;=TODAY()+7),D900+ROW()/100000,""))</f>
        <v/>
      </c>
      <c r="I900" s="0" t="str">
        <f aca="false">IF(D900="","",IF(D900=CALENDÁRIO!$L$4,ROW(),""))</f>
        <v/>
      </c>
      <c r="J900" s="0" t="str">
        <f aca="false">IF(D900="","",CHOOSE(WEEKDAY(D900),"Domingo","Segunda","Terça","Quarta","Quinta","Sexta","Sábado"))</f>
        <v/>
      </c>
    </row>
    <row r="901" customFormat="false" ht="15" hidden="false" customHeight="false" outlineLevel="0" collapsed="false">
      <c r="A901" s="0" t="str">
        <f aca="false">IF(AND(ISNUMBER('ANO NOVO'!$C301),'ANO NOVO'!$D301="FOLGA"),"Folga Ano Novo","")</f>
        <v/>
      </c>
      <c r="B901" s="0" t="str">
        <f aca="false">IF(AND(ISNUMBER('ANO NOVO'!$C301),'ANO NOVO'!$D301="FOLGA"),'ANO NOVO'!$A301&amp;"","")</f>
        <v/>
      </c>
      <c r="C901" s="0" t="str">
        <f aca="false">IF(AND(ISNUMBER('ANO NOVO'!$C301),'ANO NOVO'!$D301="FOLGA"),'ANO NOVO'!$B301&amp;"","")</f>
        <v/>
      </c>
      <c r="D901" s="78" t="str">
        <f aca="false">IF(AND(ISNUMBER('ANO NOVO'!$C301),'ANO NOVO'!$D301="FOLGA"),'ANO NOVO'!$C301,"")</f>
        <v/>
      </c>
      <c r="E901" s="0" t="str">
        <f aca="false">IF(AND(ISNUMBER('ANO NOVO'!$C301),'ANO NOVO'!$D301="FOLGA"),'ANO NOVO'!$E301&amp;"","")</f>
        <v/>
      </c>
      <c r="F901" s="0" t="str">
        <f aca="false">IF(AND(ISNUMBER('ANO NOVO'!$C301),'ANO NOVO'!$D301="FOLGA"),'ANO NOVO'!$F301&amp;"","")</f>
        <v/>
      </c>
      <c r="G901" s="0" t="str">
        <f aca="true">IF(D901="","",IF(D901=TODAY(),D901+ROW()/100000,""))</f>
        <v/>
      </c>
      <c r="H901" s="0" t="str">
        <f aca="true">IF(D901="","",IF(AND(D901&gt;TODAY(),D901&lt;=TODAY()+7),D901+ROW()/100000,""))</f>
        <v/>
      </c>
      <c r="I901" s="0" t="str">
        <f aca="false">IF(D901="","",IF(D901=CALENDÁRIO!$L$4,ROW(),""))</f>
        <v/>
      </c>
      <c r="J901" s="0" t="str">
        <f aca="false">IF(D901="","",CHOOSE(WEEKDAY(D901),"Domingo","Segunda","Terça","Quarta","Quinta","Sexta","Sábado"))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2026-09-28T16:53:49Z</dcterms:created>
  <dc:creator>openpyxl</dc:creator>
  <dc:description/>
  <dc:language>pt-BR</dc:language>
  <cp:lastModifiedBy/>
  <dcterms:modified xsi:type="dcterms:W3CDTF">2026-10-06T20:51:03Z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