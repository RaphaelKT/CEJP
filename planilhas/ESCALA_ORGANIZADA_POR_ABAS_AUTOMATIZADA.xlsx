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CALENDÁRIO" sheetId="2" state="visible" r:id="rId4"/>
    <sheet name="FOLGAS" sheetId="3" state="visible" r:id="rId5"/>
    <sheet name="NATAL" sheetId="4" state="visible" r:id="rId6"/>
    <sheet name="ANO NOVO" sheetId="5" state="visible" r:id="rId7"/>
    <sheet name="FÉRIAS" sheetId="6" state="visible" r:id="rId8"/>
    <sheet name="COMO USAR" sheetId="7" state="visible" r:id="rId9"/>
    <sheet name="LISTAS" sheetId="8" state="hidden" r:id="rId10"/>
  </sheets>
  <definedNames>
    <definedName function="false" hidden="true" localSheetId="4" name="_xlnm._FilterDatabase" vbProcedure="false">'ANO NOVO'!$A$1:$E$301</definedName>
    <definedName function="false" hidden="true" localSheetId="5" name="_xlnm._FilterDatabase" vbProcedure="false">FÉRIAS!$A$1:$I$301</definedName>
    <definedName function="false" hidden="true" localSheetId="2" name="_xlnm._FilterDatabase" vbProcedure="false">FOLGAS!$A$1:$G$301</definedName>
    <definedName function="false" hidden="true" localSheetId="3" name="_xlnm._FilterDatabase" vbProcedure="false">NATAL!$A$1:$E$301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Próximo dia útil (seg–sex) após o fim das férias. Não considera feriados — confira em vésperas de feriado.</t>
        </r>
      </text>
    </comment>
  </commentList>
</comments>
</file>

<file path=xl/sharedStrings.xml><?xml version="1.0" encoding="utf-8"?>
<sst xmlns="http://schemas.openxmlformats.org/spreadsheetml/2006/main" count="202" uniqueCount="134">
  <si>
    <t xml:space="preserve">PAINEL DE CONTROLE — FOLGAS E FÉRIAS</t>
  </si>
  <si>
    <t xml:space="preserve">De folga hoje</t>
  </si>
  <si>
    <t xml:space="preserve">Em férias hoje</t>
  </si>
  <si>
    <t xml:space="preserve">Folgas nos próx. 7 dias</t>
  </si>
  <si>
    <t xml:space="preserve">Férias começando em 30 dias</t>
  </si>
  <si>
    <t xml:space="preserve">Férias sem data definida</t>
  </si>
  <si>
    <t xml:space="preserve">Alertas (conflitos/duplicidades)</t>
  </si>
  <si>
    <t xml:space="preserve">Natal: de folga</t>
  </si>
  <si>
    <t xml:space="preserve">Ano Novo: de folga</t>
  </si>
  <si>
    <t xml:space="preserve">DE FOLGA HOJE</t>
  </si>
  <si>
    <t xml:space="preserve">#</t>
  </si>
  <si>
    <t xml:space="preserve">Nome</t>
  </si>
  <si>
    <t xml:space="preserve">Setor</t>
  </si>
  <si>
    <t xml:space="preserve">Dia</t>
  </si>
  <si>
    <t xml:space="preserve">Observação</t>
  </si>
  <si>
    <t xml:space="preserve">EM FÉRIAS HOJE</t>
  </si>
  <si>
    <t xml:space="preserve">Início</t>
  </si>
  <si>
    <t xml:space="preserve">Fim</t>
  </si>
  <si>
    <t xml:space="preserve">Retorno</t>
  </si>
  <si>
    <t xml:space="preserve">Dias restantes</t>
  </si>
  <si>
    <t xml:space="preserve">Status</t>
  </si>
  <si>
    <t xml:space="preserve">PRÓXIMAS FOLGAS (PRÓXIMOS 7 DIAS)</t>
  </si>
  <si>
    <t xml:space="preserve">Data</t>
  </si>
  <si>
    <t xml:space="preserve">Faltam (dias)</t>
  </si>
  <si>
    <t xml:space="preserve">Alerta</t>
  </si>
  <si>
    <t xml:space="preserve">PRÓXIMAS FÉRIAS (PRÓXIMOS 30 DIAS)</t>
  </si>
  <si>
    <t xml:space="preserve">Total dias</t>
  </si>
  <si>
    <t xml:space="preserve">CALENDÁRIO DE AUSÊNCIAS</t>
  </si>
  <si>
    <t xml:space="preserve">QUEM ESTÁ AUSENTE NO DIA?</t>
  </si>
  <si>
    <t xml:space="preserve">Mês:</t>
  </si>
  <si>
    <t xml:space="preserve">Ano:</t>
  </si>
  <si>
    <t xml:space="preserve">← mude para ver outros meses</t>
  </si>
  <si>
    <t xml:space="preserve">Digite a data:</t>
  </si>
  <si>
    <t xml:space="preserve">Domingo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</si>
  <si>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</si>
  <si>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</si>
  <si>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</si>
  <si>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</si>
  <si>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</si>
  <si>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</si>
  <si>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Tipo</t>
  </si>
  <si>
    <t xml:space="preserve">Legenda:</t>
  </si>
  <si>
    <t xml:space="preserve">Hoje</t>
  </si>
  <si>
    <t xml:space="preserve">Dia com ausências</t>
  </si>
  <si>
    <t xml:space="preserve">Dia consultado</t>
  </si>
  <si>
    <t xml:space="preserve">Fora do mês</t>
  </si>
  <si>
    <t xml:space="preserve">Data da Folga</t>
  </si>
  <si>
    <t xml:space="preserve">Dia da Semana</t>
  </si>
  <si>
    <t xml:space="preserve">aux_hoje</t>
  </si>
  <si>
    <t xml:space="preserve">aux_7dias</t>
  </si>
  <si>
    <t xml:space="preserve">aux_consulta</t>
  </si>
  <si>
    <t xml:space="preserve">SÉRGIO SÁ</t>
  </si>
  <si>
    <t xml:space="preserve">FISCALIZAÇÃO</t>
  </si>
  <si>
    <t xml:space="preserve">ALEXANDRE</t>
  </si>
  <si>
    <t xml:space="preserve">BRUNA RAFAELA</t>
  </si>
  <si>
    <t xml:space="preserve">JURIDICO</t>
  </si>
  <si>
    <t xml:space="preserve">FABIO FERREIRA</t>
  </si>
  <si>
    <t xml:space="preserve">PAULA LOBO</t>
  </si>
  <si>
    <t xml:space="preserve">RAPHAEL PINTO</t>
  </si>
  <si>
    <t xml:space="preserve">ANTONIO</t>
  </si>
  <si>
    <t xml:space="preserve">FABIO MARQUES</t>
  </si>
  <si>
    <t xml:space="preserve">Marina </t>
  </si>
  <si>
    <t xml:space="preserve">ATENDIMENTO </t>
  </si>
  <si>
    <t xml:space="preserve">Diogo</t>
  </si>
  <si>
    <t xml:space="preserve">Douglas</t>
  </si>
  <si>
    <t xml:space="preserve">Karoline</t>
  </si>
  <si>
    <t xml:space="preserve">Evelyn</t>
  </si>
  <si>
    <t xml:space="preserve">Janaina</t>
  </si>
  <si>
    <t xml:space="preserve">Wallace</t>
  </si>
  <si>
    <t xml:space="preserve">Arthur</t>
  </si>
  <si>
    <t xml:space="preserve">Fabiula</t>
  </si>
  <si>
    <t xml:space="preserve">Daiane</t>
  </si>
  <si>
    <t xml:space="preserve">Ingrid</t>
  </si>
  <si>
    <t xml:space="preserve">Situação</t>
  </si>
  <si>
    <t xml:space="preserve">Início das Férias</t>
  </si>
  <si>
    <t xml:space="preserve">Fim das Férias</t>
  </si>
  <si>
    <t xml:space="preserve">Total de Dias</t>
  </si>
  <si>
    <t xml:space="preserve">Retorno ao Trabalho</t>
  </si>
  <si>
    <t xml:space="preserve">aux_30dias</t>
  </si>
  <si>
    <t xml:space="preserve">JURÍDICO</t>
  </si>
  <si>
    <t xml:space="preserve">Possui mais 15 dias de férias a usufruir</t>
  </si>
  <si>
    <t xml:space="preserve">JANAINA PLACIDO</t>
  </si>
  <si>
    <t xml:space="preserve">ATENDIMENTO</t>
  </si>
  <si>
    <t xml:space="preserve">FABIO FERREIRA </t>
  </si>
  <si>
    <t xml:space="preserve">Possibilidade de usufruir os 15 dias restantes no período de 23/11 a 07/12.</t>
  </si>
  <si>
    <t xml:space="preserve">FABIO MAQUES </t>
  </si>
  <si>
    <t xml:space="preserve">possui mais 10 dias de férias a usufruir </t>
  </si>
  <si>
    <t xml:space="preserve">CARLOS ALEXANDRE</t>
  </si>
  <si>
    <t xml:space="preserve">SERGIO DE SÁ</t>
  </si>
  <si>
    <t xml:space="preserve">Informa que já usufruiu 10 dias de férias e solicita os 4 dias restantes no período de 13/10 a 16/10, além de mais 15 dias posteriormente.</t>
  </si>
  <si>
    <t xml:space="preserve">BRUNO FERREIRA</t>
  </si>
  <si>
    <t xml:space="preserve">Possui mais 15 dias de férias a usufruir </t>
  </si>
  <si>
    <t xml:space="preserve">KAROLINE MANZI </t>
  </si>
  <si>
    <t xml:space="preserve">COMO USAR — RECURSOS AUTOMÁTICOS DA PLANILHA</t>
  </si>
  <si>
    <t xml:space="preserve">O que preencher</t>
  </si>
  <si>
    <t xml:space="preserve">Apenas as colunas originais: Nome, Setor, Datas, Situação e Observação. As colunas novas (Dia da Semana, Status, Alerta, Total de Dias, Retorno) são calculadas sozinhas — não digite nelas.</t>
  </si>
  <si>
    <t xml:space="preserve">PAINEL</t>
  </si>
  <si>
    <t xml:space="preserve">Primeira aba. Mostra a data de hoje, um aviso em vermelho se alguém está de folga/férias hoje, indicadores (folgas hoje, férias hoje, próximos 7/30 dias, pendências, alertas, Natal e Ano Novo) e listas com os nomes.</t>
  </si>
  <si>
    <t xml:space="preserve">CALENDÁRIO</t>
  </si>
  <si>
    <t xml:space="preserve">Visão mensal com a quantidade de pessoas de folga e de férias em cada dia. Troque o Mês/Ano nas células amarelas. À direita, digite qualquer data para ver quem está ausente nela.</t>
  </si>
  <si>
    <t xml:space="preserve">FOLGAS</t>
  </si>
  <si>
    <t xml:space="preserve">Novas colunas: Dia da Semana, Status (HOJE / AMANHÃ / Em X dias / Agendada / Realizada) e Alerta (folga duplicada ou mais de uma pessoa do mesmo setor no mesmo dia). Para registrar outra folga do mesmo funcionário, use uma nova linha.</t>
  </si>
  <si>
    <t xml:space="preserve">FÉRIAS</t>
  </si>
  <si>
    <t xml:space="preserve">Novas colunas: Total de Dias, Retorno ao Trabalho (próximo dia útil), Status (Começa em X dias / EM FÉRIAS / Concluídas / Sem data definida) e Alerta (período acima de 30 dias ou coincidência com férias de outra pessoa do mesmo setor).</t>
  </si>
  <si>
    <t xml:space="preserve">NATAL / ANO NOVO</t>
  </si>
  <si>
    <t xml:space="preserve">A coluna Situação fica verde para FOLGA, azul para TRABALHA e laranja se o nome estiver preenchido sem situação.</t>
  </si>
  <si>
    <t xml:space="preserve">Cores — Folgas</t>
  </si>
  <si>
    <t xml:space="preserve">Vermelho = folga HOJE · Amarelo = folga nos próximos 7 dias · Cinza = folga que já passou.</t>
  </si>
  <si>
    <t xml:space="preserve">Cores — Férias</t>
  </si>
  <si>
    <t xml:space="preserve">Verde = em férias hoje · Amarelo = começa nos próximos 30 dias · Cinza = concluídas · Laranja = sem data definida.</t>
  </si>
  <si>
    <t xml:space="preserve">Validações</t>
  </si>
  <si>
    <t xml:space="preserve">Datas só aceitam datas válidas; a data de fim das férias não pode ser anterior ao início; Setor tem lista suspensa (aceita outro valor após um aviso); Situação só aceita TRABALHA ou FOLGA.</t>
  </si>
  <si>
    <t xml:space="preserve">Listas</t>
  </si>
  <si>
    <t xml:space="preserve">A aba LISTAS agora também tem Setores e Meses. Para incluir um novo setor, digite-o abaixo dos existentes na coluna B.</t>
  </si>
  <si>
    <t xml:space="preserve">Colunas ocultas</t>
  </si>
  <si>
    <t xml:space="preserve">As abas FOLGAS (J:L), FÉRIAS (K:M), PAINEL (L) e CALENDÁRIO (O:P) têm colunas auxiliares ocultas usadas pelos cálculos. Não as apague.</t>
  </si>
  <si>
    <t xml:space="preserve">Limites</t>
  </si>
  <si>
    <t xml:space="preserve">As fórmulas cobrem as linhas 2 a 301 de cada aba. O painel mostra até 10 nomes por lista e a consulta do calendário até 20. O 'Retorno' ignora feriados.</t>
  </si>
  <si>
    <t xml:space="preserve">Setores</t>
  </si>
  <si>
    <t xml:space="preserve">Meses</t>
  </si>
  <si>
    <t xml:space="preserve">TRABALHA</t>
  </si>
  <si>
    <t xml:space="preserve">Janeiro</t>
  </si>
  <si>
    <t xml:space="preserve">FOLGA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</si>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</sst>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mm/dd/yy"/>
    <numFmt numFmtId="169" formatCode="d"/>
  </numFmts>
  <fonts count="2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mbria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0"/>
      <color rgb="FF404040"/>
      <name val="Calibri"/>
      <family val="0"/>
      <charset val="1"/>
    </font>
    <font>
      <b val="true"/>
      <sz val="20"/>
      <color rgb="FF1F4E78"/>
      <name val="Cambria"/>
      <family val="0"/>
      <charset val="1"/>
    </font>
    <font>
      <b val="true"/>
      <sz val="12"/>
      <color rgb="FF1F4E78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F4E78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808080"/>
      <name val="Calibri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C7CE"/>
        <bgColor rgb="FFFFDBB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DBB6"/>
      </patternFill>
    </fill>
    <fill>
      <patternFill patternType="solid">
        <fgColor rgb="FFFCE4D6"/>
        <bgColor rgb="FFFFDBB6"/>
      </patternFill>
    </fill>
    <fill>
      <patternFill patternType="solid">
        <fgColor rgb="FFDDEBF7"/>
        <bgColor rgb="FFD9E1F2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  <fill>
      <patternFill patternType="solid">
        <fgColor rgb="FFF7F9FC"/>
        <bgColor rgb="FFFFFFFF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9C5700"/>
      </patternFill>
    </fill>
    <fill>
      <patternFill patternType="solid">
        <fgColor rgb="FFFFFF00"/>
        <bgColor rgb="FFFFCC00"/>
      </patternFill>
    </fill>
    <fill>
      <patternFill patternType="solid">
        <fgColor rgb="FFBDD7EE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F7F9FC"/>
      </patternFill>
    </fill>
    <fill>
      <patternFill patternType="solid">
        <fgColor rgb="FFFFDBB6"/>
        <bgColor rgb="FFFCE4D6"/>
      </patternFill>
    </fill>
    <fill>
      <patternFill patternType="solid">
        <fgColor rgb="FFFFFCE6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</dxf>
    <dxf>
      <font>
        <color rgb="FFBFBFBF"/>
      </font>
      <fill>
        <patternFill>
          <bgColor rgb="FFF2F2F2"/>
        </patternFill>
      </fill>
    </dxf>
    <dxf>
      <font>
        <b val="1"/>
        <color rgb="FF1F4E78"/>
      </font>
      <fill>
        <patternFill>
          <bgColor rgb="FFBDD7EE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C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8C8C8C"/>
      </font>
    </dxf>
    <dxf>
      <font>
        <b val="1"/>
        <color rgb="FF1F4E78"/>
      </font>
      <fill>
        <patternFill>
          <bgColor rgb="FFDDEBF7"/>
        </patternFill>
      </fill>
    </dxf>
    <dxf>
      <font>
        <i val="1"/>
        <color rgb="FF833C0B"/>
      </font>
      <fill>
        <patternFill>
          <bgColor rgb="FFFCE4D6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33C0B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F7F9FC"/>
      <rgbColor rgb="FF9C5700"/>
      <rgbColor rgb="FFFFFCE6"/>
      <rgbColor rgb="FFDDEBF7"/>
      <rgbColor rgb="FF660066"/>
      <rgbColor rgb="FFFF8080"/>
      <rgbColor rgb="FF0066CC"/>
      <rgbColor rgb="FFBDD7EE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E1F2"/>
      <rgbColor rgb="FFFFC7CE"/>
      <rgbColor rgb="FFFCE4D6"/>
      <rgbColor rgb="FFFFDBB6"/>
      <rgbColor rgb="FF3366FF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7F7F7F"/>
      <rgbColor rgb="FF003300"/>
      <rgbColor rgb="FF375623"/>
      <rgbColor rgb="FF833C0B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L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7"/>
    <col collapsed="false" customWidth="true" hidden="false" outlineLevel="0" max="7" min="5" style="0" width="15"/>
    <col collapsed="false" customWidth="true" hidden="false" outlineLevel="0" max="8" min="8" style="0" width="17"/>
    <col collapsed="false" customWidth="true" hidden="false" outlineLevel="0" max="9" min="9" style="0" width="22"/>
    <col collapsed="false" customWidth="true" hidden="false" outlineLevel="0" max="10" min="10" style="0" width="2"/>
    <col collapsed="false" customWidth="true" hidden="true" outlineLevel="0" max="12" min="12" style="0" width="13"/>
  </cols>
  <sheetData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B3" s="2" t="str">
        <f aca="true">"Hoje é "&amp;CHOOSE(WEEKDAY(TODAY()),"Domingo","Segunda","Terça","Quarta","Quinta","Sexta","Sábado")&amp;", "&amp;TEXT(DAY(TODAY()),"00")&amp;"/"&amp;TEXT(MONTH(TODAY()),"00")&amp;"/"&amp;YEAR(TODAY())&amp;"  •  atualiza sozinho ao abrir a planilha"</f>
        <v>Hoje é Terça, 06/10/2026  •  atualiza sozinho ao abrir a planilha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3" t="str">
        <f aca="false">IF(B8+E8=0,"✔ Nenhum funcionário de folga ou de férias hoje.","⚠ ATENÇÃO: hoje há "&amp;B8&amp;" funcionário(s) de FOLGA e "&amp;E8&amp;" em FÉRIAS — veja a lista abaixo.")</f>
        <v>✔ Nenhum funcionário de folga ou de férias hoje.</v>
      </c>
      <c r="C5" s="3"/>
      <c r="D5" s="3"/>
      <c r="E5" s="3"/>
      <c r="F5" s="3"/>
      <c r="G5" s="3"/>
      <c r="H5" s="3"/>
      <c r="I5" s="3"/>
    </row>
    <row r="7" customFormat="false" ht="30" hidden="false" customHeight="true" outlineLevel="0" collapsed="false">
      <c r="B7" s="4" t="s">
        <v>1</v>
      </c>
      <c r="C7" s="4"/>
      <c r="D7" s="4"/>
      <c r="E7" s="5" t="s">
        <v>2</v>
      </c>
      <c r="F7" s="5"/>
      <c r="G7" s="6" t="s">
        <v>3</v>
      </c>
      <c r="H7" s="6" t="s">
        <v>4</v>
      </c>
      <c r="I7" s="6"/>
    </row>
    <row r="8" customFormat="false" ht="33.75" hidden="false" customHeight="true" outlineLevel="0" collapsed="false">
      <c r="B8" s="7" t="n">
        <f aca="true">COUNTIF(FOLGAS!$C$2:$C$301,TODAY())</f>
        <v>0</v>
      </c>
      <c r="C8" s="7"/>
      <c r="D8" s="7"/>
      <c r="E8" s="8" t="n">
        <f aca="true">COUNTIFS(FÉRIAS!$C$2:$C$301,"&lt;="&amp;TODAY(),FÉRIAS!$D$2:$D$301,"&gt;="&amp;TODAY())</f>
        <v>0</v>
      </c>
      <c r="F8" s="8"/>
      <c r="G8" s="9" t="n">
        <f aca="true">COUNTIFS(FOLGAS!$C$2:$C$301,"&gt;"&amp;TODAY(),FOLGAS!$C$2:$C$301,"&lt;="&amp;TODAY()+7)</f>
        <v>0</v>
      </c>
      <c r="H8" s="9" t="n">
        <f aca="true">COUNTIFS(FÉRIAS!$C$2:$C$301,"&gt;"&amp;TODAY(),FÉRIAS!$C$2:$C$301,"&lt;="&amp;TODAY()+30)</f>
        <v>1</v>
      </c>
      <c r="I8" s="9"/>
    </row>
    <row r="10" customFormat="false" ht="30" hidden="false" customHeight="true" outlineLevel="0" collapsed="false">
      <c r="B10" s="10" t="s">
        <v>5</v>
      </c>
      <c r="C10" s="10"/>
      <c r="D10" s="10"/>
      <c r="E10" s="10" t="s">
        <v>6</v>
      </c>
      <c r="F10" s="10"/>
      <c r="G10" s="11" t="s">
        <v>7</v>
      </c>
      <c r="H10" s="11" t="s">
        <v>8</v>
      </c>
      <c r="I10" s="11"/>
    </row>
    <row r="11" customFormat="false" ht="33.75" hidden="false" customHeight="true" outlineLevel="0" collapsed="false">
      <c r="B11" s="12" t="n">
        <f aca="false">COUNTIFS(FÉRIAS!$A$2:$A$301,"?*",FÉRIAS!$H$2:$H$301,"Sem data definida")</f>
        <v>3</v>
      </c>
      <c r="C11" s="12"/>
      <c r="D11" s="12"/>
      <c r="E11" s="12" t="n">
        <f aca="false">COUNTIF(FOLGAS!$G$2:$G$301,"⚠*")+COUNTIF(FÉRIAS!$I$2:$I$301,"⚠*")+COUNTIF(FÉRIAS!$H$2:$H$301,"⚠*")</f>
        <v>4</v>
      </c>
      <c r="F11" s="12"/>
      <c r="G11" s="13" t="str">
        <f aca="false">COUNTIF(NATAL!$D$2:$D$301,"FOLGA")&amp;" folga / "&amp;COUNTIF(NATAL!$D$2:$D$301,"TRABALHA")&amp;" trab."</f>
        <v>0 folga / 0 trab.</v>
      </c>
      <c r="H11" s="13" t="str">
        <f aca="false">COUNTIF('ANO NOVO'!$D$2:$D$301,"FOLGA")&amp;" folga / "&amp;COUNTIF('ANO NOVO'!$D$2:$D$301,"TRABALHA")&amp;" trab."</f>
        <v>0 folga / 0 trab.</v>
      </c>
      <c r="I11" s="13"/>
    </row>
    <row r="13" customFormat="false" ht="24" hidden="false" customHeight="true" outlineLevel="0" collapsed="false">
      <c r="B13" s="14" t="s">
        <v>9</v>
      </c>
      <c r="C13" s="14"/>
      <c r="D13" s="14"/>
      <c r="E13" s="14"/>
      <c r="F13" s="14"/>
      <c r="G13" s="14"/>
      <c r="H13" s="14"/>
      <c r="I13" s="14"/>
    </row>
    <row r="14" customFormat="false" ht="15" hidden="false" customHeight="true" outlineLevel="0" collapsed="false">
      <c r="B14" s="15" t="s">
        <v>10</v>
      </c>
      <c r="C14" s="15" t="s">
        <v>11</v>
      </c>
      <c r="D14" s="15" t="s">
        <v>12</v>
      </c>
      <c r="E14" s="15" t="s">
        <v>13</v>
      </c>
      <c r="F14" s="15" t="s">
        <v>14</v>
      </c>
      <c r="G14" s="15"/>
      <c r="H14" s="15"/>
      <c r="I14" s="15"/>
    </row>
    <row r="15" customFormat="false" ht="15" hidden="false" customHeight="false" outlineLevel="0" collapsed="false">
      <c r="B15" s="16" t="str">
        <f aca="false">IF(L15="","",1)</f>
        <v/>
      </c>
      <c r="C15" s="17" t="str">
        <f aca="false">IF($L15="","",INDEX(FOLGAS!$A:$A,$L15)&amp;"")</f>
        <v/>
      </c>
      <c r="D15" s="16" t="str">
        <f aca="false">IF($L15="","",INDEX(FOLGAS!$B:$B,$L15)&amp;"")</f>
        <v/>
      </c>
      <c r="E15" s="16" t="str">
        <f aca="false">IF($L15="","",INDEX(FOLGAS!$E:$E,$L15)&amp;"")</f>
        <v/>
      </c>
      <c r="F15" s="16" t="str">
        <f aca="false">IF($L15="","",INDEX(FOLGAS!$D:$D,$L15)&amp;"")</f>
        <v/>
      </c>
      <c r="G15" s="16"/>
      <c r="H15" s="16"/>
      <c r="I15" s="16"/>
      <c r="L15" s="0" t="str">
        <f aca="false">IFERROR(ROUND(MOD(SMALL(FOLGAS!$J$2:$J$301,1),1)*100000,0),"")</f>
        <v/>
      </c>
    </row>
    <row r="16" customFormat="false" ht="15" hidden="false" customHeight="false" outlineLevel="0" collapsed="false">
      <c r="B16" s="18" t="str">
        <f aca="false">IF(L16="","",2)</f>
        <v/>
      </c>
      <c r="C16" s="19" t="str">
        <f aca="false">IF($L16="","",INDEX(FOLGAS!$A:$A,$L16)&amp;"")</f>
        <v/>
      </c>
      <c r="D16" s="18" t="str">
        <f aca="false">IF($L16="","",INDEX(FOLGAS!$B:$B,$L16)&amp;"")</f>
        <v/>
      </c>
      <c r="E16" s="18" t="str">
        <f aca="false">IF($L16="","",INDEX(FOLGAS!$E:$E,$L16)&amp;"")</f>
        <v/>
      </c>
      <c r="F16" s="18" t="str">
        <f aca="false">IF($L16="","",INDEX(FOLGAS!$D:$D,$L16)&amp;"")</f>
        <v/>
      </c>
      <c r="G16" s="18"/>
      <c r="H16" s="18"/>
      <c r="I16" s="18"/>
      <c r="L16" s="0" t="str">
        <f aca="false">IFERROR(ROUND(MOD(SMALL(FOLGAS!$J$2:$J$301,2),1)*100000,0),"")</f>
        <v/>
      </c>
    </row>
    <row r="17" customFormat="false" ht="15" hidden="false" customHeight="false" outlineLevel="0" collapsed="false">
      <c r="B17" s="16" t="str">
        <f aca="false">IF(L17="","",3)</f>
        <v/>
      </c>
      <c r="C17" s="17" t="str">
        <f aca="false">IF($L17="","",INDEX(FOLGAS!$A:$A,$L17)&amp;"")</f>
        <v/>
      </c>
      <c r="D17" s="16" t="str">
        <f aca="false">IF($L17="","",INDEX(FOLGAS!$B:$B,$L17)&amp;"")</f>
        <v/>
      </c>
      <c r="E17" s="16" t="str">
        <f aca="false">IF($L17="","",INDEX(FOLGAS!$E:$E,$L17)&amp;"")</f>
        <v/>
      </c>
      <c r="F17" s="16" t="str">
        <f aca="false">IF($L17="","",INDEX(FOLGAS!$D:$D,$L17)&amp;"")</f>
        <v/>
      </c>
      <c r="G17" s="16"/>
      <c r="H17" s="16"/>
      <c r="I17" s="16"/>
      <c r="L17" s="0" t="str">
        <f aca="false">IFERROR(ROUND(MOD(SMALL(FOLGAS!$J$2:$J$301,3),1)*100000,0),"")</f>
        <v/>
      </c>
    </row>
    <row r="18" customFormat="false" ht="15" hidden="false" customHeight="false" outlineLevel="0" collapsed="false">
      <c r="B18" s="18" t="str">
        <f aca="false">IF(L18="","",4)</f>
        <v/>
      </c>
      <c r="C18" s="19" t="str">
        <f aca="false">IF($L18="","",INDEX(FOLGAS!$A:$A,$L18)&amp;"")</f>
        <v/>
      </c>
      <c r="D18" s="18" t="str">
        <f aca="false">IF($L18="","",INDEX(FOLGAS!$B:$B,$L18)&amp;"")</f>
        <v/>
      </c>
      <c r="E18" s="18" t="str">
        <f aca="false">IF($L18="","",INDEX(FOLGAS!$E:$E,$L18)&amp;"")</f>
        <v/>
      </c>
      <c r="F18" s="18" t="str">
        <f aca="false">IF($L18="","",INDEX(FOLGAS!$D:$D,$L18)&amp;"")</f>
        <v/>
      </c>
      <c r="G18" s="18"/>
      <c r="H18" s="18"/>
      <c r="I18" s="18"/>
      <c r="L18" s="0" t="str">
        <f aca="false">IFERROR(ROUND(MOD(SMALL(FOLGAS!$J$2:$J$301,4),1)*100000,0),"")</f>
        <v/>
      </c>
    </row>
    <row r="19" customFormat="false" ht="15" hidden="false" customHeight="false" outlineLevel="0" collapsed="false">
      <c r="B19" s="16" t="str">
        <f aca="false">IF(L19="","",5)</f>
        <v/>
      </c>
      <c r="C19" s="17" t="str">
        <f aca="false">IF($L19="","",INDEX(FOLGAS!$A:$A,$L19)&amp;"")</f>
        <v/>
      </c>
      <c r="D19" s="16" t="str">
        <f aca="false">IF($L19="","",INDEX(FOLGAS!$B:$B,$L19)&amp;"")</f>
        <v/>
      </c>
      <c r="E19" s="16" t="str">
        <f aca="false">IF($L19="","",INDEX(FOLGAS!$E:$E,$L19)&amp;"")</f>
        <v/>
      </c>
      <c r="F19" s="16" t="str">
        <f aca="false">IF($L19="","",INDEX(FOLGAS!$D:$D,$L19)&amp;"")</f>
        <v/>
      </c>
      <c r="G19" s="16"/>
      <c r="H19" s="16"/>
      <c r="I19" s="16"/>
      <c r="L19" s="0" t="str">
        <f aca="false">IFERROR(ROUND(MOD(SMALL(FOLGAS!$J$2:$J$301,5),1)*100000,0),"")</f>
        <v/>
      </c>
    </row>
    <row r="20" customFormat="false" ht="15" hidden="false" customHeight="false" outlineLevel="0" collapsed="false">
      <c r="B20" s="18" t="str">
        <f aca="false">IF(L20="","",6)</f>
        <v/>
      </c>
      <c r="C20" s="19" t="str">
        <f aca="false">IF($L20="","",INDEX(FOLGAS!$A:$A,$L20)&amp;"")</f>
        <v/>
      </c>
      <c r="D20" s="18" t="str">
        <f aca="false">IF($L20="","",INDEX(FOLGAS!$B:$B,$L20)&amp;"")</f>
        <v/>
      </c>
      <c r="E20" s="18" t="str">
        <f aca="false">IF($L20="","",INDEX(FOLGAS!$E:$E,$L20)&amp;"")</f>
        <v/>
      </c>
      <c r="F20" s="18" t="str">
        <f aca="false">IF($L20="","",INDEX(FOLGAS!$D:$D,$L20)&amp;"")</f>
        <v/>
      </c>
      <c r="G20" s="18"/>
      <c r="H20" s="18"/>
      <c r="I20" s="18"/>
      <c r="L20" s="0" t="str">
        <f aca="false">IFERROR(ROUND(MOD(SMALL(FOLGAS!$J$2:$J$301,6),1)*100000,0),"")</f>
        <v/>
      </c>
    </row>
    <row r="21" customFormat="false" ht="15" hidden="false" customHeight="false" outlineLevel="0" collapsed="false">
      <c r="B21" s="16" t="str">
        <f aca="false">IF(L21="","",7)</f>
        <v/>
      </c>
      <c r="C21" s="17" t="str">
        <f aca="false">IF($L21="","",INDEX(FOLGAS!$A:$A,$L21)&amp;"")</f>
        <v/>
      </c>
      <c r="D21" s="16" t="str">
        <f aca="false">IF($L21="","",INDEX(FOLGAS!$B:$B,$L21)&amp;"")</f>
        <v/>
      </c>
      <c r="E21" s="16" t="str">
        <f aca="false">IF($L21="","",INDEX(FOLGAS!$E:$E,$L21)&amp;"")</f>
        <v/>
      </c>
      <c r="F21" s="16" t="str">
        <f aca="false">IF($L21="","",INDEX(FOLGAS!$D:$D,$L21)&amp;"")</f>
        <v/>
      </c>
      <c r="G21" s="16"/>
      <c r="H21" s="16"/>
      <c r="I21" s="16"/>
      <c r="L21" s="0" t="str">
        <f aca="false">IFERROR(ROUND(MOD(SMALL(FOLGAS!$J$2:$J$301,7),1)*100000,0),"")</f>
        <v/>
      </c>
    </row>
    <row r="22" customFormat="false" ht="15" hidden="false" customHeight="false" outlineLevel="0" collapsed="false">
      <c r="B22" s="18" t="str">
        <f aca="false">IF(L22="","",8)</f>
        <v/>
      </c>
      <c r="C22" s="19" t="str">
        <f aca="false">IF($L22="","",INDEX(FOLGAS!$A:$A,$L22)&amp;"")</f>
        <v/>
      </c>
      <c r="D22" s="18" t="str">
        <f aca="false">IF($L22="","",INDEX(FOLGAS!$B:$B,$L22)&amp;"")</f>
        <v/>
      </c>
      <c r="E22" s="18" t="str">
        <f aca="false">IF($L22="","",INDEX(FOLGAS!$E:$E,$L22)&amp;"")</f>
        <v/>
      </c>
      <c r="F22" s="18" t="str">
        <f aca="false">IF($L22="","",INDEX(FOLGAS!$D:$D,$L22)&amp;"")</f>
        <v/>
      </c>
      <c r="G22" s="18"/>
      <c r="H22" s="18"/>
      <c r="I22" s="18"/>
      <c r="L22" s="0" t="str">
        <f aca="false">IFERROR(ROUND(MOD(SMALL(FOLGAS!$J$2:$J$301,8),1)*100000,0),"")</f>
        <v/>
      </c>
    </row>
    <row r="23" customFormat="false" ht="15" hidden="false" customHeight="false" outlineLevel="0" collapsed="false">
      <c r="B23" s="16" t="str">
        <f aca="false">IF(L23="","",9)</f>
        <v/>
      </c>
      <c r="C23" s="17" t="str">
        <f aca="false">IF($L23="","",INDEX(FOLGAS!$A:$A,$L23)&amp;"")</f>
        <v/>
      </c>
      <c r="D23" s="16" t="str">
        <f aca="false">IF($L23="","",INDEX(FOLGAS!$B:$B,$L23)&amp;"")</f>
        <v/>
      </c>
      <c r="E23" s="16" t="str">
        <f aca="false">IF($L23="","",INDEX(FOLGAS!$E:$E,$L23)&amp;"")</f>
        <v/>
      </c>
      <c r="F23" s="16" t="str">
        <f aca="false">IF($L23="","",INDEX(FOLGAS!$D:$D,$L23)&amp;"")</f>
        <v/>
      </c>
      <c r="G23" s="16"/>
      <c r="H23" s="16"/>
      <c r="I23" s="16"/>
      <c r="L23" s="0" t="str">
        <f aca="false">IFERROR(ROUND(MOD(SMALL(FOLGAS!$J$2:$J$301,9),1)*100000,0),"")</f>
        <v/>
      </c>
    </row>
    <row r="24" customFormat="false" ht="15" hidden="false" customHeight="false" outlineLevel="0" collapsed="false">
      <c r="B24" s="18" t="str">
        <f aca="false">IF(L24="","",10)</f>
        <v/>
      </c>
      <c r="C24" s="19" t="str">
        <f aca="false">IF($L24="","",INDEX(FOLGAS!$A:$A,$L24)&amp;"")</f>
        <v/>
      </c>
      <c r="D24" s="18" t="str">
        <f aca="false">IF($L24="","",INDEX(FOLGAS!$B:$B,$L24)&amp;"")</f>
        <v/>
      </c>
      <c r="E24" s="18" t="str">
        <f aca="false">IF($L24="","",INDEX(FOLGAS!$E:$E,$L24)&amp;"")</f>
        <v/>
      </c>
      <c r="F24" s="18" t="str">
        <f aca="false">IF($L24="","",INDEX(FOLGAS!$D:$D,$L24)&amp;"")</f>
        <v/>
      </c>
      <c r="G24" s="18"/>
      <c r="H24" s="18"/>
      <c r="I24" s="18"/>
      <c r="L24" s="0" t="str">
        <f aca="false">IFERROR(ROUND(MOD(SMALL(FOLGAS!$J$2:$J$301,10),1)*100000,0),"")</f>
        <v/>
      </c>
    </row>
    <row r="25" customFormat="false" ht="15" hidden="false" customHeight="false" outlineLevel="0" collapsed="false">
      <c r="B25" s="20" t="str">
        <f aca="false">IF($B$8=0,"Ninguém nesta lista.",IF($B$8&gt;10,"... e mais "&amp;($B$8-10)&amp;" — veja a aba FOLGAS.",""))</f>
        <v>Ninguém nesta lista.</v>
      </c>
      <c r="C25" s="20"/>
      <c r="D25" s="20"/>
      <c r="E25" s="20"/>
      <c r="F25" s="20"/>
      <c r="G25" s="20"/>
      <c r="H25" s="20"/>
      <c r="I25" s="20"/>
    </row>
    <row r="27" customFormat="false" ht="24" hidden="false" customHeight="true" outlineLevel="0" collapsed="false">
      <c r="B27" s="21" t="s">
        <v>15</v>
      </c>
      <c r="C27" s="21"/>
      <c r="D27" s="21"/>
      <c r="E27" s="21"/>
      <c r="F27" s="21"/>
      <c r="G27" s="21"/>
      <c r="H27" s="21"/>
      <c r="I27" s="21"/>
    </row>
    <row r="28" customFormat="false" ht="15" hidden="false" customHeight="false" outlineLevel="0" collapsed="false">
      <c r="B28" s="15" t="s">
        <v>10</v>
      </c>
      <c r="C28" s="15" t="s">
        <v>11</v>
      </c>
      <c r="D28" s="15" t="s">
        <v>12</v>
      </c>
      <c r="E28" s="15" t="s">
        <v>16</v>
      </c>
      <c r="F28" s="15" t="s">
        <v>17</v>
      </c>
      <c r="G28" s="15" t="s">
        <v>18</v>
      </c>
      <c r="H28" s="15" t="s">
        <v>19</v>
      </c>
      <c r="I28" s="15" t="s">
        <v>20</v>
      </c>
    </row>
    <row r="29" customFormat="false" ht="15" hidden="false" customHeight="false" outlineLevel="0" collapsed="false">
      <c r="B29" s="16" t="str">
        <f aca="false">IF(L29="","",1)</f>
        <v/>
      </c>
      <c r="C29" s="17" t="str">
        <f aca="false">IF($L29="","",INDEX(FÉRIAS!$A:$A,$L29)&amp;"")</f>
        <v/>
      </c>
      <c r="D29" s="16" t="str">
        <f aca="false">IF($L29="","",INDEX(FÉRIAS!$B:$B,$L29)&amp;"")</f>
        <v/>
      </c>
      <c r="E29" s="22" t="str">
        <f aca="false">IF($L29="","",INDEX(FÉRIAS!$C:$C,$L29))</f>
        <v/>
      </c>
      <c r="F29" s="22" t="str">
        <f aca="false">IF($L29="","",INDEX(FÉRIAS!$D:$D,$L29))</f>
        <v/>
      </c>
      <c r="G29" s="22" t="str">
        <f aca="false">IF($L29="","",INDEX(FÉRIAS!$G:$G,$L29))</f>
        <v/>
      </c>
      <c r="H29" s="23" t="str">
        <f aca="true">IF($L29="","",INDEX(FÉRIAS!$D:$D,$L29)-TODAY())</f>
        <v/>
      </c>
      <c r="I29" s="16" t="str">
        <f aca="false">IF($L29="","",INDEX(FÉRIAS!$H:$H,$L29)&amp;"")</f>
        <v/>
      </c>
      <c r="L29" s="0" t="str">
        <f aca="false">IFERROR(ROUND(MOD(SMALL(FÉRIAS!$K$2:$K$301,1),1)*100000,0),"")</f>
        <v/>
      </c>
    </row>
    <row r="30" customFormat="false" ht="15" hidden="false" customHeight="false" outlineLevel="0" collapsed="false">
      <c r="B30" s="18" t="str">
        <f aca="false">IF(L30="","",2)</f>
        <v/>
      </c>
      <c r="C30" s="19" t="str">
        <f aca="false">IF($L30="","",INDEX(FÉRIAS!$A:$A,$L30)&amp;"")</f>
        <v/>
      </c>
      <c r="D30" s="18" t="str">
        <f aca="false">IF($L30="","",INDEX(FÉRIAS!$B:$B,$L30)&amp;"")</f>
        <v/>
      </c>
      <c r="E30" s="24" t="str">
        <f aca="false">IF($L30="","",INDEX(FÉRIAS!$C:$C,$L30))</f>
        <v/>
      </c>
      <c r="F30" s="24" t="str">
        <f aca="false">IF($L30="","",INDEX(FÉRIAS!$D:$D,$L30))</f>
        <v/>
      </c>
      <c r="G30" s="24" t="str">
        <f aca="false">IF($L30="","",INDEX(FÉRIAS!$G:$G,$L30))</f>
        <v/>
      </c>
      <c r="H30" s="25" t="str">
        <f aca="true">IF($L30="","",INDEX(FÉRIAS!$D:$D,$L30)-TODAY())</f>
        <v/>
      </c>
      <c r="I30" s="18" t="str">
        <f aca="false">IF($L30="","",INDEX(FÉRIAS!$H:$H,$L30)&amp;"")</f>
        <v/>
      </c>
      <c r="L30" s="0" t="str">
        <f aca="false">IFERROR(ROUND(MOD(SMALL(FÉRIAS!$K$2:$K$301,2),1)*100000,0),"")</f>
        <v/>
      </c>
    </row>
    <row r="31" customFormat="false" ht="15" hidden="false" customHeight="false" outlineLevel="0" collapsed="false">
      <c r="B31" s="16" t="str">
        <f aca="false">IF(L31="","",3)</f>
        <v/>
      </c>
      <c r="C31" s="17" t="str">
        <f aca="false">IF($L31="","",INDEX(FÉRIAS!$A:$A,$L31)&amp;"")</f>
        <v/>
      </c>
      <c r="D31" s="16" t="str">
        <f aca="false">IF($L31="","",INDEX(FÉRIAS!$B:$B,$L31)&amp;"")</f>
        <v/>
      </c>
      <c r="E31" s="22" t="str">
        <f aca="false">IF($L31="","",INDEX(FÉRIAS!$C:$C,$L31))</f>
        <v/>
      </c>
      <c r="F31" s="22" t="str">
        <f aca="false">IF($L31="","",INDEX(FÉRIAS!$D:$D,$L31))</f>
        <v/>
      </c>
      <c r="G31" s="22" t="str">
        <f aca="false">IF($L31="","",INDEX(FÉRIAS!$G:$G,$L31))</f>
        <v/>
      </c>
      <c r="H31" s="23" t="str">
        <f aca="true">IF($L31="","",INDEX(FÉRIAS!$D:$D,$L31)-TODAY())</f>
        <v/>
      </c>
      <c r="I31" s="16" t="str">
        <f aca="false">IF($L31="","",INDEX(FÉRIAS!$H:$H,$L31)&amp;"")</f>
        <v/>
      </c>
      <c r="L31" s="0" t="str">
        <f aca="false">IFERROR(ROUND(MOD(SMALL(FÉRIAS!$K$2:$K$301,3),1)*100000,0),"")</f>
        <v/>
      </c>
    </row>
    <row r="32" customFormat="false" ht="15" hidden="false" customHeight="false" outlineLevel="0" collapsed="false">
      <c r="B32" s="18" t="str">
        <f aca="false">IF(L32="","",4)</f>
        <v/>
      </c>
      <c r="C32" s="19" t="str">
        <f aca="false">IF($L32="","",INDEX(FÉRIAS!$A:$A,$L32)&amp;"")</f>
        <v/>
      </c>
      <c r="D32" s="18" t="str">
        <f aca="false">IF($L32="","",INDEX(FÉRIAS!$B:$B,$L32)&amp;"")</f>
        <v/>
      </c>
      <c r="E32" s="24" t="str">
        <f aca="false">IF($L32="","",INDEX(FÉRIAS!$C:$C,$L32))</f>
        <v/>
      </c>
      <c r="F32" s="24" t="str">
        <f aca="false">IF($L32="","",INDEX(FÉRIAS!$D:$D,$L32))</f>
        <v/>
      </c>
      <c r="G32" s="24" t="str">
        <f aca="false">IF($L32="","",INDEX(FÉRIAS!$G:$G,$L32))</f>
        <v/>
      </c>
      <c r="H32" s="25" t="str">
        <f aca="true">IF($L32="","",INDEX(FÉRIAS!$D:$D,$L32)-TODAY())</f>
        <v/>
      </c>
      <c r="I32" s="18" t="str">
        <f aca="false">IF($L32="","",INDEX(FÉRIAS!$H:$H,$L32)&amp;"")</f>
        <v/>
      </c>
      <c r="L32" s="0" t="str">
        <f aca="false">IFERROR(ROUND(MOD(SMALL(FÉRIAS!$K$2:$K$301,4),1)*100000,0),"")</f>
        <v/>
      </c>
    </row>
    <row r="33" customFormat="false" ht="15" hidden="false" customHeight="false" outlineLevel="0" collapsed="false">
      <c r="B33" s="16" t="str">
        <f aca="false">IF(L33="","",5)</f>
        <v/>
      </c>
      <c r="C33" s="17" t="str">
        <f aca="false">IF($L33="","",INDEX(FÉRIAS!$A:$A,$L33)&amp;"")</f>
        <v/>
      </c>
      <c r="D33" s="16" t="str">
        <f aca="false">IF($L33="","",INDEX(FÉRIAS!$B:$B,$L33)&amp;"")</f>
        <v/>
      </c>
      <c r="E33" s="22" t="str">
        <f aca="false">IF($L33="","",INDEX(FÉRIAS!$C:$C,$L33))</f>
        <v/>
      </c>
      <c r="F33" s="22" t="str">
        <f aca="false">IF($L33="","",INDEX(FÉRIAS!$D:$D,$L33))</f>
        <v/>
      </c>
      <c r="G33" s="22" t="str">
        <f aca="false">IF($L33="","",INDEX(FÉRIAS!$G:$G,$L33))</f>
        <v/>
      </c>
      <c r="H33" s="23" t="str">
        <f aca="true">IF($L33="","",INDEX(FÉRIAS!$D:$D,$L33)-TODAY())</f>
        <v/>
      </c>
      <c r="I33" s="16" t="str">
        <f aca="false">IF($L33="","",INDEX(FÉRIAS!$H:$H,$L33)&amp;"")</f>
        <v/>
      </c>
      <c r="L33" s="0" t="str">
        <f aca="false">IFERROR(ROUND(MOD(SMALL(FÉRIAS!$K$2:$K$301,5),1)*100000,0),"")</f>
        <v/>
      </c>
    </row>
    <row r="34" customFormat="false" ht="15" hidden="false" customHeight="false" outlineLevel="0" collapsed="false">
      <c r="B34" s="18" t="str">
        <f aca="false">IF(L34="","",6)</f>
        <v/>
      </c>
      <c r="C34" s="19" t="str">
        <f aca="false">IF($L34="","",INDEX(FÉRIAS!$A:$A,$L34)&amp;"")</f>
        <v/>
      </c>
      <c r="D34" s="18" t="str">
        <f aca="false">IF($L34="","",INDEX(FÉRIAS!$B:$B,$L34)&amp;"")</f>
        <v/>
      </c>
      <c r="E34" s="24" t="str">
        <f aca="false">IF($L34="","",INDEX(FÉRIAS!$C:$C,$L34))</f>
        <v/>
      </c>
      <c r="F34" s="24" t="str">
        <f aca="false">IF($L34="","",INDEX(FÉRIAS!$D:$D,$L34))</f>
        <v/>
      </c>
      <c r="G34" s="24" t="str">
        <f aca="false">IF($L34="","",INDEX(FÉRIAS!$G:$G,$L34))</f>
        <v/>
      </c>
      <c r="H34" s="25" t="str">
        <f aca="true">IF($L34="","",INDEX(FÉRIAS!$D:$D,$L34)-TODAY())</f>
        <v/>
      </c>
      <c r="I34" s="18" t="str">
        <f aca="false">IF($L34="","",INDEX(FÉRIAS!$H:$H,$L34)&amp;"")</f>
        <v/>
      </c>
      <c r="L34" s="0" t="str">
        <f aca="false">IFERROR(ROUND(MOD(SMALL(FÉRIAS!$K$2:$K$301,6),1)*100000,0),"")</f>
        <v/>
      </c>
    </row>
    <row r="35" customFormat="false" ht="15" hidden="false" customHeight="false" outlineLevel="0" collapsed="false">
      <c r="B35" s="16" t="str">
        <f aca="false">IF(L35="","",7)</f>
        <v/>
      </c>
      <c r="C35" s="17" t="str">
        <f aca="false">IF($L35="","",INDEX(FÉRIAS!$A:$A,$L35)&amp;"")</f>
        <v/>
      </c>
      <c r="D35" s="16" t="str">
        <f aca="false">IF($L35="","",INDEX(FÉRIAS!$B:$B,$L35)&amp;"")</f>
        <v/>
      </c>
      <c r="E35" s="22" t="str">
        <f aca="false">IF($L35="","",INDEX(FÉRIAS!$C:$C,$L35))</f>
        <v/>
      </c>
      <c r="F35" s="22" t="str">
        <f aca="false">IF($L35="","",INDEX(FÉRIAS!$D:$D,$L35))</f>
        <v/>
      </c>
      <c r="G35" s="22" t="str">
        <f aca="false">IF($L35="","",INDEX(FÉRIAS!$G:$G,$L35))</f>
        <v/>
      </c>
      <c r="H35" s="23" t="str">
        <f aca="true">IF($L35="","",INDEX(FÉRIAS!$D:$D,$L35)-TODAY())</f>
        <v/>
      </c>
      <c r="I35" s="16" t="str">
        <f aca="false">IF($L35="","",INDEX(FÉRIAS!$H:$H,$L35)&amp;"")</f>
        <v/>
      </c>
      <c r="L35" s="0" t="str">
        <f aca="false">IFERROR(ROUND(MOD(SMALL(FÉRIAS!$K$2:$K$301,7),1)*100000,0),"")</f>
        <v/>
      </c>
    </row>
    <row r="36" customFormat="false" ht="15" hidden="false" customHeight="false" outlineLevel="0" collapsed="false">
      <c r="B36" s="18" t="str">
        <f aca="false">IF(L36="","",8)</f>
        <v/>
      </c>
      <c r="C36" s="19" t="str">
        <f aca="false">IF($L36="","",INDEX(FÉRIAS!$A:$A,$L36)&amp;"")</f>
        <v/>
      </c>
      <c r="D36" s="18" t="str">
        <f aca="false">IF($L36="","",INDEX(FÉRIAS!$B:$B,$L36)&amp;"")</f>
        <v/>
      </c>
      <c r="E36" s="24" t="str">
        <f aca="false">IF($L36="","",INDEX(FÉRIAS!$C:$C,$L36))</f>
        <v/>
      </c>
      <c r="F36" s="24" t="str">
        <f aca="false">IF($L36="","",INDEX(FÉRIAS!$D:$D,$L36))</f>
        <v/>
      </c>
      <c r="G36" s="24" t="str">
        <f aca="false">IF($L36="","",INDEX(FÉRIAS!$G:$G,$L36))</f>
        <v/>
      </c>
      <c r="H36" s="25" t="str">
        <f aca="true">IF($L36="","",INDEX(FÉRIAS!$D:$D,$L36)-TODAY())</f>
        <v/>
      </c>
      <c r="I36" s="18" t="str">
        <f aca="false">IF($L36="","",INDEX(FÉRIAS!$H:$H,$L36)&amp;"")</f>
        <v/>
      </c>
      <c r="L36" s="0" t="str">
        <f aca="false">IFERROR(ROUND(MOD(SMALL(FÉRIAS!$K$2:$K$301,8),1)*100000,0),"")</f>
        <v/>
      </c>
    </row>
    <row r="37" customFormat="false" ht="15" hidden="false" customHeight="false" outlineLevel="0" collapsed="false">
      <c r="B37" s="16" t="str">
        <f aca="false">IF(L37="","",9)</f>
        <v/>
      </c>
      <c r="C37" s="17" t="str">
        <f aca="false">IF($L37="","",INDEX(FÉRIAS!$A:$A,$L37)&amp;"")</f>
        <v/>
      </c>
      <c r="D37" s="16" t="str">
        <f aca="false">IF($L37="","",INDEX(FÉRIAS!$B:$B,$L37)&amp;"")</f>
        <v/>
      </c>
      <c r="E37" s="22" t="str">
        <f aca="false">IF($L37="","",INDEX(FÉRIAS!$C:$C,$L37))</f>
        <v/>
      </c>
      <c r="F37" s="22" t="str">
        <f aca="false">IF($L37="","",INDEX(FÉRIAS!$D:$D,$L37))</f>
        <v/>
      </c>
      <c r="G37" s="22" t="str">
        <f aca="false">IF($L37="","",INDEX(FÉRIAS!$G:$G,$L37))</f>
        <v/>
      </c>
      <c r="H37" s="23" t="str">
        <f aca="true">IF($L37="","",INDEX(FÉRIAS!$D:$D,$L37)-TODAY())</f>
        <v/>
      </c>
      <c r="I37" s="16" t="str">
        <f aca="false">IF($L37="","",INDEX(FÉRIAS!$H:$H,$L37)&amp;"")</f>
        <v/>
      </c>
      <c r="L37" s="0" t="str">
        <f aca="false">IFERROR(ROUND(MOD(SMALL(FÉRIAS!$K$2:$K$301,9),1)*100000,0),"")</f>
        <v/>
      </c>
    </row>
    <row r="38" customFormat="false" ht="15" hidden="false" customHeight="false" outlineLevel="0" collapsed="false">
      <c r="B38" s="18" t="str">
        <f aca="false">IF(L38="","",10)</f>
        <v/>
      </c>
      <c r="C38" s="19" t="str">
        <f aca="false">IF($L38="","",INDEX(FÉRIAS!$A:$A,$L38)&amp;"")</f>
        <v/>
      </c>
      <c r="D38" s="18" t="str">
        <f aca="false">IF($L38="","",INDEX(FÉRIAS!$B:$B,$L38)&amp;"")</f>
        <v/>
      </c>
      <c r="E38" s="24" t="str">
        <f aca="false">IF($L38="","",INDEX(FÉRIAS!$C:$C,$L38))</f>
        <v/>
      </c>
      <c r="F38" s="24" t="str">
        <f aca="false">IF($L38="","",INDEX(FÉRIAS!$D:$D,$L38))</f>
        <v/>
      </c>
      <c r="G38" s="24" t="str">
        <f aca="false">IF($L38="","",INDEX(FÉRIAS!$G:$G,$L38))</f>
        <v/>
      </c>
      <c r="H38" s="25" t="str">
        <f aca="true">IF($L38="","",INDEX(FÉRIAS!$D:$D,$L38)-TODAY())</f>
        <v/>
      </c>
      <c r="I38" s="18" t="str">
        <f aca="false">IF($L38="","",INDEX(FÉRIAS!$H:$H,$L38)&amp;"")</f>
        <v/>
      </c>
      <c r="L38" s="0" t="str">
        <f aca="false">IFERROR(ROUND(MOD(SMALL(FÉRIAS!$K$2:$K$301,10),1)*100000,0),"")</f>
        <v/>
      </c>
    </row>
    <row r="39" customFormat="false" ht="15" hidden="false" customHeight="false" outlineLevel="0" collapsed="false">
      <c r="B39" s="20" t="str">
        <f aca="false">IF($E$8=0,"Ninguém nesta lista.",IF($E$8&gt;10,"... e mais "&amp;($E$8-10)&amp;" — veja a aba FÉRIAS.",""))</f>
        <v>Ninguém nesta lista.</v>
      </c>
      <c r="C39" s="20"/>
      <c r="D39" s="20"/>
      <c r="E39" s="20"/>
      <c r="F39" s="20"/>
      <c r="G39" s="20"/>
      <c r="H39" s="20"/>
      <c r="I39" s="20"/>
    </row>
    <row r="41" customFormat="false" ht="24" hidden="false" customHeight="true" outlineLevel="0" collapsed="false">
      <c r="B41" s="26" t="s">
        <v>21</v>
      </c>
      <c r="C41" s="26"/>
      <c r="D41" s="26"/>
      <c r="E41" s="26"/>
      <c r="F41" s="26"/>
      <c r="G41" s="26"/>
      <c r="H41" s="26"/>
      <c r="I41" s="26"/>
    </row>
    <row r="42" customFormat="false" ht="15" hidden="false" customHeight="true" outlineLevel="0" collapsed="false">
      <c r="B42" s="15" t="s">
        <v>10</v>
      </c>
      <c r="C42" s="15" t="s">
        <v>11</v>
      </c>
      <c r="D42" s="15" t="s">
        <v>12</v>
      </c>
      <c r="E42" s="15" t="s">
        <v>22</v>
      </c>
      <c r="F42" s="15" t="s">
        <v>13</v>
      </c>
      <c r="G42" s="15" t="s">
        <v>23</v>
      </c>
      <c r="H42" s="15" t="s">
        <v>24</v>
      </c>
      <c r="I42" s="15"/>
    </row>
    <row r="43" customFormat="false" ht="15" hidden="false" customHeight="false" outlineLevel="0" collapsed="false">
      <c r="B43" s="16" t="str">
        <f aca="false">IF(L43="","",1)</f>
        <v/>
      </c>
      <c r="C43" s="17" t="str">
        <f aca="false">IF($L43="","",INDEX(FOLGAS!$A:$A,$L43)&amp;"")</f>
        <v/>
      </c>
      <c r="D43" s="16" t="str">
        <f aca="false">IF($L43="","",INDEX(FOLGAS!$B:$B,$L43)&amp;"")</f>
        <v/>
      </c>
      <c r="E43" s="22" t="str">
        <f aca="false">IF($L43="","",INDEX(FOLGAS!$C:$C,$L43))</f>
        <v/>
      </c>
      <c r="F43" s="16" t="str">
        <f aca="false">IF($L43="","",INDEX(FOLGAS!$E:$E,$L43)&amp;"")</f>
        <v/>
      </c>
      <c r="G43" s="23" t="str">
        <f aca="true">IF($L43="","",INDEX(FOLGAS!$C:$C,$L43)-TODAY())</f>
        <v/>
      </c>
      <c r="H43" s="16" t="str">
        <f aca="false">IF($L43="","",INDEX(FOLGAS!$G:$G,$L43)&amp;"")</f>
        <v/>
      </c>
      <c r="I43" s="16"/>
      <c r="L43" s="0" t="str">
        <f aca="false">IFERROR(ROUND(MOD(SMALL(FOLGAS!$K$2:$K$301,1),1)*100000,0),"")</f>
        <v/>
      </c>
    </row>
    <row r="44" customFormat="false" ht="15" hidden="false" customHeight="false" outlineLevel="0" collapsed="false">
      <c r="B44" s="18" t="str">
        <f aca="false">IF(L44="","",2)</f>
        <v/>
      </c>
      <c r="C44" s="19" t="str">
        <f aca="false">IF($L44="","",INDEX(FOLGAS!$A:$A,$L44)&amp;"")</f>
        <v/>
      </c>
      <c r="D44" s="18" t="str">
        <f aca="false">IF($L44="","",INDEX(FOLGAS!$B:$B,$L44)&amp;"")</f>
        <v/>
      </c>
      <c r="E44" s="24" t="str">
        <f aca="false">IF($L44="","",INDEX(FOLGAS!$C:$C,$L44))</f>
        <v/>
      </c>
      <c r="F44" s="18" t="str">
        <f aca="false">IF($L44="","",INDEX(FOLGAS!$E:$E,$L44)&amp;"")</f>
        <v/>
      </c>
      <c r="G44" s="25" t="str">
        <f aca="true">IF($L44="","",INDEX(FOLGAS!$C:$C,$L44)-TODAY())</f>
        <v/>
      </c>
      <c r="H44" s="18" t="str">
        <f aca="false">IF($L44="","",INDEX(FOLGAS!$G:$G,$L44)&amp;"")</f>
        <v/>
      </c>
      <c r="I44" s="18"/>
      <c r="L44" s="0" t="str">
        <f aca="false">IFERROR(ROUND(MOD(SMALL(FOLGAS!$K$2:$K$301,2),1)*100000,0),"")</f>
        <v/>
      </c>
    </row>
    <row r="45" customFormat="false" ht="15" hidden="false" customHeight="false" outlineLevel="0" collapsed="false">
      <c r="B45" s="16" t="str">
        <f aca="false">IF(L45="","",3)</f>
        <v/>
      </c>
      <c r="C45" s="17" t="str">
        <f aca="false">IF($L45="","",INDEX(FOLGAS!$A:$A,$L45)&amp;"")</f>
        <v/>
      </c>
      <c r="D45" s="16" t="str">
        <f aca="false">IF($L45="","",INDEX(FOLGAS!$B:$B,$L45)&amp;"")</f>
        <v/>
      </c>
      <c r="E45" s="22" t="str">
        <f aca="false">IF($L45="","",INDEX(FOLGAS!$C:$C,$L45))</f>
        <v/>
      </c>
      <c r="F45" s="16" t="str">
        <f aca="false">IF($L45="","",INDEX(FOLGAS!$E:$E,$L45)&amp;"")</f>
        <v/>
      </c>
      <c r="G45" s="23" t="str">
        <f aca="true">IF($L45="","",INDEX(FOLGAS!$C:$C,$L45)-TODAY())</f>
        <v/>
      </c>
      <c r="H45" s="16" t="str">
        <f aca="false">IF($L45="","",INDEX(FOLGAS!$G:$G,$L45)&amp;"")</f>
        <v/>
      </c>
      <c r="I45" s="16"/>
      <c r="L45" s="0" t="str">
        <f aca="false">IFERROR(ROUND(MOD(SMALL(FOLGAS!$K$2:$K$301,3),1)*100000,0),"")</f>
        <v/>
      </c>
    </row>
    <row r="46" customFormat="false" ht="15" hidden="false" customHeight="false" outlineLevel="0" collapsed="false">
      <c r="B46" s="18" t="str">
        <f aca="false">IF(L46="","",4)</f>
        <v/>
      </c>
      <c r="C46" s="19" t="str">
        <f aca="false">IF($L46="","",INDEX(FOLGAS!$A:$A,$L46)&amp;"")</f>
        <v/>
      </c>
      <c r="D46" s="18" t="str">
        <f aca="false">IF($L46="","",INDEX(FOLGAS!$B:$B,$L46)&amp;"")</f>
        <v/>
      </c>
      <c r="E46" s="24" t="str">
        <f aca="false">IF($L46="","",INDEX(FOLGAS!$C:$C,$L46))</f>
        <v/>
      </c>
      <c r="F46" s="18" t="str">
        <f aca="false">IF($L46="","",INDEX(FOLGAS!$E:$E,$L46)&amp;"")</f>
        <v/>
      </c>
      <c r="G46" s="25" t="str">
        <f aca="true">IF($L46="","",INDEX(FOLGAS!$C:$C,$L46)-TODAY())</f>
        <v/>
      </c>
      <c r="H46" s="18" t="str">
        <f aca="false">IF($L46="","",INDEX(FOLGAS!$G:$G,$L46)&amp;"")</f>
        <v/>
      </c>
      <c r="I46" s="18"/>
      <c r="L46" s="0" t="str">
        <f aca="false">IFERROR(ROUND(MOD(SMALL(FOLGAS!$K$2:$K$301,4),1)*100000,0),"")</f>
        <v/>
      </c>
    </row>
    <row r="47" customFormat="false" ht="15" hidden="false" customHeight="false" outlineLevel="0" collapsed="false">
      <c r="B47" s="16" t="str">
        <f aca="false">IF(L47="","",5)</f>
        <v/>
      </c>
      <c r="C47" s="17" t="str">
        <f aca="false">IF($L47="","",INDEX(FOLGAS!$A:$A,$L47)&amp;"")</f>
        <v/>
      </c>
      <c r="D47" s="16" t="str">
        <f aca="false">IF($L47="","",INDEX(FOLGAS!$B:$B,$L47)&amp;"")</f>
        <v/>
      </c>
      <c r="E47" s="22" t="str">
        <f aca="false">IF($L47="","",INDEX(FOLGAS!$C:$C,$L47))</f>
        <v/>
      </c>
      <c r="F47" s="16" t="str">
        <f aca="false">IF($L47="","",INDEX(FOLGAS!$E:$E,$L47)&amp;"")</f>
        <v/>
      </c>
      <c r="G47" s="23" t="str">
        <f aca="true">IF($L47="","",INDEX(FOLGAS!$C:$C,$L47)-TODAY())</f>
        <v/>
      </c>
      <c r="H47" s="16" t="str">
        <f aca="false">IF($L47="","",INDEX(FOLGAS!$G:$G,$L47)&amp;"")</f>
        <v/>
      </c>
      <c r="I47" s="16"/>
      <c r="L47" s="0" t="str">
        <f aca="false">IFERROR(ROUND(MOD(SMALL(FOLGAS!$K$2:$K$301,5),1)*100000,0),"")</f>
        <v/>
      </c>
    </row>
    <row r="48" customFormat="false" ht="15" hidden="false" customHeight="false" outlineLevel="0" collapsed="false">
      <c r="B48" s="18" t="str">
        <f aca="false">IF(L48="","",6)</f>
        <v/>
      </c>
      <c r="C48" s="19" t="str">
        <f aca="false">IF($L48="","",INDEX(FOLGAS!$A:$A,$L48)&amp;"")</f>
        <v/>
      </c>
      <c r="D48" s="18" t="str">
        <f aca="false">IF($L48="","",INDEX(FOLGAS!$B:$B,$L48)&amp;"")</f>
        <v/>
      </c>
      <c r="E48" s="24" t="str">
        <f aca="false">IF($L48="","",INDEX(FOLGAS!$C:$C,$L48))</f>
        <v/>
      </c>
      <c r="F48" s="18" t="str">
        <f aca="false">IF($L48="","",INDEX(FOLGAS!$E:$E,$L48)&amp;"")</f>
        <v/>
      </c>
      <c r="G48" s="25" t="str">
        <f aca="true">IF($L48="","",INDEX(FOLGAS!$C:$C,$L48)-TODAY())</f>
        <v/>
      </c>
      <c r="H48" s="18" t="str">
        <f aca="false">IF($L48="","",INDEX(FOLGAS!$G:$G,$L48)&amp;"")</f>
        <v/>
      </c>
      <c r="I48" s="18"/>
      <c r="L48" s="0" t="str">
        <f aca="false">IFERROR(ROUND(MOD(SMALL(FOLGAS!$K$2:$K$301,6),1)*100000,0),"")</f>
        <v/>
      </c>
    </row>
    <row r="49" customFormat="false" ht="15" hidden="false" customHeight="false" outlineLevel="0" collapsed="false">
      <c r="B49" s="16" t="str">
        <f aca="false">IF(L49="","",7)</f>
        <v/>
      </c>
      <c r="C49" s="17" t="str">
        <f aca="false">IF($L49="","",INDEX(FOLGAS!$A:$A,$L49)&amp;"")</f>
        <v/>
      </c>
      <c r="D49" s="16" t="str">
        <f aca="false">IF($L49="","",INDEX(FOLGAS!$B:$B,$L49)&amp;"")</f>
        <v/>
      </c>
      <c r="E49" s="22" t="str">
        <f aca="false">IF($L49="","",INDEX(FOLGAS!$C:$C,$L49))</f>
        <v/>
      </c>
      <c r="F49" s="16" t="str">
        <f aca="false">IF($L49="","",INDEX(FOLGAS!$E:$E,$L49)&amp;"")</f>
        <v/>
      </c>
      <c r="G49" s="23" t="str">
        <f aca="true">IF($L49="","",INDEX(FOLGAS!$C:$C,$L49)-TODAY())</f>
        <v/>
      </c>
      <c r="H49" s="16" t="str">
        <f aca="false">IF($L49="","",INDEX(FOLGAS!$G:$G,$L49)&amp;"")</f>
        <v/>
      </c>
      <c r="I49" s="16"/>
      <c r="L49" s="0" t="str">
        <f aca="false">IFERROR(ROUND(MOD(SMALL(FOLGAS!$K$2:$K$301,7),1)*100000,0),"")</f>
        <v/>
      </c>
    </row>
    <row r="50" customFormat="false" ht="15" hidden="false" customHeight="false" outlineLevel="0" collapsed="false">
      <c r="B50" s="18" t="str">
        <f aca="false">IF(L50="","",8)</f>
        <v/>
      </c>
      <c r="C50" s="19" t="str">
        <f aca="false">IF($L50="","",INDEX(FOLGAS!$A:$A,$L50)&amp;"")</f>
        <v/>
      </c>
      <c r="D50" s="18" t="str">
        <f aca="false">IF($L50="","",INDEX(FOLGAS!$B:$B,$L50)&amp;"")</f>
        <v/>
      </c>
      <c r="E50" s="24" t="str">
        <f aca="false">IF($L50="","",INDEX(FOLGAS!$C:$C,$L50))</f>
        <v/>
      </c>
      <c r="F50" s="18" t="str">
        <f aca="false">IF($L50="","",INDEX(FOLGAS!$E:$E,$L50)&amp;"")</f>
        <v/>
      </c>
      <c r="G50" s="25" t="str">
        <f aca="true">IF($L50="","",INDEX(FOLGAS!$C:$C,$L50)-TODAY())</f>
        <v/>
      </c>
      <c r="H50" s="18" t="str">
        <f aca="false">IF($L50="","",INDEX(FOLGAS!$G:$G,$L50)&amp;"")</f>
        <v/>
      </c>
      <c r="I50" s="18"/>
      <c r="L50" s="0" t="str">
        <f aca="false">IFERROR(ROUND(MOD(SMALL(FOLGAS!$K$2:$K$301,8),1)*100000,0),"")</f>
        <v/>
      </c>
    </row>
    <row r="51" customFormat="false" ht="15" hidden="false" customHeight="false" outlineLevel="0" collapsed="false">
      <c r="B51" s="16" t="str">
        <f aca="false">IF(L51="","",9)</f>
        <v/>
      </c>
      <c r="C51" s="17" t="str">
        <f aca="false">IF($L51="","",INDEX(FOLGAS!$A:$A,$L51)&amp;"")</f>
        <v/>
      </c>
      <c r="D51" s="16" t="str">
        <f aca="false">IF($L51="","",INDEX(FOLGAS!$B:$B,$L51)&amp;"")</f>
        <v/>
      </c>
      <c r="E51" s="22" t="str">
        <f aca="false">IF($L51="","",INDEX(FOLGAS!$C:$C,$L51))</f>
        <v/>
      </c>
      <c r="F51" s="16" t="str">
        <f aca="false">IF($L51="","",INDEX(FOLGAS!$E:$E,$L51)&amp;"")</f>
        <v/>
      </c>
      <c r="G51" s="23" t="str">
        <f aca="true">IF($L51="","",INDEX(FOLGAS!$C:$C,$L51)-TODAY())</f>
        <v/>
      </c>
      <c r="H51" s="16" t="str">
        <f aca="false">IF($L51="","",INDEX(FOLGAS!$G:$G,$L51)&amp;"")</f>
        <v/>
      </c>
      <c r="I51" s="16"/>
      <c r="L51" s="0" t="str">
        <f aca="false">IFERROR(ROUND(MOD(SMALL(FOLGAS!$K$2:$K$301,9),1)*100000,0),"")</f>
        <v/>
      </c>
    </row>
    <row r="52" customFormat="false" ht="15" hidden="false" customHeight="false" outlineLevel="0" collapsed="false">
      <c r="B52" s="18" t="str">
        <f aca="false">IF(L52="","",10)</f>
        <v/>
      </c>
      <c r="C52" s="19" t="str">
        <f aca="false">IF($L52="","",INDEX(FOLGAS!$A:$A,$L52)&amp;"")</f>
        <v/>
      </c>
      <c r="D52" s="18" t="str">
        <f aca="false">IF($L52="","",INDEX(FOLGAS!$B:$B,$L52)&amp;"")</f>
        <v/>
      </c>
      <c r="E52" s="24" t="str">
        <f aca="false">IF($L52="","",INDEX(FOLGAS!$C:$C,$L52))</f>
        <v/>
      </c>
      <c r="F52" s="18" t="str">
        <f aca="false">IF($L52="","",INDEX(FOLGAS!$E:$E,$L52)&amp;"")</f>
        <v/>
      </c>
      <c r="G52" s="25" t="str">
        <f aca="true">IF($L52="","",INDEX(FOLGAS!$C:$C,$L52)-TODAY())</f>
        <v/>
      </c>
      <c r="H52" s="18" t="str">
        <f aca="false">IF($L52="","",INDEX(FOLGAS!$G:$G,$L52)&amp;"")</f>
        <v/>
      </c>
      <c r="I52" s="18"/>
      <c r="L52" s="0" t="str">
        <f aca="false">IFERROR(ROUND(MOD(SMALL(FOLGAS!$K$2:$K$301,10),1)*100000,0),"")</f>
        <v/>
      </c>
    </row>
    <row r="53" customFormat="false" ht="15" hidden="false" customHeight="false" outlineLevel="0" collapsed="false">
      <c r="B53" s="20" t="str">
        <f aca="false">IF($G$8=0,"Ninguém nesta lista.",IF($G$8&gt;10,"... e mais "&amp;($G$8-10)&amp;" — veja a aba FOLGAS.",""))</f>
        <v>Ninguém nesta lista.</v>
      </c>
      <c r="C53" s="20"/>
      <c r="D53" s="20"/>
      <c r="E53" s="20"/>
      <c r="F53" s="20"/>
      <c r="G53" s="20"/>
      <c r="H53" s="20"/>
      <c r="I53" s="20"/>
    </row>
    <row r="55" customFormat="false" ht="24" hidden="false" customHeight="true" outlineLevel="0" collapsed="false">
      <c r="B55" s="27" t="s">
        <v>25</v>
      </c>
      <c r="C55" s="27"/>
      <c r="D55" s="27"/>
      <c r="E55" s="27"/>
      <c r="F55" s="27"/>
      <c r="G55" s="27"/>
      <c r="H55" s="27"/>
      <c r="I55" s="27"/>
    </row>
    <row r="56" customFormat="false" ht="15" hidden="false" customHeight="false" outlineLevel="0" collapsed="false">
      <c r="B56" s="15" t="s">
        <v>10</v>
      </c>
      <c r="C56" s="15" t="s">
        <v>11</v>
      </c>
      <c r="D56" s="15" t="s">
        <v>12</v>
      </c>
      <c r="E56" s="15" t="s">
        <v>16</v>
      </c>
      <c r="F56" s="15" t="s">
        <v>17</v>
      </c>
      <c r="G56" s="15" t="s">
        <v>26</v>
      </c>
      <c r="H56" s="15" t="s">
        <v>23</v>
      </c>
      <c r="I56" s="15" t="s">
        <v>24</v>
      </c>
    </row>
    <row r="57" customFormat="false" ht="15" hidden="false" customHeight="false" outlineLevel="0" collapsed="false">
      <c r="B57" s="16" t="n">
        <f aca="false">IF(L57="","",1)</f>
        <v>1</v>
      </c>
      <c r="C57" s="17" t="str">
        <f aca="false">IF($L57="","",INDEX(FÉRIAS!$A:$A,$L57)&amp;"")</f>
        <v>FABIO FERREIRA </v>
      </c>
      <c r="D57" s="16" t="str">
        <f aca="false">IF($L57="","",INDEX(FÉRIAS!$B:$B,$L57)&amp;"")</f>
        <v>JURÍDICO</v>
      </c>
      <c r="E57" s="22" t="n">
        <f aca="false">IF($L57="","",INDEX(FÉRIAS!$C:$C,$L57))</f>
        <v>46314</v>
      </c>
      <c r="F57" s="22" t="n">
        <f aca="false">IF($L57="","",INDEX(FÉRIAS!$D:$D,$L57))</f>
        <v>46328</v>
      </c>
      <c r="G57" s="23" t="n">
        <f aca="false">IF($L57="","",INDEX(FÉRIAS!$F:$F,$L57))</f>
        <v>15</v>
      </c>
      <c r="H57" s="23" t="n">
        <f aca="true">IF($L57="","",INDEX(FÉRIAS!$C:$C,$L57)-TODAY())</f>
        <v>13</v>
      </c>
      <c r="I57" s="16" t="str">
        <f aca="false">IF($L57="","",INDEX(FÉRIAS!$I:$I,$L57)&amp;"")</f>
        <v/>
      </c>
      <c r="L57" s="0" t="n">
        <f aca="false">IFERROR(ROUND(MOD(SMALL(FÉRIAS!$L$2:$L$301,1),1)*100000,0),"")</f>
        <v>4</v>
      </c>
    </row>
    <row r="58" customFormat="false" ht="15" hidden="false" customHeight="false" outlineLevel="0" collapsed="false">
      <c r="B58" s="18" t="str">
        <f aca="false">IF(L58="","",2)</f>
        <v/>
      </c>
      <c r="C58" s="19" t="str">
        <f aca="false">IF($L58="","",INDEX(FÉRIAS!$A:$A,$L58)&amp;"")</f>
        <v/>
      </c>
      <c r="D58" s="18" t="str">
        <f aca="false">IF($L58="","",INDEX(FÉRIAS!$B:$B,$L58)&amp;"")</f>
        <v/>
      </c>
      <c r="E58" s="24" t="str">
        <f aca="false">IF($L58="","",INDEX(FÉRIAS!$C:$C,$L58))</f>
        <v/>
      </c>
      <c r="F58" s="24" t="str">
        <f aca="false">IF($L58="","",INDEX(FÉRIAS!$D:$D,$L58))</f>
        <v/>
      </c>
      <c r="G58" s="25" t="str">
        <f aca="false">IF($L58="","",INDEX(FÉRIAS!$F:$F,$L58))</f>
        <v/>
      </c>
      <c r="H58" s="25" t="str">
        <f aca="true">IF($L58="","",INDEX(FÉRIAS!$C:$C,$L58)-TODAY())</f>
        <v/>
      </c>
      <c r="I58" s="18" t="str">
        <f aca="false">IF($L58="","",INDEX(FÉRIAS!$I:$I,$L58)&amp;"")</f>
        <v/>
      </c>
      <c r="L58" s="0" t="str">
        <f aca="false">IFERROR(ROUND(MOD(SMALL(FÉRIAS!$L$2:$L$301,2),1)*100000,0),"")</f>
        <v/>
      </c>
    </row>
    <row r="59" customFormat="false" ht="15" hidden="false" customHeight="false" outlineLevel="0" collapsed="false">
      <c r="B59" s="16" t="str">
        <f aca="false">IF(L59="","",3)</f>
        <v/>
      </c>
      <c r="C59" s="17" t="str">
        <f aca="false">IF($L59="","",INDEX(FÉRIAS!$A:$A,$L59)&amp;"")</f>
        <v/>
      </c>
      <c r="D59" s="16" t="str">
        <f aca="false">IF($L59="","",INDEX(FÉRIAS!$B:$B,$L59)&amp;"")</f>
        <v/>
      </c>
      <c r="E59" s="22" t="str">
        <f aca="false">IF($L59="","",INDEX(FÉRIAS!$C:$C,$L59))</f>
        <v/>
      </c>
      <c r="F59" s="22" t="str">
        <f aca="false">IF($L59="","",INDEX(FÉRIAS!$D:$D,$L59))</f>
        <v/>
      </c>
      <c r="G59" s="23" t="str">
        <f aca="false">IF($L59="","",INDEX(FÉRIAS!$F:$F,$L59))</f>
        <v/>
      </c>
      <c r="H59" s="23" t="str">
        <f aca="true">IF($L59="","",INDEX(FÉRIAS!$C:$C,$L59)-TODAY())</f>
        <v/>
      </c>
      <c r="I59" s="16" t="str">
        <f aca="false">IF($L59="","",INDEX(FÉRIAS!$I:$I,$L59)&amp;"")</f>
        <v/>
      </c>
      <c r="L59" s="0" t="str">
        <f aca="false">IFERROR(ROUND(MOD(SMALL(FÉRIAS!$L$2:$L$301,3),1)*100000,0),"")</f>
        <v/>
      </c>
    </row>
    <row r="60" customFormat="false" ht="15" hidden="false" customHeight="false" outlineLevel="0" collapsed="false">
      <c r="B60" s="18" t="str">
        <f aca="false">IF(L60="","",4)</f>
        <v/>
      </c>
      <c r="C60" s="19" t="str">
        <f aca="false">IF($L60="","",INDEX(FÉRIAS!$A:$A,$L60)&amp;"")</f>
        <v/>
      </c>
      <c r="D60" s="18" t="str">
        <f aca="false">IF($L60="","",INDEX(FÉRIAS!$B:$B,$L60)&amp;"")</f>
        <v/>
      </c>
      <c r="E60" s="24" t="str">
        <f aca="false">IF($L60="","",INDEX(FÉRIAS!$C:$C,$L60))</f>
        <v/>
      </c>
      <c r="F60" s="24" t="str">
        <f aca="false">IF($L60="","",INDEX(FÉRIAS!$D:$D,$L60))</f>
        <v/>
      </c>
      <c r="G60" s="25" t="str">
        <f aca="false">IF($L60="","",INDEX(FÉRIAS!$F:$F,$L60))</f>
        <v/>
      </c>
      <c r="H60" s="25" t="str">
        <f aca="true">IF($L60="","",INDEX(FÉRIAS!$C:$C,$L60)-TODAY())</f>
        <v/>
      </c>
      <c r="I60" s="18" t="str">
        <f aca="false">IF($L60="","",INDEX(FÉRIAS!$I:$I,$L60)&amp;"")</f>
        <v/>
      </c>
      <c r="L60" s="0" t="str">
        <f aca="false">IFERROR(ROUND(MOD(SMALL(FÉRIAS!$L$2:$L$301,4),1)*100000,0),"")</f>
        <v/>
      </c>
    </row>
    <row r="61" customFormat="false" ht="15" hidden="false" customHeight="false" outlineLevel="0" collapsed="false">
      <c r="B61" s="16" t="str">
        <f aca="false">IF(L61="","",5)</f>
        <v/>
      </c>
      <c r="C61" s="17" t="str">
        <f aca="false">IF($L61="","",INDEX(FÉRIAS!$A:$A,$L61)&amp;"")</f>
        <v/>
      </c>
      <c r="D61" s="16" t="str">
        <f aca="false">IF($L61="","",INDEX(FÉRIAS!$B:$B,$L61)&amp;"")</f>
        <v/>
      </c>
      <c r="E61" s="22" t="str">
        <f aca="false">IF($L61="","",INDEX(FÉRIAS!$C:$C,$L61))</f>
        <v/>
      </c>
      <c r="F61" s="22" t="str">
        <f aca="false">IF($L61="","",INDEX(FÉRIAS!$D:$D,$L61))</f>
        <v/>
      </c>
      <c r="G61" s="23" t="str">
        <f aca="false">IF($L61="","",INDEX(FÉRIAS!$F:$F,$L61))</f>
        <v/>
      </c>
      <c r="H61" s="23" t="str">
        <f aca="true">IF($L61="","",INDEX(FÉRIAS!$C:$C,$L61)-TODAY())</f>
        <v/>
      </c>
      <c r="I61" s="16" t="str">
        <f aca="false">IF($L61="","",INDEX(FÉRIAS!$I:$I,$L61)&amp;"")</f>
        <v/>
      </c>
      <c r="L61" s="0" t="str">
        <f aca="false">IFERROR(ROUND(MOD(SMALL(FÉRIAS!$L$2:$L$301,5),1)*100000,0),"")</f>
        <v/>
      </c>
    </row>
    <row r="62" customFormat="false" ht="15" hidden="false" customHeight="false" outlineLevel="0" collapsed="false">
      <c r="B62" s="18" t="str">
        <f aca="false">IF(L62="","",6)</f>
        <v/>
      </c>
      <c r="C62" s="19" t="str">
        <f aca="false">IF($L62="","",INDEX(FÉRIAS!$A:$A,$L62)&amp;"")</f>
        <v/>
      </c>
      <c r="D62" s="18" t="str">
        <f aca="false">IF($L62="","",INDEX(FÉRIAS!$B:$B,$L62)&amp;"")</f>
        <v/>
      </c>
      <c r="E62" s="24" t="str">
        <f aca="false">IF($L62="","",INDEX(FÉRIAS!$C:$C,$L62))</f>
        <v/>
      </c>
      <c r="F62" s="24" t="str">
        <f aca="false">IF($L62="","",INDEX(FÉRIAS!$D:$D,$L62))</f>
        <v/>
      </c>
      <c r="G62" s="25" t="str">
        <f aca="false">IF($L62="","",INDEX(FÉRIAS!$F:$F,$L62))</f>
        <v/>
      </c>
      <c r="H62" s="25" t="str">
        <f aca="true">IF($L62="","",INDEX(FÉRIAS!$C:$C,$L62)-TODAY())</f>
        <v/>
      </c>
      <c r="I62" s="18" t="str">
        <f aca="false">IF($L62="","",INDEX(FÉRIAS!$I:$I,$L62)&amp;"")</f>
        <v/>
      </c>
      <c r="L62" s="0" t="str">
        <f aca="false">IFERROR(ROUND(MOD(SMALL(FÉRIAS!$L$2:$L$301,6),1)*100000,0),"")</f>
        <v/>
      </c>
    </row>
    <row r="63" customFormat="false" ht="15" hidden="false" customHeight="false" outlineLevel="0" collapsed="false">
      <c r="B63" s="16" t="str">
        <f aca="false">IF(L63="","",7)</f>
        <v/>
      </c>
      <c r="C63" s="17" t="str">
        <f aca="false">IF($L63="","",INDEX(FÉRIAS!$A:$A,$L63)&amp;"")</f>
        <v/>
      </c>
      <c r="D63" s="16" t="str">
        <f aca="false">IF($L63="","",INDEX(FÉRIAS!$B:$B,$L63)&amp;"")</f>
        <v/>
      </c>
      <c r="E63" s="22" t="str">
        <f aca="false">IF($L63="","",INDEX(FÉRIAS!$C:$C,$L63))</f>
        <v/>
      </c>
      <c r="F63" s="22" t="str">
        <f aca="false">IF($L63="","",INDEX(FÉRIAS!$D:$D,$L63))</f>
        <v/>
      </c>
      <c r="G63" s="23" t="str">
        <f aca="false">IF($L63="","",INDEX(FÉRIAS!$F:$F,$L63))</f>
        <v/>
      </c>
      <c r="H63" s="23" t="str">
        <f aca="true">IF($L63="","",INDEX(FÉRIAS!$C:$C,$L63)-TODAY())</f>
        <v/>
      </c>
      <c r="I63" s="16" t="str">
        <f aca="false">IF($L63="","",INDEX(FÉRIAS!$I:$I,$L63)&amp;"")</f>
        <v/>
      </c>
      <c r="L63" s="0" t="str">
        <f aca="false">IFERROR(ROUND(MOD(SMALL(FÉRIAS!$L$2:$L$301,7),1)*100000,0),"")</f>
        <v/>
      </c>
    </row>
    <row r="64" customFormat="false" ht="15" hidden="false" customHeight="false" outlineLevel="0" collapsed="false">
      <c r="B64" s="18" t="str">
        <f aca="false">IF(L64="","",8)</f>
        <v/>
      </c>
      <c r="C64" s="19" t="str">
        <f aca="false">IF($L64="","",INDEX(FÉRIAS!$A:$A,$L64)&amp;"")</f>
        <v/>
      </c>
      <c r="D64" s="18" t="str">
        <f aca="false">IF($L64="","",INDEX(FÉRIAS!$B:$B,$L64)&amp;"")</f>
        <v/>
      </c>
      <c r="E64" s="24" t="str">
        <f aca="false">IF($L64="","",INDEX(FÉRIAS!$C:$C,$L64))</f>
        <v/>
      </c>
      <c r="F64" s="24" t="str">
        <f aca="false">IF($L64="","",INDEX(FÉRIAS!$D:$D,$L64))</f>
        <v/>
      </c>
      <c r="G64" s="25" t="str">
        <f aca="false">IF($L64="","",INDEX(FÉRIAS!$F:$F,$L64))</f>
        <v/>
      </c>
      <c r="H64" s="25" t="str">
        <f aca="true">IF($L64="","",INDEX(FÉRIAS!$C:$C,$L64)-TODAY())</f>
        <v/>
      </c>
      <c r="I64" s="18" t="str">
        <f aca="false">IF($L64="","",INDEX(FÉRIAS!$I:$I,$L64)&amp;"")</f>
        <v/>
      </c>
      <c r="L64" s="0" t="str">
        <f aca="false">IFERROR(ROUND(MOD(SMALL(FÉRIAS!$L$2:$L$301,8),1)*100000,0),"")</f>
        <v/>
      </c>
    </row>
    <row r="65" customFormat="false" ht="15" hidden="false" customHeight="false" outlineLevel="0" collapsed="false">
      <c r="B65" s="16" t="str">
        <f aca="false">IF(L65="","",9)</f>
        <v/>
      </c>
      <c r="C65" s="17" t="str">
        <f aca="false">IF($L65="","",INDEX(FÉRIAS!$A:$A,$L65)&amp;"")</f>
        <v/>
      </c>
      <c r="D65" s="16" t="str">
        <f aca="false">IF($L65="","",INDEX(FÉRIAS!$B:$B,$L65)&amp;"")</f>
        <v/>
      </c>
      <c r="E65" s="22" t="str">
        <f aca="false">IF($L65="","",INDEX(FÉRIAS!$C:$C,$L65))</f>
        <v/>
      </c>
      <c r="F65" s="22" t="str">
        <f aca="false">IF($L65="","",INDEX(FÉRIAS!$D:$D,$L65))</f>
        <v/>
      </c>
      <c r="G65" s="23" t="str">
        <f aca="false">IF($L65="","",INDEX(FÉRIAS!$F:$F,$L65))</f>
        <v/>
      </c>
      <c r="H65" s="23" t="str">
        <f aca="true">IF($L65="","",INDEX(FÉRIAS!$C:$C,$L65)-TODAY())</f>
        <v/>
      </c>
      <c r="I65" s="16" t="str">
        <f aca="false">IF($L65="","",INDEX(FÉRIAS!$I:$I,$L65)&amp;"")</f>
        <v/>
      </c>
      <c r="L65" s="0" t="str">
        <f aca="false">IFERROR(ROUND(MOD(SMALL(FÉRIAS!$L$2:$L$301,9),1)*100000,0),"")</f>
        <v/>
      </c>
    </row>
    <row r="66" customFormat="false" ht="15" hidden="false" customHeight="false" outlineLevel="0" collapsed="false">
      <c r="B66" s="18" t="str">
        <f aca="false">IF(L66="","",10)</f>
        <v/>
      </c>
      <c r="C66" s="19" t="str">
        <f aca="false">IF($L66="","",INDEX(FÉRIAS!$A:$A,$L66)&amp;"")</f>
        <v/>
      </c>
      <c r="D66" s="18" t="str">
        <f aca="false">IF($L66="","",INDEX(FÉRIAS!$B:$B,$L66)&amp;"")</f>
        <v/>
      </c>
      <c r="E66" s="24" t="str">
        <f aca="false">IF($L66="","",INDEX(FÉRIAS!$C:$C,$L66))</f>
        <v/>
      </c>
      <c r="F66" s="24" t="str">
        <f aca="false">IF($L66="","",INDEX(FÉRIAS!$D:$D,$L66))</f>
        <v/>
      </c>
      <c r="G66" s="25" t="str">
        <f aca="false">IF($L66="","",INDEX(FÉRIAS!$F:$F,$L66))</f>
        <v/>
      </c>
      <c r="H66" s="25" t="str">
        <f aca="true">IF($L66="","",INDEX(FÉRIAS!$C:$C,$L66)-TODAY())</f>
        <v/>
      </c>
      <c r="I66" s="18" t="str">
        <f aca="false">IF($L66="","",INDEX(FÉRIAS!$I:$I,$L66)&amp;"")</f>
        <v/>
      </c>
      <c r="L66" s="0" t="str">
        <f aca="false">IFERROR(ROUND(MOD(SMALL(FÉRIAS!$L$2:$L$301,10),1)*100000,0),"")</f>
        <v/>
      </c>
    </row>
    <row r="67" customFormat="false" ht="15" hidden="false" customHeight="false" outlineLevel="0" collapsed="false">
      <c r="B67" s="20" t="str">
        <f aca="false">IF($H$8=0,"Ninguém nesta lista.",IF($H$8&gt;10,"... e mais "&amp;($H$8-10)&amp;" — veja a aba FÉRIAS.",""))</f>
        <v/>
      </c>
      <c r="C67" s="20"/>
      <c r="D67" s="20"/>
      <c r="E67" s="20"/>
      <c r="F67" s="20"/>
      <c r="G67" s="20"/>
      <c r="H67" s="20"/>
      <c r="I67" s="20"/>
    </row>
  </sheetData>
  <mergeCells count="45">
    <mergeCell ref="B2:I2"/>
    <mergeCell ref="B3:I3"/>
    <mergeCell ref="B5:I5"/>
    <mergeCell ref="B7:D7"/>
    <mergeCell ref="E7:F7"/>
    <mergeCell ref="H7:I7"/>
    <mergeCell ref="B8:D8"/>
    <mergeCell ref="E8:F8"/>
    <mergeCell ref="H8:I8"/>
    <mergeCell ref="B10:D10"/>
    <mergeCell ref="E10:F10"/>
    <mergeCell ref="H10:I10"/>
    <mergeCell ref="B11:D11"/>
    <mergeCell ref="E11:F11"/>
    <mergeCell ref="H11:I11"/>
    <mergeCell ref="B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B25:I25"/>
    <mergeCell ref="B27:I27"/>
    <mergeCell ref="B39:I39"/>
    <mergeCell ref="B41:I41"/>
    <mergeCell ref="H42:I42"/>
    <mergeCell ref="H43:I43"/>
    <mergeCell ref="H44:I44"/>
    <mergeCell ref="H45:I45"/>
    <mergeCell ref="H46:I46"/>
    <mergeCell ref="H47:I47"/>
    <mergeCell ref="H48:I48"/>
    <mergeCell ref="H49:I49"/>
    <mergeCell ref="H50:I50"/>
    <mergeCell ref="H51:I51"/>
    <mergeCell ref="H52:I52"/>
    <mergeCell ref="B53:I53"/>
    <mergeCell ref="B55:I55"/>
    <mergeCell ref="B67:I67"/>
  </mergeCells>
  <conditionalFormatting sqref="B5:I5">
    <cfRule type="expression" priority="2" aboveAverage="0" equalAverage="0" bottom="0" percent="0" rank="0" text="" dxfId="0">
      <formula>$B$8+$E$8&gt;0</formula>
    </cfRule>
    <cfRule type="expression" priority="3" aboveAverage="0" equalAverage="0" bottom="0" percent="0" rank="0" text="" dxfId="1">
      <formula>$B$8+$E$8=0</formula>
    </cfRule>
  </conditionalFormatting>
  <conditionalFormatting sqref="E11:F11">
    <cfRule type="expression" priority="4" aboveAverage="0" equalAverage="0" bottom="0" percent="0" rank="0" text="" dxfId="2">
      <formula>$E$11&gt;0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8" min="2" style="0" width="15"/>
    <col collapsed="false" customWidth="true" hidden="false" outlineLevel="0" max="9" min="9" style="0" width="3"/>
    <col collapsed="false" customWidth="true" hidden="false" outlineLevel="0" max="10" min="10" style="0" width="4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12"/>
    <col collapsed="false" customWidth="true" hidden="true" outlineLevel="0" max="16" min="15" style="0" width="13"/>
  </cols>
  <sheetData>
    <row r="2" customFormat="false" ht="30" hidden="false" customHeight="true" outlineLevel="0" collapsed="false">
      <c r="B2" s="28" t="s">
        <v>27</v>
      </c>
      <c r="C2" s="28"/>
      <c r="D2" s="28"/>
      <c r="E2" s="28"/>
      <c r="F2" s="28"/>
      <c r="G2" s="28"/>
      <c r="H2" s="28"/>
      <c r="J2" s="29" t="s">
        <v>28</v>
      </c>
      <c r="K2" s="29"/>
      <c r="L2" s="29"/>
      <c r="M2" s="29"/>
    </row>
    <row r="4" customFormat="false" ht="15" hidden="false" customHeight="false" outlineLevel="0" collapsed="false">
      <c r="B4" s="30" t="s">
        <v>29</v>
      </c>
      <c r="C4" s="31" t="str">
        <f aca="true">INDEX(LISTAS!$D$2:$D$13,MONTH(TODAY()))</f>
        <v>Outubro</v>
      </c>
      <c r="D4" s="31"/>
      <c r="E4" s="30" t="s">
        <v>30</v>
      </c>
      <c r="F4" s="32" t="n">
        <f aca="true">YEAR(TODAY())</f>
        <v>2026</v>
      </c>
      <c r="G4" s="33" t="s">
        <v>31</v>
      </c>
      <c r="J4" s="34" t="s">
        <v>32</v>
      </c>
      <c r="K4" s="34"/>
      <c r="L4" s="35" t="n">
        <f aca="true">TODAY()</f>
        <v>46301</v>
      </c>
      <c r="M4" s="36" t="str">
        <f aca="false">IF(ISNUMBER(L4),CHOOSE(WEEKDAY(L4),"Domingo","Segunda","Terça","Quarta","Quinta","Sexta","Sábado"),"")</f>
        <v>Terça</v>
      </c>
      <c r="O4" s="0" t="n">
        <f aca="false">MATCH(C4,LISTAS!$D$2:$D$13,0)</f>
        <v>10</v>
      </c>
    </row>
    <row r="5" customFormat="false" ht="15" hidden="false" customHeight="false" outlineLevel="0" collapsed="false">
      <c r="O5" s="37" t="n">
        <f aca="false">DATE(F4,O4,1)-WEEKDAY(DATE(F4,O4,1))+1</f>
        <v>46292</v>
      </c>
    </row>
    <row r="6" customFormat="false" ht="21.75" hidden="false" customHeight="true" outlineLevel="0" collapsed="false">
      <c r="B6" s="38" t="s">
        <v>33</v>
      </c>
      <c r="C6" s="38" t="s">
        <v>34</v>
      </c>
      <c r="D6" s="38" t="s">
        <v>35</v>
      </c>
      <c r="E6" s="38" t="s">
        <v>36</v>
      </c>
      <c r="F6" s="38" t="s">
        <v>37</v>
      </c>
      <c r="G6" s="38" t="s">
        <v>38</v>
      </c>
      <c r="H6" s="38" t="s">
        <v>39</v>
      </c>
      <c r="J6" s="38" t="s">
        <v>10</v>
      </c>
      <c r="K6" s="38" t="s">
        <v>11</v>
      </c>
      <c r="L6" s="38" t="s">
        <v>12</v>
      </c>
      <c r="M6" s="38" t="s">
        <v>40</v>
      </c>
      <c r="O6" s="0" t="n">
        <f aca="false">COUNT(FOLGAS!$L$2:$L$301)</f>
        <v>0</v>
      </c>
    </row>
    <row r="7" customFormat="false" ht="18" hidden="false" customHeight="true" outlineLevel="0" collapsed="false">
      <c r="B7" s="39" t="n">
        <f aca="false">$O$5+0</f>
        <v>46292</v>
      </c>
      <c r="C7" s="39" t="n">
        <f aca="false">$O$5+1</f>
        <v>46293</v>
      </c>
      <c r="D7" s="39" t="n">
        <f aca="false">$O$5+2</f>
        <v>46294</v>
      </c>
      <c r="E7" s="39" t="n">
        <f aca="false">$O$5+3</f>
        <v>46295</v>
      </c>
      <c r="F7" s="39" t="n">
        <f aca="false">$O$5+4</f>
        <v>46296</v>
      </c>
      <c r="G7" s="39" t="n">
        <f aca="false">$O$5+5</f>
        <v>46297</v>
      </c>
      <c r="H7" s="39" t="n">
        <f aca="false">$O$5+6</f>
        <v>46298</v>
      </c>
      <c r="J7" s="16" t="str">
        <f aca="false">IF(P7="","",1)</f>
        <v/>
      </c>
      <c r="K7" s="17" t="str">
        <f aca="false">IF(P7="","",IF(1&lt;=$O$6,INDEX(FOLGAS!$A:$A,P7),INDEX(FÉRIAS!$A:$A,P7)))</f>
        <v/>
      </c>
      <c r="L7" s="16" t="str">
        <f aca="false">IF(P7="","",IF(1&lt;=$O$6,INDEX(FOLGAS!$B:$B,P7),INDEX(FÉRIAS!$B:$B,P7)))</f>
        <v/>
      </c>
      <c r="M7" s="16" t="str">
        <f aca="false">IF(P7="","",IF(1&lt;=$O$6,"Folga","Férias"))</f>
        <v/>
      </c>
      <c r="O7" s="0" t="n">
        <f aca="false">COUNT(FÉRIAS!$M$2:$M$301)</f>
        <v>0</v>
      </c>
      <c r="P7" s="0" t="str">
        <f aca="false">IF(1&gt;$O$6+$O$7,"",IF(1&lt;=$O$6,SMALL(FOLGAS!$L$2:$L$301,1),SMALL(FÉRIAS!$M$2:$M$301,1-$O$6)))</f>
        <v/>
      </c>
    </row>
    <row r="8" customFormat="false" ht="33.75" hidden="false" customHeight="true" outlineLevel="0" collapsed="false">
      <c r="B8" s="40" t="str">
        <f aca="false">IF(MONTH(B7)&lt;&gt;$O$4,"",IF(COUNTIF(FOLGAS!$C$2:$C$301,B7)+COUNTIFS(FÉRIAS!$C$2:$C$301,"&lt;="&amp;B7,FÉRIAS!$D$2:$D$301,"&gt;="&amp;B7)=0,"",IF(COUNTIF(FOLGAS!$C$2:$C$301,B7)&gt;0,"Folga: "&amp;COUNTIF(FOLGAS!$C$2:$C$301,B7),"")&amp;IF(AND(COUNTIF(FOLGAS!$C$2:$C$301,B7)&gt;0,COUNTIFS(FÉRIAS!$C$2:$C$301,"&lt;="&amp;B7,FÉRIAS!$D$2:$D$301,"&gt;="&amp;B7)&gt;0),CHAR(10),"")&amp;IF(COUNTIFS(FÉRIAS!$C$2:$C$301,"&lt;="&amp;B7,FÉRIAS!$D$2:$D$301,"&gt;="&amp;B7)&gt;0,"Férias: "&amp;COUNTIFS(FÉRIAS!$C$2:$C$301,"&lt;="&amp;B7,FÉRIAS!$D$2:$D$301,"&gt;="&amp;B7),"")))</f>
        <v/>
      </c>
      <c r="C8" s="40" t="str">
        <f aca="false">IF(MONTH(C7)&lt;&gt;$O$4,"",IF(COUNTIF(FOLGAS!$C$2:$C$301,C7)+COUNTIFS(FÉRIAS!$C$2:$C$301,"&lt;="&amp;C7,FÉRIAS!$D$2:$D$301,"&gt;="&amp;C7)=0,"",IF(COUNTIF(FOLGAS!$C$2:$C$301,C7)&gt;0,"Folga: "&amp;COUNTIF(FOLGAS!$C$2:$C$301,C7),"")&amp;IF(AND(COUNTIF(FOLGAS!$C$2:$C$301,C7)&gt;0,COUNTIFS(FÉRIAS!$C$2:$C$301,"&lt;="&amp;C7,FÉRIAS!$D$2:$D$301,"&gt;="&amp;C7)&gt;0),CHAR(10),"")&amp;IF(COUNTIFS(FÉRIAS!$C$2:$C$301,"&lt;="&amp;C7,FÉRIAS!$D$2:$D$301,"&gt;="&amp;C7)&gt;0,"Férias: "&amp;COUNTIFS(FÉRIAS!$C$2:$C$301,"&lt;="&amp;C7,FÉRIAS!$D$2:$D$301,"&gt;="&amp;C7),"")))</f>
        <v/>
      </c>
      <c r="D8" s="40" t="str">
        <f aca="false">IF(MONTH(D7)&lt;&gt;$O$4,"",IF(COUNTIF(FOLGAS!$C$2:$C$301,D7)+COUNTIFS(FÉRIAS!$C$2:$C$301,"&lt;="&amp;D7,FÉRIAS!$D$2:$D$301,"&gt;="&amp;D7)=0,"",IF(COUNTIF(FOLGAS!$C$2:$C$301,D7)&gt;0,"Folga: "&amp;COUNTIF(FOLGAS!$C$2:$C$301,D7),"")&amp;IF(AND(COUNTIF(FOLGAS!$C$2:$C$301,D7)&gt;0,COUNTIFS(FÉRIAS!$C$2:$C$301,"&lt;="&amp;D7,FÉRIAS!$D$2:$D$301,"&gt;="&amp;D7)&gt;0),CHAR(10),"")&amp;IF(COUNTIFS(FÉRIAS!$C$2:$C$301,"&lt;="&amp;D7,FÉRIAS!$D$2:$D$301,"&gt;="&amp;D7)&gt;0,"Férias: "&amp;COUNTIFS(FÉRIAS!$C$2:$C$301,"&lt;="&amp;D7,FÉRIAS!$D$2:$D$301,"&gt;="&amp;D7),"")))</f>
        <v/>
      </c>
      <c r="E8" s="40" t="str">
        <f aca="false">IF(MONTH(E7)&lt;&gt;$O$4,"",IF(COUNTIF(FOLGAS!$C$2:$C$301,E7)+COUNTIFS(FÉRIAS!$C$2:$C$301,"&lt;="&amp;E7,FÉRIAS!$D$2:$D$301,"&gt;="&amp;E7)=0,"",IF(COUNTIF(FOLGAS!$C$2:$C$301,E7)&gt;0,"Folga: "&amp;COUNTIF(FOLGAS!$C$2:$C$301,E7),"")&amp;IF(AND(COUNTIF(FOLGAS!$C$2:$C$301,E7)&gt;0,COUNTIFS(FÉRIAS!$C$2:$C$301,"&lt;="&amp;E7,FÉRIAS!$D$2:$D$301,"&gt;="&amp;E7)&gt;0),CHAR(10),"")&amp;IF(COUNTIFS(FÉRIAS!$C$2:$C$301,"&lt;="&amp;E7,FÉRIAS!$D$2:$D$301,"&gt;="&amp;E7)&gt;0,"Férias: "&amp;COUNTIFS(FÉRIAS!$C$2:$C$301,"&lt;="&amp;E7,FÉRIAS!$D$2:$D$301,"&gt;="&amp;E7),"")))</f>
        <v/>
      </c>
      <c r="F8" s="40" t="str">
        <f aca="false">IF(MONTH(F7)&lt;&gt;$O$4,"",IF(COUNTIF(FOLGAS!$C$2:$C$301,F7)+COUNTIFS(FÉRIAS!$C$2:$C$301,"&lt;="&amp;F7,FÉRIAS!$D$2:$D$301,"&gt;="&amp;F7)=0,"",IF(COUNTIF(FOLGAS!$C$2:$C$301,F7)&gt;0,"Folga: "&amp;COUNTIF(FOLGAS!$C$2:$C$301,F7),"")&amp;IF(AND(COUNTIF(FOLGAS!$C$2:$C$301,F7)&gt;0,COUNTIFS(FÉRIAS!$C$2:$C$301,"&lt;="&amp;F7,FÉRIAS!$D$2:$D$301,"&gt;="&amp;F7)&gt;0),CHAR(10),"")&amp;IF(COUNTIFS(FÉRIAS!$C$2:$C$301,"&lt;="&amp;F7,FÉRIAS!$D$2:$D$301,"&gt;="&amp;F7)&gt;0,"Férias: "&amp;COUNTIFS(FÉRIAS!$C$2:$C$301,"&lt;="&amp;F7,FÉRIAS!$D$2:$D$301,"&gt;="&amp;F7),"")))</f>
        <v/>
      </c>
      <c r="G8" s="40" t="str">
        <f aca="false">IF(MONTH(G7)&lt;&gt;$O$4,"",IF(COUNTIF(FOLGAS!$C$2:$C$301,G7)+COUNTIFS(FÉRIAS!$C$2:$C$301,"&lt;="&amp;G7,FÉRIAS!$D$2:$D$301,"&gt;="&amp;G7)=0,"",IF(COUNTIF(FOLGAS!$C$2:$C$301,G7)&gt;0,"Folga: "&amp;COUNTIF(FOLGAS!$C$2:$C$301,G7),"")&amp;IF(AND(COUNTIF(FOLGAS!$C$2:$C$301,G7)&gt;0,COUNTIFS(FÉRIAS!$C$2:$C$301,"&lt;="&amp;G7,FÉRIAS!$D$2:$D$301,"&gt;="&amp;G7)&gt;0),CHAR(10),"")&amp;IF(COUNTIFS(FÉRIAS!$C$2:$C$301,"&lt;="&amp;G7,FÉRIAS!$D$2:$D$301,"&gt;="&amp;G7)&gt;0,"Férias: "&amp;COUNTIFS(FÉRIAS!$C$2:$C$301,"&lt;="&amp;G7,FÉRIAS!$D$2:$D$301,"&gt;="&amp;G7),"")))</f>
        <v/>
      </c>
      <c r="H8" s="40" t="str">
        <f aca="false">IF(MONTH(H7)&lt;&gt;$O$4,"",IF(COUNTIF(FOLGAS!$C$2:$C$301,H7)+COUNTIFS(FÉRIAS!$C$2:$C$301,"&lt;="&amp;H7,FÉRIAS!$D$2:$D$301,"&gt;="&amp;H7)=0,"",IF(COUNTIF(FOLGAS!$C$2:$C$301,H7)&gt;0,"Folga: "&amp;COUNTIF(FOLGAS!$C$2:$C$301,H7),"")&amp;IF(AND(COUNTIF(FOLGAS!$C$2:$C$301,H7)&gt;0,COUNTIFS(FÉRIAS!$C$2:$C$301,"&lt;="&amp;H7,FÉRIAS!$D$2:$D$301,"&gt;="&amp;H7)&gt;0),CHAR(10),"")&amp;IF(COUNTIFS(FÉRIAS!$C$2:$C$301,"&lt;="&amp;H7,FÉRIAS!$D$2:$D$301,"&gt;="&amp;H7)&gt;0,"Férias: "&amp;COUNTIFS(FÉRIAS!$C$2:$C$301,"&lt;="&amp;H7,FÉRIAS!$D$2:$D$301,"&gt;="&amp;H7),"")))</f>
        <v/>
      </c>
      <c r="J8" s="16" t="str">
        <f aca="false">IF(P8="","",2)</f>
        <v/>
      </c>
      <c r="K8" s="17" t="str">
        <f aca="false">IF(P8="","",IF(2&lt;=$O$6,INDEX(FOLGAS!$A:$A,P8),INDEX(FÉRIAS!$A:$A,P8)))</f>
        <v/>
      </c>
      <c r="L8" s="16" t="str">
        <f aca="false">IF(P8="","",IF(2&lt;=$O$6,INDEX(FOLGAS!$B:$B,P8),INDEX(FÉRIAS!$B:$B,P8)))</f>
        <v/>
      </c>
      <c r="M8" s="16" t="str">
        <f aca="false">IF(P8="","",IF(2&lt;=$O$6,"Folga","Férias"))</f>
        <v/>
      </c>
      <c r="P8" s="0" t="str">
        <f aca="false">IF(2&gt;$O$6+$O$7,"",IF(2&lt;=$O$6,SMALL(FOLGAS!$L$2:$L$301,2),SMALL(FÉRIAS!$M$2:$M$301,2-$O$6)))</f>
        <v/>
      </c>
    </row>
    <row r="9" customFormat="false" ht="18" hidden="false" customHeight="true" outlineLevel="0" collapsed="false">
      <c r="B9" s="39" t="n">
        <f aca="false">$O$5+7</f>
        <v>46299</v>
      </c>
      <c r="C9" s="39" t="n">
        <f aca="false">$O$5+8</f>
        <v>46300</v>
      </c>
      <c r="D9" s="39" t="n">
        <f aca="false">$O$5+9</f>
        <v>46301</v>
      </c>
      <c r="E9" s="39" t="n">
        <f aca="false">$O$5+10</f>
        <v>46302</v>
      </c>
      <c r="F9" s="39" t="n">
        <f aca="false">$O$5+11</f>
        <v>46303</v>
      </c>
      <c r="G9" s="39" t="n">
        <f aca="false">$O$5+12</f>
        <v>46304</v>
      </c>
      <c r="H9" s="39" t="n">
        <f aca="false">$O$5+13</f>
        <v>46305</v>
      </c>
      <c r="J9" s="16" t="str">
        <f aca="false">IF(P9="","",3)</f>
        <v/>
      </c>
      <c r="K9" s="17" t="str">
        <f aca="false">IF(P9="","",IF(3&lt;=$O$6,INDEX(FOLGAS!$A:$A,P9),INDEX(FÉRIAS!$A:$A,P9)))</f>
        <v/>
      </c>
      <c r="L9" s="16" t="str">
        <f aca="false">IF(P9="","",IF(3&lt;=$O$6,INDEX(FOLGAS!$B:$B,P9),INDEX(FÉRIAS!$B:$B,P9)))</f>
        <v/>
      </c>
      <c r="M9" s="16" t="str">
        <f aca="false">IF(P9="","",IF(3&lt;=$O$6,"Folga","Férias"))</f>
        <v/>
      </c>
      <c r="P9" s="0" t="str">
        <f aca="false">IF(3&gt;$O$6+$O$7,"",IF(3&lt;=$O$6,SMALL(FOLGAS!$L$2:$L$301,3),SMALL(FÉRIAS!$M$2:$M$301,3-$O$6)))</f>
        <v/>
      </c>
    </row>
    <row r="10" customFormat="false" ht="33.75" hidden="false" customHeight="true" outlineLevel="0" collapsed="false">
      <c r="B10" s="40" t="str">
        <f aca="false">IF(MONTH(B9)&lt;&gt;$O$4,"",IF(COUNTIF(FOLGAS!$C$2:$C$301,B9)+COUNTIFS(FÉRIAS!$C$2:$C$301,"&lt;="&amp;B9,FÉRIAS!$D$2:$D$301,"&gt;="&amp;B9)=0,"",IF(COUNTIF(FOLGAS!$C$2:$C$301,B9)&gt;0,"Folga: "&amp;COUNTIF(FOLGAS!$C$2:$C$301,B9),"")&amp;IF(AND(COUNTIF(FOLGAS!$C$2:$C$301,B9)&gt;0,COUNTIFS(FÉRIAS!$C$2:$C$301,"&lt;="&amp;B9,FÉRIAS!$D$2:$D$301,"&gt;="&amp;B9)&gt;0),CHAR(10),"")&amp;IF(COUNTIFS(FÉRIAS!$C$2:$C$301,"&lt;="&amp;B9,FÉRIAS!$D$2:$D$301,"&gt;="&amp;B9)&gt;0,"Férias: "&amp;COUNTIFS(FÉRIAS!$C$2:$C$301,"&lt;="&amp;B9,FÉRIAS!$D$2:$D$301,"&gt;="&amp;B9),"")))</f>
        <v/>
      </c>
      <c r="C10" s="40" t="str">
        <f aca="false">IF(MONTH(C9)&lt;&gt;$O$4,"",IF(COUNTIF(FOLGAS!$C$2:$C$301,C9)+COUNTIFS(FÉRIAS!$C$2:$C$301,"&lt;="&amp;C9,FÉRIAS!$D$2:$D$301,"&gt;="&amp;C9)=0,"",IF(COUNTIF(FOLGAS!$C$2:$C$301,C9)&gt;0,"Folga: "&amp;COUNTIF(FOLGAS!$C$2:$C$301,C9),"")&amp;IF(AND(COUNTIF(FOLGAS!$C$2:$C$301,C9)&gt;0,COUNTIFS(FÉRIAS!$C$2:$C$301,"&lt;="&amp;C9,FÉRIAS!$D$2:$D$301,"&gt;="&amp;C9)&gt;0),CHAR(10),"")&amp;IF(COUNTIFS(FÉRIAS!$C$2:$C$301,"&lt;="&amp;C9,FÉRIAS!$D$2:$D$301,"&gt;="&amp;C9)&gt;0,"Férias: "&amp;COUNTIFS(FÉRIAS!$C$2:$C$301,"&lt;="&amp;C9,FÉRIAS!$D$2:$D$301,"&gt;="&amp;C9),"")))</f>
        <v/>
      </c>
      <c r="D10" s="40" t="str">
        <f aca="false">IF(MONTH(D9)&lt;&gt;$O$4,"",IF(COUNTIF(FOLGAS!$C$2:$C$301,D9)+COUNTIFS(FÉRIAS!$C$2:$C$301,"&lt;="&amp;D9,FÉRIAS!$D$2:$D$301,"&gt;="&amp;D9)=0,"",IF(COUNTIF(FOLGAS!$C$2:$C$301,D9)&gt;0,"Folga: "&amp;COUNTIF(FOLGAS!$C$2:$C$301,D9),"")&amp;IF(AND(COUNTIF(FOLGAS!$C$2:$C$301,D9)&gt;0,COUNTIFS(FÉRIAS!$C$2:$C$301,"&lt;="&amp;D9,FÉRIAS!$D$2:$D$301,"&gt;="&amp;D9)&gt;0),CHAR(10),"")&amp;IF(COUNTIFS(FÉRIAS!$C$2:$C$301,"&lt;="&amp;D9,FÉRIAS!$D$2:$D$301,"&gt;="&amp;D9)&gt;0,"Férias: "&amp;COUNTIFS(FÉRIAS!$C$2:$C$301,"&lt;="&amp;D9,FÉRIAS!$D$2:$D$301,"&gt;="&amp;D9),"")))</f>
        <v/>
      </c>
      <c r="E10" s="40" t="str">
        <f aca="false">IF(MONTH(E9)&lt;&gt;$O$4,"",IF(COUNTIF(FOLGAS!$C$2:$C$301,E9)+COUNTIFS(FÉRIAS!$C$2:$C$301,"&lt;="&amp;E9,FÉRIAS!$D$2:$D$301,"&gt;="&amp;E9)=0,"",IF(COUNTIF(FOLGAS!$C$2:$C$301,E9)&gt;0,"Folga: "&amp;COUNTIF(FOLGAS!$C$2:$C$301,E9),"")&amp;IF(AND(COUNTIF(FOLGAS!$C$2:$C$301,E9)&gt;0,COUNTIFS(FÉRIAS!$C$2:$C$301,"&lt;="&amp;E9,FÉRIAS!$D$2:$D$301,"&gt;="&amp;E9)&gt;0),CHAR(10),"")&amp;IF(COUNTIFS(FÉRIAS!$C$2:$C$301,"&lt;="&amp;E9,FÉRIAS!$D$2:$D$301,"&gt;="&amp;E9)&gt;0,"Férias: "&amp;COUNTIFS(FÉRIAS!$C$2:$C$301,"&lt;="&amp;E9,FÉRIAS!$D$2:$D$301,"&gt;="&amp;E9),"")))</f>
        <v/>
      </c>
      <c r="F10" s="40" t="str">
        <f aca="false">IF(MONTH(F9)&lt;&gt;$O$4,"",IF(COUNTIF(FOLGAS!$C$2:$C$301,F9)+COUNTIFS(FÉRIAS!$C$2:$C$301,"&lt;="&amp;F9,FÉRIAS!$D$2:$D$301,"&gt;="&amp;F9)=0,"",IF(COUNTIF(FOLGAS!$C$2:$C$301,F9)&gt;0,"Folga: "&amp;COUNTIF(FOLGAS!$C$2:$C$301,F9),"")&amp;IF(AND(COUNTIF(FOLGAS!$C$2:$C$301,F9)&gt;0,COUNTIFS(FÉRIAS!$C$2:$C$301,"&lt;="&amp;F9,FÉRIAS!$D$2:$D$301,"&gt;="&amp;F9)&gt;0),CHAR(10),"")&amp;IF(COUNTIFS(FÉRIAS!$C$2:$C$301,"&lt;="&amp;F9,FÉRIAS!$D$2:$D$301,"&gt;="&amp;F9)&gt;0,"Férias: "&amp;COUNTIFS(FÉRIAS!$C$2:$C$301,"&lt;="&amp;F9,FÉRIAS!$D$2:$D$301,"&gt;="&amp;F9),"")))</f>
        <v/>
      </c>
      <c r="G10" s="40" t="str">
        <f aca="false">IF(MONTH(G9)&lt;&gt;$O$4,"",IF(COUNTIF(FOLGAS!$C$2:$C$301,G9)+COUNTIFS(FÉRIAS!$C$2:$C$301,"&lt;="&amp;G9,FÉRIAS!$D$2:$D$301,"&gt;="&amp;G9)=0,"",IF(COUNTIF(FOLGAS!$C$2:$C$301,G9)&gt;0,"Folga: "&amp;COUNTIF(FOLGAS!$C$2:$C$301,G9),"")&amp;IF(AND(COUNTIF(FOLGAS!$C$2:$C$301,G9)&gt;0,COUNTIFS(FÉRIAS!$C$2:$C$301,"&lt;="&amp;G9,FÉRIAS!$D$2:$D$301,"&gt;="&amp;G9)&gt;0),CHAR(10),"")&amp;IF(COUNTIFS(FÉRIAS!$C$2:$C$301,"&lt;="&amp;G9,FÉRIAS!$D$2:$D$301,"&gt;="&amp;G9)&gt;0,"Férias: "&amp;COUNTIFS(FÉRIAS!$C$2:$C$301,"&lt;="&amp;G9,FÉRIAS!$D$2:$D$301,"&gt;="&amp;G9),"")))</f>
        <v/>
      </c>
      <c r="H10" s="40" t="str">
        <f aca="false">IF(MONTH(H9)&lt;&gt;$O$4,"",IF(COUNTIF(FOLGAS!$C$2:$C$301,H9)+COUNTIFS(FÉRIAS!$C$2:$C$301,"&lt;="&amp;H9,FÉRIAS!$D$2:$D$301,"&gt;="&amp;H9)=0,"",IF(COUNTIF(FOLGAS!$C$2:$C$301,H9)&gt;0,"Folga: "&amp;COUNTIF(FOLGAS!$C$2:$C$301,H9),"")&amp;IF(AND(COUNTIF(FOLGAS!$C$2:$C$301,H9)&gt;0,COUNTIFS(FÉRIAS!$C$2:$C$301,"&lt;="&amp;H9,FÉRIAS!$D$2:$D$301,"&gt;="&amp;H9)&gt;0),CHAR(10),"")&amp;IF(COUNTIFS(FÉRIAS!$C$2:$C$301,"&lt;="&amp;H9,FÉRIAS!$D$2:$D$301,"&gt;="&amp;H9)&gt;0,"Férias: "&amp;COUNTIFS(FÉRIAS!$C$2:$C$301,"&lt;="&amp;H9,FÉRIAS!$D$2:$D$301,"&gt;="&amp;H9),"")))</f>
        <v/>
      </c>
      <c r="J10" s="16" t="str">
        <f aca="false">IF(P10="","",4)</f>
        <v/>
      </c>
      <c r="K10" s="17" t="str">
        <f aca="false">IF(P10="","",IF(4&lt;=$O$6,INDEX(FOLGAS!$A:$A,P10),INDEX(FÉRIAS!$A:$A,P10)))</f>
        <v/>
      </c>
      <c r="L10" s="16" t="str">
        <f aca="false">IF(P10="","",IF(4&lt;=$O$6,INDEX(FOLGAS!$B:$B,P10),INDEX(FÉRIAS!$B:$B,P10)))</f>
        <v/>
      </c>
      <c r="M10" s="16" t="str">
        <f aca="false">IF(P10="","",IF(4&lt;=$O$6,"Folga","Férias"))</f>
        <v/>
      </c>
      <c r="P10" s="0" t="str">
        <f aca="false">IF(4&gt;$O$6+$O$7,"",IF(4&lt;=$O$6,SMALL(FOLGAS!$L$2:$L$301,4),SMALL(FÉRIAS!$M$2:$M$301,4-$O$6)))</f>
        <v/>
      </c>
    </row>
    <row r="11" customFormat="false" ht="18" hidden="false" customHeight="true" outlineLevel="0" collapsed="false">
      <c r="B11" s="39" t="n">
        <f aca="false">$O$5+14</f>
        <v>46306</v>
      </c>
      <c r="C11" s="39" t="n">
        <f aca="false">$O$5+15</f>
        <v>46307</v>
      </c>
      <c r="D11" s="39" t="n">
        <f aca="false">$O$5+16</f>
        <v>46308</v>
      </c>
      <c r="E11" s="39" t="n">
        <f aca="false">$O$5+17</f>
        <v>46309</v>
      </c>
      <c r="F11" s="39" t="n">
        <f aca="false">$O$5+18</f>
        <v>46310</v>
      </c>
      <c r="G11" s="39" t="n">
        <f aca="false">$O$5+19</f>
        <v>46311</v>
      </c>
      <c r="H11" s="39" t="n">
        <f aca="false">$O$5+20</f>
        <v>46312</v>
      </c>
      <c r="J11" s="16" t="str">
        <f aca="false">IF(P11="","",5)</f>
        <v/>
      </c>
      <c r="K11" s="17" t="str">
        <f aca="false">IF(P11="","",IF(5&lt;=$O$6,INDEX(FOLGAS!$A:$A,P11),INDEX(FÉRIAS!$A:$A,P11)))</f>
        <v/>
      </c>
      <c r="L11" s="16" t="str">
        <f aca="false">IF(P11="","",IF(5&lt;=$O$6,INDEX(FOLGAS!$B:$B,P11),INDEX(FÉRIAS!$B:$B,P11)))</f>
        <v/>
      </c>
      <c r="M11" s="16" t="str">
        <f aca="false">IF(P11="","",IF(5&lt;=$O$6,"Folga","Férias"))</f>
        <v/>
      </c>
      <c r="P11" s="0" t="str">
        <f aca="false">IF(5&gt;$O$6+$O$7,"",IF(5&lt;=$O$6,SMALL(FOLGAS!$L$2:$L$301,5),SMALL(FÉRIAS!$M$2:$M$301,5-$O$6)))</f>
        <v/>
      </c>
    </row>
    <row r="12" customFormat="false" ht="33.75" hidden="false" customHeight="true" outlineLevel="0" collapsed="false">
      <c r="B12" s="40" t="str">
        <f aca="false">IF(MONTH(B11)&lt;&gt;$O$4,"",IF(COUNTIF(FOLGAS!$C$2:$C$301,B11)+COUNTIFS(FÉRIAS!$C$2:$C$301,"&lt;="&amp;B11,FÉRIAS!$D$2:$D$301,"&gt;="&amp;B11)=0,"",IF(COUNTIF(FOLGAS!$C$2:$C$301,B11)&gt;0,"Folga: "&amp;COUNTIF(FOLGAS!$C$2:$C$301,B11),"")&amp;IF(AND(COUNTIF(FOLGAS!$C$2:$C$301,B11)&gt;0,COUNTIFS(FÉRIAS!$C$2:$C$301,"&lt;="&amp;B11,FÉRIAS!$D$2:$D$301,"&gt;="&amp;B11)&gt;0),CHAR(10),"")&amp;IF(COUNTIFS(FÉRIAS!$C$2:$C$301,"&lt;="&amp;B11,FÉRIAS!$D$2:$D$301,"&gt;="&amp;B11)&gt;0,"Férias: "&amp;COUNTIFS(FÉRIAS!$C$2:$C$301,"&lt;="&amp;B11,FÉRIAS!$D$2:$D$301,"&gt;="&amp;B11),"")))</f>
        <v/>
      </c>
      <c r="C12" s="40" t="str">
        <f aca="false">IF(MONTH(C11)&lt;&gt;$O$4,"",IF(COUNTIF(FOLGAS!$C$2:$C$301,C11)+COUNTIFS(FÉRIAS!$C$2:$C$301,"&lt;="&amp;C11,FÉRIAS!$D$2:$D$301,"&gt;="&amp;C11)=0,"",IF(COUNTIF(FOLGAS!$C$2:$C$301,C11)&gt;0,"Folga: "&amp;COUNTIF(FOLGAS!$C$2:$C$301,C11),"")&amp;IF(AND(COUNTIF(FOLGAS!$C$2:$C$301,C11)&gt;0,COUNTIFS(FÉRIAS!$C$2:$C$301,"&lt;="&amp;C11,FÉRIAS!$D$2:$D$301,"&gt;="&amp;C11)&gt;0),CHAR(10),"")&amp;IF(COUNTIFS(FÉRIAS!$C$2:$C$301,"&lt;="&amp;C11,FÉRIAS!$D$2:$D$301,"&gt;="&amp;C11)&gt;0,"Férias: "&amp;COUNTIFS(FÉRIAS!$C$2:$C$301,"&lt;="&amp;C11,FÉRIAS!$D$2:$D$301,"&gt;="&amp;C11),"")))</f>
        <v/>
      </c>
      <c r="D12" s="40" t="str">
        <f aca="false">IF(MONTH(D11)&lt;&gt;$O$4,"",IF(COUNTIF(FOLGAS!$C$2:$C$301,D11)+COUNTIFS(FÉRIAS!$C$2:$C$301,"&lt;="&amp;D11,FÉRIAS!$D$2:$D$301,"&gt;="&amp;D11)=0,"",IF(COUNTIF(FOLGAS!$C$2:$C$301,D11)&gt;0,"Folga: "&amp;COUNTIF(FOLGAS!$C$2:$C$301,D11),"")&amp;IF(AND(COUNTIF(FOLGAS!$C$2:$C$301,D11)&gt;0,COUNTIFS(FÉRIAS!$C$2:$C$301,"&lt;="&amp;D11,FÉRIAS!$D$2:$D$301,"&gt;="&amp;D11)&gt;0),CHAR(10),"")&amp;IF(COUNTIFS(FÉRIAS!$C$2:$C$301,"&lt;="&amp;D11,FÉRIAS!$D$2:$D$301,"&gt;="&amp;D11)&gt;0,"Férias: "&amp;COUNTIFS(FÉRIAS!$C$2:$C$301,"&lt;="&amp;D11,FÉRIAS!$D$2:$D$301,"&gt;="&amp;D11),"")))</f>
        <v/>
      </c>
      <c r="E12" s="40" t="str">
        <f aca="false">IF(MONTH(E11)&lt;&gt;$O$4,"",IF(COUNTIF(FOLGAS!$C$2:$C$301,E11)+COUNTIFS(FÉRIAS!$C$2:$C$301,"&lt;="&amp;E11,FÉRIAS!$D$2:$D$301,"&gt;="&amp;E11)=0,"",IF(COUNTIF(FOLGAS!$C$2:$C$301,E11)&gt;0,"Folga: "&amp;COUNTIF(FOLGAS!$C$2:$C$301,E11),"")&amp;IF(AND(COUNTIF(FOLGAS!$C$2:$C$301,E11)&gt;0,COUNTIFS(FÉRIAS!$C$2:$C$301,"&lt;="&amp;E11,FÉRIAS!$D$2:$D$301,"&gt;="&amp;E11)&gt;0),CHAR(10),"")&amp;IF(COUNTIFS(FÉRIAS!$C$2:$C$301,"&lt;="&amp;E11,FÉRIAS!$D$2:$D$301,"&gt;="&amp;E11)&gt;0,"Férias: "&amp;COUNTIFS(FÉRIAS!$C$2:$C$301,"&lt;="&amp;E11,FÉRIAS!$D$2:$D$301,"&gt;="&amp;E11),"")))</f>
        <v/>
      </c>
      <c r="F12" s="40" t="str">
        <f aca="false">IF(MONTH(F11)&lt;&gt;$O$4,"",IF(COUNTIF(FOLGAS!$C$2:$C$301,F11)+COUNTIFS(FÉRIAS!$C$2:$C$301,"&lt;="&amp;F11,FÉRIAS!$D$2:$D$301,"&gt;="&amp;F11)=0,"",IF(COUNTIF(FOLGAS!$C$2:$C$301,F11)&gt;0,"Folga: "&amp;COUNTIF(FOLGAS!$C$2:$C$301,F11),"")&amp;IF(AND(COUNTIF(FOLGAS!$C$2:$C$301,F11)&gt;0,COUNTIFS(FÉRIAS!$C$2:$C$301,"&lt;="&amp;F11,FÉRIAS!$D$2:$D$301,"&gt;="&amp;F11)&gt;0),CHAR(10),"")&amp;IF(COUNTIFS(FÉRIAS!$C$2:$C$301,"&lt;="&amp;F11,FÉRIAS!$D$2:$D$301,"&gt;="&amp;F11)&gt;0,"Férias: "&amp;COUNTIFS(FÉRIAS!$C$2:$C$301,"&lt;="&amp;F11,FÉRIAS!$D$2:$D$301,"&gt;="&amp;F11),"")))</f>
        <v/>
      </c>
      <c r="G12" s="40" t="str">
        <f aca="false">IF(MONTH(G11)&lt;&gt;$O$4,"",IF(COUNTIF(FOLGAS!$C$2:$C$301,G11)+COUNTIFS(FÉRIAS!$C$2:$C$301,"&lt;="&amp;G11,FÉRIAS!$D$2:$D$301,"&gt;="&amp;G11)=0,"",IF(COUNTIF(FOLGAS!$C$2:$C$301,G11)&gt;0,"Folga: "&amp;COUNTIF(FOLGAS!$C$2:$C$301,G11),"")&amp;IF(AND(COUNTIF(FOLGAS!$C$2:$C$301,G11)&gt;0,COUNTIFS(FÉRIAS!$C$2:$C$301,"&lt;="&amp;G11,FÉRIAS!$D$2:$D$301,"&gt;="&amp;G11)&gt;0),CHAR(10),"")&amp;IF(COUNTIFS(FÉRIAS!$C$2:$C$301,"&lt;="&amp;G11,FÉRIAS!$D$2:$D$301,"&gt;="&amp;G11)&gt;0,"Férias: "&amp;COUNTIFS(FÉRIAS!$C$2:$C$301,"&lt;="&amp;G11,FÉRIAS!$D$2:$D$301,"&gt;="&amp;G11),"")))</f>
        <v/>
      </c>
      <c r="H12" s="40" t="str">
        <f aca="false">IF(MONTH(H11)&lt;&gt;$O$4,"",IF(COUNTIF(FOLGAS!$C$2:$C$301,H11)+COUNTIFS(FÉRIAS!$C$2:$C$301,"&lt;="&amp;H11,FÉRIAS!$D$2:$D$301,"&gt;="&amp;H11)=0,"",IF(COUNTIF(FOLGAS!$C$2:$C$301,H11)&gt;0,"Folga: "&amp;COUNTIF(FOLGAS!$C$2:$C$301,H11),"")&amp;IF(AND(COUNTIF(FOLGAS!$C$2:$C$301,H11)&gt;0,COUNTIFS(FÉRIAS!$C$2:$C$301,"&lt;="&amp;H11,FÉRIAS!$D$2:$D$301,"&gt;="&amp;H11)&gt;0),CHAR(10),"")&amp;IF(COUNTIFS(FÉRIAS!$C$2:$C$301,"&lt;="&amp;H11,FÉRIAS!$D$2:$D$301,"&gt;="&amp;H11)&gt;0,"Férias: "&amp;COUNTIFS(FÉRIAS!$C$2:$C$301,"&lt;="&amp;H11,FÉRIAS!$D$2:$D$301,"&gt;="&amp;H11),"")))</f>
        <v/>
      </c>
      <c r="J12" s="16" t="str">
        <f aca="false">IF(P12="","",6)</f>
        <v/>
      </c>
      <c r="K12" s="17" t="str">
        <f aca="false">IF(P12="","",IF(6&lt;=$O$6,INDEX(FOLGAS!$A:$A,P12),INDEX(FÉRIAS!$A:$A,P12)))</f>
        <v/>
      </c>
      <c r="L12" s="16" t="str">
        <f aca="false">IF(P12="","",IF(6&lt;=$O$6,INDEX(FOLGAS!$B:$B,P12),INDEX(FÉRIAS!$B:$B,P12)))</f>
        <v/>
      </c>
      <c r="M12" s="16" t="str">
        <f aca="false">IF(P12="","",IF(6&lt;=$O$6,"Folga","Férias"))</f>
        <v/>
      </c>
      <c r="P12" s="0" t="str">
        <f aca="false">IF(6&gt;$O$6+$O$7,"",IF(6&lt;=$O$6,SMALL(FOLGAS!$L$2:$L$301,6),SMALL(FÉRIAS!$M$2:$M$301,6-$O$6)))</f>
        <v/>
      </c>
    </row>
    <row r="13" customFormat="false" ht="18" hidden="false" customHeight="true" outlineLevel="0" collapsed="false">
      <c r="B13" s="39" t="n">
        <f aca="false">$O$5+21</f>
        <v>46313</v>
      </c>
      <c r="C13" s="39" t="n">
        <f aca="false">$O$5+22</f>
        <v>46314</v>
      </c>
      <c r="D13" s="39" t="n">
        <f aca="false">$O$5+23</f>
        <v>46315</v>
      </c>
      <c r="E13" s="39" t="n">
        <f aca="false">$O$5+24</f>
        <v>46316</v>
      </c>
      <c r="F13" s="39" t="n">
        <f aca="false">$O$5+25</f>
        <v>46317</v>
      </c>
      <c r="G13" s="39" t="n">
        <f aca="false">$O$5+26</f>
        <v>46318</v>
      </c>
      <c r="H13" s="39" t="n">
        <f aca="false">$O$5+27</f>
        <v>46319</v>
      </c>
      <c r="J13" s="16" t="str">
        <f aca="false">IF(P13="","",7)</f>
        <v/>
      </c>
      <c r="K13" s="17" t="str">
        <f aca="false">IF(P13="","",IF(7&lt;=$O$6,INDEX(FOLGAS!$A:$A,P13),INDEX(FÉRIAS!$A:$A,P13)))</f>
        <v/>
      </c>
      <c r="L13" s="16" t="str">
        <f aca="false">IF(P13="","",IF(7&lt;=$O$6,INDEX(FOLGAS!$B:$B,P13),INDEX(FÉRIAS!$B:$B,P13)))</f>
        <v/>
      </c>
      <c r="M13" s="16" t="str">
        <f aca="false">IF(P13="","",IF(7&lt;=$O$6,"Folga","Férias"))</f>
        <v/>
      </c>
      <c r="P13" s="0" t="str">
        <f aca="false">IF(7&gt;$O$6+$O$7,"",IF(7&lt;=$O$6,SMALL(FOLGAS!$L$2:$L$301,7),SMALL(FÉRIAS!$M$2:$M$301,7-$O$6)))</f>
        <v/>
      </c>
    </row>
    <row r="14" customFormat="false" ht="33.75" hidden="false" customHeight="true" outlineLevel="0" collapsed="false">
      <c r="B14" s="40" t="str">
        <f aca="false">IF(MONTH(B13)&lt;&gt;$O$4,"",IF(COUNTIF(FOLGAS!$C$2:$C$301,B13)+COUNTIFS(FÉRIAS!$C$2:$C$301,"&lt;="&amp;B13,FÉRIAS!$D$2:$D$301,"&gt;="&amp;B13)=0,"",IF(COUNTIF(FOLGAS!$C$2:$C$301,B13)&gt;0,"Folga: "&amp;COUNTIF(FOLGAS!$C$2:$C$301,B13),"")&amp;IF(AND(COUNTIF(FOLGAS!$C$2:$C$301,B13)&gt;0,COUNTIFS(FÉRIAS!$C$2:$C$301,"&lt;="&amp;B13,FÉRIAS!$D$2:$D$301,"&gt;="&amp;B13)&gt;0),CHAR(10),"")&amp;IF(COUNTIFS(FÉRIAS!$C$2:$C$301,"&lt;="&amp;B13,FÉRIAS!$D$2:$D$301,"&gt;="&amp;B13)&gt;0,"Férias: "&amp;COUNTIFS(FÉRIAS!$C$2:$C$301,"&lt;="&amp;B13,FÉRIAS!$D$2:$D$301,"&gt;="&amp;B13),"")))</f>
        <v/>
      </c>
      <c r="C14" s="40" t="str">
        <f aca="false">IF(MONTH(C13)&lt;&gt;$O$4,"",IF(COUNTIF(FOLGAS!$C$2:$C$301,C13)+COUNTIFS(FÉRIAS!$C$2:$C$301,"&lt;="&amp;C13,FÉRIAS!$D$2:$D$301,"&gt;="&amp;C13)=0,"",IF(COUNTIF(FOLGAS!$C$2:$C$301,C13)&gt;0,"Folga: "&amp;COUNTIF(FOLGAS!$C$2:$C$301,C13),"")&amp;IF(AND(COUNTIF(FOLGAS!$C$2:$C$301,C13)&gt;0,COUNTIFS(FÉRIAS!$C$2:$C$301,"&lt;="&amp;C13,FÉRIAS!$D$2:$D$301,"&gt;="&amp;C13)&gt;0),CHAR(10),"")&amp;IF(COUNTIFS(FÉRIAS!$C$2:$C$301,"&lt;="&amp;C13,FÉRIAS!$D$2:$D$301,"&gt;="&amp;C13)&gt;0,"Férias: "&amp;COUNTIFS(FÉRIAS!$C$2:$C$301,"&lt;="&amp;C13,FÉRIAS!$D$2:$D$301,"&gt;="&amp;C13),"")))</f>
        <v>Férias: 1</v>
      </c>
      <c r="D14" s="40" t="str">
        <f aca="false">IF(MONTH(D13)&lt;&gt;$O$4,"",IF(COUNTIF(FOLGAS!$C$2:$C$301,D13)+COUNTIFS(FÉRIAS!$C$2:$C$301,"&lt;="&amp;D13,FÉRIAS!$D$2:$D$301,"&gt;="&amp;D13)=0,"",IF(COUNTIF(FOLGAS!$C$2:$C$301,D13)&gt;0,"Folga: "&amp;COUNTIF(FOLGAS!$C$2:$C$301,D13),"")&amp;IF(AND(COUNTIF(FOLGAS!$C$2:$C$301,D13)&gt;0,COUNTIFS(FÉRIAS!$C$2:$C$301,"&lt;="&amp;D13,FÉRIAS!$D$2:$D$301,"&gt;="&amp;D13)&gt;0),CHAR(10),"")&amp;IF(COUNTIFS(FÉRIAS!$C$2:$C$301,"&lt;="&amp;D13,FÉRIAS!$D$2:$D$301,"&gt;="&amp;D13)&gt;0,"Férias: "&amp;COUNTIFS(FÉRIAS!$C$2:$C$301,"&lt;="&amp;D13,FÉRIAS!$D$2:$D$301,"&gt;="&amp;D13),"")))</f>
        <v>Férias: 1</v>
      </c>
      <c r="E14" s="40" t="str">
        <f aca="false">IF(MONTH(E13)&lt;&gt;$O$4,"",IF(COUNTIF(FOLGAS!$C$2:$C$301,E13)+COUNTIFS(FÉRIAS!$C$2:$C$301,"&lt;="&amp;E13,FÉRIAS!$D$2:$D$301,"&gt;="&amp;E13)=0,"",IF(COUNTIF(FOLGAS!$C$2:$C$301,E13)&gt;0,"Folga: "&amp;COUNTIF(FOLGAS!$C$2:$C$301,E13),"")&amp;IF(AND(COUNTIF(FOLGAS!$C$2:$C$301,E13)&gt;0,COUNTIFS(FÉRIAS!$C$2:$C$301,"&lt;="&amp;E13,FÉRIAS!$D$2:$D$301,"&gt;="&amp;E13)&gt;0),CHAR(10),"")&amp;IF(COUNTIFS(FÉRIAS!$C$2:$C$301,"&lt;="&amp;E13,FÉRIAS!$D$2:$D$301,"&gt;="&amp;E13)&gt;0,"Férias: "&amp;COUNTIFS(FÉRIAS!$C$2:$C$301,"&lt;="&amp;E13,FÉRIAS!$D$2:$D$301,"&gt;="&amp;E13),"")))</f>
        <v>Férias: 1</v>
      </c>
      <c r="F14" s="40" t="str">
        <f aca="false">IF(MONTH(F13)&lt;&gt;$O$4,"",IF(COUNTIF(FOLGAS!$C$2:$C$301,F13)+COUNTIFS(FÉRIAS!$C$2:$C$301,"&lt;="&amp;F13,FÉRIAS!$D$2:$D$301,"&gt;="&amp;F13)=0,"",IF(COUNTIF(FOLGAS!$C$2:$C$301,F13)&gt;0,"Folga: "&amp;COUNTIF(FOLGAS!$C$2:$C$301,F13),"")&amp;IF(AND(COUNTIF(FOLGAS!$C$2:$C$301,F13)&gt;0,COUNTIFS(FÉRIAS!$C$2:$C$301,"&lt;="&amp;F13,FÉRIAS!$D$2:$D$301,"&gt;="&amp;F13)&gt;0),CHAR(10),"")&amp;IF(COUNTIFS(FÉRIAS!$C$2:$C$301,"&lt;="&amp;F13,FÉRIAS!$D$2:$D$301,"&gt;="&amp;F13)&gt;0,"Férias: "&amp;COUNTIFS(FÉRIAS!$C$2:$C$301,"&lt;="&amp;F13,FÉRIAS!$D$2:$D$301,"&gt;="&amp;F13),"")))</f>
        <v>Férias: 1</v>
      </c>
      <c r="G14" s="40" t="str">
        <f aca="false">IF(MONTH(G13)&lt;&gt;$O$4,"",IF(COUNTIF(FOLGAS!$C$2:$C$301,G13)+COUNTIFS(FÉRIAS!$C$2:$C$301,"&lt;="&amp;G13,FÉRIAS!$D$2:$D$301,"&gt;="&amp;G13)=0,"",IF(COUNTIF(FOLGAS!$C$2:$C$301,G13)&gt;0,"Folga: "&amp;COUNTIF(FOLGAS!$C$2:$C$301,G13),"")&amp;IF(AND(COUNTIF(FOLGAS!$C$2:$C$301,G13)&gt;0,COUNTIFS(FÉRIAS!$C$2:$C$301,"&lt;="&amp;G13,FÉRIAS!$D$2:$D$301,"&gt;="&amp;G13)&gt;0),CHAR(10),"")&amp;IF(COUNTIFS(FÉRIAS!$C$2:$C$301,"&lt;="&amp;G13,FÉRIAS!$D$2:$D$301,"&gt;="&amp;G13)&gt;0,"Férias: "&amp;COUNTIFS(FÉRIAS!$C$2:$C$301,"&lt;="&amp;G13,FÉRIAS!$D$2:$D$301,"&gt;="&amp;G13),"")))</f>
        <v>Férias: 1</v>
      </c>
      <c r="H14" s="40" t="str">
        <f aca="false">IF(MONTH(H13)&lt;&gt;$O$4,"",IF(COUNTIF(FOLGAS!$C$2:$C$301,H13)+COUNTIFS(FÉRIAS!$C$2:$C$301,"&lt;="&amp;H13,FÉRIAS!$D$2:$D$301,"&gt;="&amp;H13)=0,"",IF(COUNTIF(FOLGAS!$C$2:$C$301,H13)&gt;0,"Folga: "&amp;COUNTIF(FOLGAS!$C$2:$C$301,H13),"")&amp;IF(AND(COUNTIF(FOLGAS!$C$2:$C$301,H13)&gt;0,COUNTIFS(FÉRIAS!$C$2:$C$301,"&lt;="&amp;H13,FÉRIAS!$D$2:$D$301,"&gt;="&amp;H13)&gt;0),CHAR(10),"")&amp;IF(COUNTIFS(FÉRIAS!$C$2:$C$301,"&lt;="&amp;H13,FÉRIAS!$D$2:$D$301,"&gt;="&amp;H13)&gt;0,"Férias: "&amp;COUNTIFS(FÉRIAS!$C$2:$C$301,"&lt;="&amp;H13,FÉRIAS!$D$2:$D$301,"&gt;="&amp;H13),"")))</f>
        <v>Férias: 1</v>
      </c>
      <c r="J14" s="16" t="str">
        <f aca="false">IF(P14="","",8)</f>
        <v/>
      </c>
      <c r="K14" s="17" t="str">
        <f aca="false">IF(P14="","",IF(8&lt;=$O$6,INDEX(FOLGAS!$A:$A,P14),INDEX(FÉRIAS!$A:$A,P14)))</f>
        <v/>
      </c>
      <c r="L14" s="16" t="str">
        <f aca="false">IF(P14="","",IF(8&lt;=$O$6,INDEX(FOLGAS!$B:$B,P14),INDEX(FÉRIAS!$B:$B,P14)))</f>
        <v/>
      </c>
      <c r="M14" s="16" t="str">
        <f aca="false">IF(P14="","",IF(8&lt;=$O$6,"Folga","Férias"))</f>
        <v/>
      </c>
      <c r="P14" s="0" t="str">
        <f aca="false">IF(8&gt;$O$6+$O$7,"",IF(8&lt;=$O$6,SMALL(FOLGAS!$L$2:$L$301,8),SMALL(FÉRIAS!$M$2:$M$301,8-$O$6)))</f>
        <v/>
      </c>
    </row>
    <row r="15" customFormat="false" ht="18" hidden="false" customHeight="true" outlineLevel="0" collapsed="false">
      <c r="B15" s="39" t="n">
        <f aca="false">$O$5+28</f>
        <v>46320</v>
      </c>
      <c r="C15" s="39" t="n">
        <f aca="false">$O$5+29</f>
        <v>46321</v>
      </c>
      <c r="D15" s="39" t="n">
        <f aca="false">$O$5+30</f>
        <v>46322</v>
      </c>
      <c r="E15" s="39" t="n">
        <f aca="false">$O$5+31</f>
        <v>46323</v>
      </c>
      <c r="F15" s="39" t="n">
        <f aca="false">$O$5+32</f>
        <v>46324</v>
      </c>
      <c r="G15" s="39" t="n">
        <f aca="false">$O$5+33</f>
        <v>46325</v>
      </c>
      <c r="H15" s="39" t="n">
        <f aca="false">$O$5+34</f>
        <v>46326</v>
      </c>
      <c r="J15" s="16" t="str">
        <f aca="false">IF(P15="","",9)</f>
        <v/>
      </c>
      <c r="K15" s="17" t="str">
        <f aca="false">IF(P15="","",IF(9&lt;=$O$6,INDEX(FOLGAS!$A:$A,P15),INDEX(FÉRIAS!$A:$A,P15)))</f>
        <v/>
      </c>
      <c r="L15" s="16" t="str">
        <f aca="false">IF(P15="","",IF(9&lt;=$O$6,INDEX(FOLGAS!$B:$B,P15),INDEX(FÉRIAS!$B:$B,P15)))</f>
        <v/>
      </c>
      <c r="M15" s="16" t="str">
        <f aca="false">IF(P15="","",IF(9&lt;=$O$6,"Folga","Férias"))</f>
        <v/>
      </c>
      <c r="P15" s="0" t="str">
        <f aca="false">IF(9&gt;$O$6+$O$7,"",IF(9&lt;=$O$6,SMALL(FOLGAS!$L$2:$L$301,9),SMALL(FÉRIAS!$M$2:$M$301,9-$O$6)))</f>
        <v/>
      </c>
    </row>
    <row r="16" customFormat="false" ht="33.75" hidden="false" customHeight="true" outlineLevel="0" collapsed="false">
      <c r="B16" s="40" t="str">
        <f aca="false">IF(MONTH(B15)&lt;&gt;$O$4,"",IF(COUNTIF(FOLGAS!$C$2:$C$301,B15)+COUNTIFS(FÉRIAS!$C$2:$C$301,"&lt;="&amp;B15,FÉRIAS!$D$2:$D$301,"&gt;="&amp;B15)=0,"",IF(COUNTIF(FOLGAS!$C$2:$C$301,B15)&gt;0,"Folga: "&amp;COUNTIF(FOLGAS!$C$2:$C$301,B15),"")&amp;IF(AND(COUNTIF(FOLGAS!$C$2:$C$301,B15)&gt;0,COUNTIFS(FÉRIAS!$C$2:$C$301,"&lt;="&amp;B15,FÉRIAS!$D$2:$D$301,"&gt;="&amp;B15)&gt;0),CHAR(10),"")&amp;IF(COUNTIFS(FÉRIAS!$C$2:$C$301,"&lt;="&amp;B15,FÉRIAS!$D$2:$D$301,"&gt;="&amp;B15)&gt;0,"Férias: "&amp;COUNTIFS(FÉRIAS!$C$2:$C$301,"&lt;="&amp;B15,FÉRIAS!$D$2:$D$301,"&gt;="&amp;B15),"")))</f>
        <v>Férias: 1</v>
      </c>
      <c r="C16" s="40" t="str">
        <f aca="false">IF(MONTH(C15)&lt;&gt;$O$4,"",IF(COUNTIF(FOLGAS!$C$2:$C$301,C15)+COUNTIFS(FÉRIAS!$C$2:$C$301,"&lt;="&amp;C15,FÉRIAS!$D$2:$D$301,"&gt;="&amp;C15)=0,"",IF(COUNTIF(FOLGAS!$C$2:$C$301,C15)&gt;0,"Folga: "&amp;COUNTIF(FOLGAS!$C$2:$C$301,C15),"")&amp;IF(AND(COUNTIF(FOLGAS!$C$2:$C$301,C15)&gt;0,COUNTIFS(FÉRIAS!$C$2:$C$301,"&lt;="&amp;C15,FÉRIAS!$D$2:$D$301,"&gt;="&amp;C15)&gt;0),CHAR(10),"")&amp;IF(COUNTIFS(FÉRIAS!$C$2:$C$301,"&lt;="&amp;C15,FÉRIAS!$D$2:$D$301,"&gt;="&amp;C15)&gt;0,"Férias: "&amp;COUNTIFS(FÉRIAS!$C$2:$C$301,"&lt;="&amp;C15,FÉRIAS!$D$2:$D$301,"&gt;="&amp;C15),"")))</f>
        <v>Férias: 1</v>
      </c>
      <c r="D16" s="40" t="str">
        <f aca="false">IF(MONTH(D15)&lt;&gt;$O$4,"",IF(COUNTIF(FOLGAS!$C$2:$C$301,D15)+COUNTIFS(FÉRIAS!$C$2:$C$301,"&lt;="&amp;D15,FÉRIAS!$D$2:$D$301,"&gt;="&amp;D15)=0,"",IF(COUNTIF(FOLGAS!$C$2:$C$301,D15)&gt;0,"Folga: "&amp;COUNTIF(FOLGAS!$C$2:$C$301,D15),"")&amp;IF(AND(COUNTIF(FOLGAS!$C$2:$C$301,D15)&gt;0,COUNTIFS(FÉRIAS!$C$2:$C$301,"&lt;="&amp;D15,FÉRIAS!$D$2:$D$301,"&gt;="&amp;D15)&gt;0),CHAR(10),"")&amp;IF(COUNTIFS(FÉRIAS!$C$2:$C$301,"&lt;="&amp;D15,FÉRIAS!$D$2:$D$301,"&gt;="&amp;D15)&gt;0,"Férias: "&amp;COUNTIFS(FÉRIAS!$C$2:$C$301,"&lt;="&amp;D15,FÉRIAS!$D$2:$D$301,"&gt;="&amp;D15),"")))</f>
        <v>Férias: 1</v>
      </c>
      <c r="E16" s="40" t="str">
        <f aca="false">IF(MONTH(E15)&lt;&gt;$O$4,"",IF(COUNTIF(FOLGAS!$C$2:$C$301,E15)+COUNTIFS(FÉRIAS!$C$2:$C$301,"&lt;="&amp;E15,FÉRIAS!$D$2:$D$301,"&gt;="&amp;E15)=0,"",IF(COUNTIF(FOLGAS!$C$2:$C$301,E15)&gt;0,"Folga: "&amp;COUNTIF(FOLGAS!$C$2:$C$301,E15),"")&amp;IF(AND(COUNTIF(FOLGAS!$C$2:$C$301,E15)&gt;0,COUNTIFS(FÉRIAS!$C$2:$C$301,"&lt;="&amp;E15,FÉRIAS!$D$2:$D$301,"&gt;="&amp;E15)&gt;0),CHAR(10),"")&amp;IF(COUNTIFS(FÉRIAS!$C$2:$C$301,"&lt;="&amp;E15,FÉRIAS!$D$2:$D$301,"&gt;="&amp;E15)&gt;0,"Férias: "&amp;COUNTIFS(FÉRIAS!$C$2:$C$301,"&lt;="&amp;E15,FÉRIAS!$D$2:$D$301,"&gt;="&amp;E15),"")))</f>
        <v>Férias: 1</v>
      </c>
      <c r="F16" s="40" t="str">
        <f aca="false">IF(MONTH(F15)&lt;&gt;$O$4,"",IF(COUNTIF(FOLGAS!$C$2:$C$301,F15)+COUNTIFS(FÉRIAS!$C$2:$C$301,"&lt;="&amp;F15,FÉRIAS!$D$2:$D$301,"&gt;="&amp;F15)=0,"",IF(COUNTIF(FOLGAS!$C$2:$C$301,F15)&gt;0,"Folga: "&amp;COUNTIF(FOLGAS!$C$2:$C$301,F15),"")&amp;IF(AND(COUNTIF(FOLGAS!$C$2:$C$301,F15)&gt;0,COUNTIFS(FÉRIAS!$C$2:$C$301,"&lt;="&amp;F15,FÉRIAS!$D$2:$D$301,"&gt;="&amp;F15)&gt;0),CHAR(10),"")&amp;IF(COUNTIFS(FÉRIAS!$C$2:$C$301,"&lt;="&amp;F15,FÉRIAS!$D$2:$D$301,"&gt;="&amp;F15)&gt;0,"Férias: "&amp;COUNTIFS(FÉRIAS!$C$2:$C$301,"&lt;="&amp;F15,FÉRIAS!$D$2:$D$301,"&gt;="&amp;F15),"")))</f>
        <v>Férias: 1</v>
      </c>
      <c r="G16" s="40" t="str">
        <f aca="false">IF(MONTH(G15)&lt;&gt;$O$4,"",IF(COUNTIF(FOLGAS!$C$2:$C$301,G15)+COUNTIFS(FÉRIAS!$C$2:$C$301,"&lt;="&amp;G15,FÉRIAS!$D$2:$D$301,"&gt;="&amp;G15)=0,"",IF(COUNTIF(FOLGAS!$C$2:$C$301,G15)&gt;0,"Folga: "&amp;COUNTIF(FOLGAS!$C$2:$C$301,G15),"")&amp;IF(AND(COUNTIF(FOLGAS!$C$2:$C$301,G15)&gt;0,COUNTIFS(FÉRIAS!$C$2:$C$301,"&lt;="&amp;G15,FÉRIAS!$D$2:$D$301,"&gt;="&amp;G15)&gt;0),CHAR(10),"")&amp;IF(COUNTIFS(FÉRIAS!$C$2:$C$301,"&lt;="&amp;G15,FÉRIAS!$D$2:$D$301,"&gt;="&amp;G15)&gt;0,"Férias: "&amp;COUNTIFS(FÉRIAS!$C$2:$C$301,"&lt;="&amp;G15,FÉRIAS!$D$2:$D$301,"&gt;="&amp;G15),"")))</f>
        <v>Férias: 1</v>
      </c>
      <c r="H16" s="40" t="str">
        <f aca="false">IF(MONTH(H15)&lt;&gt;$O$4,"",IF(COUNTIF(FOLGAS!$C$2:$C$301,H15)+COUNTIFS(FÉRIAS!$C$2:$C$301,"&lt;="&amp;H15,FÉRIAS!$D$2:$D$301,"&gt;="&amp;H15)=0,"",IF(COUNTIF(FOLGAS!$C$2:$C$301,H15)&gt;0,"Folga: "&amp;COUNTIF(FOLGAS!$C$2:$C$301,H15),"")&amp;IF(AND(COUNTIF(FOLGAS!$C$2:$C$301,H15)&gt;0,COUNTIFS(FÉRIAS!$C$2:$C$301,"&lt;="&amp;H15,FÉRIAS!$D$2:$D$301,"&gt;="&amp;H15)&gt;0),CHAR(10),"")&amp;IF(COUNTIFS(FÉRIAS!$C$2:$C$301,"&lt;="&amp;H15,FÉRIAS!$D$2:$D$301,"&gt;="&amp;H15)&gt;0,"Férias: "&amp;COUNTIFS(FÉRIAS!$C$2:$C$301,"&lt;="&amp;H15,FÉRIAS!$D$2:$D$301,"&gt;="&amp;H15),"")))</f>
        <v>Férias: 1</v>
      </c>
      <c r="J16" s="16" t="str">
        <f aca="false">IF(P16="","",10)</f>
        <v/>
      </c>
      <c r="K16" s="17" t="str">
        <f aca="false">IF(P16="","",IF(10&lt;=$O$6,INDEX(FOLGAS!$A:$A,P16),INDEX(FÉRIAS!$A:$A,P16)))</f>
        <v/>
      </c>
      <c r="L16" s="16" t="str">
        <f aca="false">IF(P16="","",IF(10&lt;=$O$6,INDEX(FOLGAS!$B:$B,P16),INDEX(FÉRIAS!$B:$B,P16)))</f>
        <v/>
      </c>
      <c r="M16" s="16" t="str">
        <f aca="false">IF(P16="","",IF(10&lt;=$O$6,"Folga","Férias"))</f>
        <v/>
      </c>
      <c r="P16" s="0" t="str">
        <f aca="false">IF(10&gt;$O$6+$O$7,"",IF(10&lt;=$O$6,SMALL(FOLGAS!$L$2:$L$301,10),SMALL(FÉRIAS!$M$2:$M$301,10-$O$6)))</f>
        <v/>
      </c>
    </row>
    <row r="17" customFormat="false" ht="18" hidden="false" customHeight="true" outlineLevel="0" collapsed="false">
      <c r="B17" s="39" t="n">
        <f aca="false">$O$5+35</f>
        <v>46327</v>
      </c>
      <c r="C17" s="39" t="n">
        <f aca="false">$O$5+36</f>
        <v>46328</v>
      </c>
      <c r="D17" s="39" t="n">
        <f aca="false">$O$5+37</f>
        <v>46329</v>
      </c>
      <c r="E17" s="39" t="n">
        <f aca="false">$O$5+38</f>
        <v>46330</v>
      </c>
      <c r="F17" s="39" t="n">
        <f aca="false">$O$5+39</f>
        <v>46331</v>
      </c>
      <c r="G17" s="39" t="n">
        <f aca="false">$O$5+40</f>
        <v>46332</v>
      </c>
      <c r="H17" s="39" t="n">
        <f aca="false">$O$5+41</f>
        <v>46333</v>
      </c>
      <c r="J17" s="16" t="str">
        <f aca="false">IF(P17="","",11)</f>
        <v/>
      </c>
      <c r="K17" s="17" t="str">
        <f aca="false">IF(P17="","",IF(11&lt;=$O$6,INDEX(FOLGAS!$A:$A,P17),INDEX(FÉRIAS!$A:$A,P17)))</f>
        <v/>
      </c>
      <c r="L17" s="16" t="str">
        <f aca="false">IF(P17="","",IF(11&lt;=$O$6,INDEX(FOLGAS!$B:$B,P17),INDEX(FÉRIAS!$B:$B,P17)))</f>
        <v/>
      </c>
      <c r="M17" s="16" t="str">
        <f aca="false">IF(P17="","",IF(11&lt;=$O$6,"Folga","Férias"))</f>
        <v/>
      </c>
      <c r="P17" s="0" t="str">
        <f aca="false">IF(11&gt;$O$6+$O$7,"",IF(11&lt;=$O$6,SMALL(FOLGAS!$L$2:$L$301,11),SMALL(FÉRIAS!$M$2:$M$301,11-$O$6)))</f>
        <v/>
      </c>
    </row>
    <row r="18" customFormat="false" ht="33.75" hidden="false" customHeight="true" outlineLevel="0" collapsed="false">
      <c r="B18" s="40" t="str">
        <f aca="false">IF(MONTH(B17)&lt;&gt;$O$4,"",IF(COUNTIF(FOLGAS!$C$2:$C$301,B17)+COUNTIFS(FÉRIAS!$C$2:$C$301,"&lt;="&amp;B17,FÉRIAS!$D$2:$D$301,"&gt;="&amp;B17)=0,"",IF(COUNTIF(FOLGAS!$C$2:$C$301,B17)&gt;0,"Folga: "&amp;COUNTIF(FOLGAS!$C$2:$C$301,B17),"")&amp;IF(AND(COUNTIF(FOLGAS!$C$2:$C$301,B17)&gt;0,COUNTIFS(FÉRIAS!$C$2:$C$301,"&lt;="&amp;B17,FÉRIAS!$D$2:$D$301,"&gt;="&amp;B17)&gt;0),CHAR(10),"")&amp;IF(COUNTIFS(FÉRIAS!$C$2:$C$301,"&lt;="&amp;B17,FÉRIAS!$D$2:$D$301,"&gt;="&amp;B17)&gt;0,"Férias: "&amp;COUNTIFS(FÉRIAS!$C$2:$C$301,"&lt;="&amp;B17,FÉRIAS!$D$2:$D$301,"&gt;="&amp;B17),"")))</f>
        <v/>
      </c>
      <c r="C18" s="40" t="str">
        <f aca="false">IF(MONTH(C17)&lt;&gt;$O$4,"",IF(COUNTIF(FOLGAS!$C$2:$C$301,C17)+COUNTIFS(FÉRIAS!$C$2:$C$301,"&lt;="&amp;C17,FÉRIAS!$D$2:$D$301,"&gt;="&amp;C17)=0,"",IF(COUNTIF(FOLGAS!$C$2:$C$301,C17)&gt;0,"Folga: "&amp;COUNTIF(FOLGAS!$C$2:$C$301,C17),"")&amp;IF(AND(COUNTIF(FOLGAS!$C$2:$C$301,C17)&gt;0,COUNTIFS(FÉRIAS!$C$2:$C$301,"&lt;="&amp;C17,FÉRIAS!$D$2:$D$301,"&gt;="&amp;C17)&gt;0),CHAR(10),"")&amp;IF(COUNTIFS(FÉRIAS!$C$2:$C$301,"&lt;="&amp;C17,FÉRIAS!$D$2:$D$301,"&gt;="&amp;C17)&gt;0,"Férias: "&amp;COUNTIFS(FÉRIAS!$C$2:$C$301,"&lt;="&amp;C17,FÉRIAS!$D$2:$D$301,"&gt;="&amp;C17),"")))</f>
        <v/>
      </c>
      <c r="D18" s="40" t="str">
        <f aca="false">IF(MONTH(D17)&lt;&gt;$O$4,"",IF(COUNTIF(FOLGAS!$C$2:$C$301,D17)+COUNTIFS(FÉRIAS!$C$2:$C$301,"&lt;="&amp;D17,FÉRIAS!$D$2:$D$301,"&gt;="&amp;D17)=0,"",IF(COUNTIF(FOLGAS!$C$2:$C$301,D17)&gt;0,"Folga: "&amp;COUNTIF(FOLGAS!$C$2:$C$301,D17),"")&amp;IF(AND(COUNTIF(FOLGAS!$C$2:$C$301,D17)&gt;0,COUNTIFS(FÉRIAS!$C$2:$C$301,"&lt;="&amp;D17,FÉRIAS!$D$2:$D$301,"&gt;="&amp;D17)&gt;0),CHAR(10),"")&amp;IF(COUNTIFS(FÉRIAS!$C$2:$C$301,"&lt;="&amp;D17,FÉRIAS!$D$2:$D$301,"&gt;="&amp;D17)&gt;0,"Férias: "&amp;COUNTIFS(FÉRIAS!$C$2:$C$301,"&lt;="&amp;D17,FÉRIAS!$D$2:$D$301,"&gt;="&amp;D17),"")))</f>
        <v/>
      </c>
      <c r="E18" s="40" t="str">
        <f aca="false">IF(MONTH(E17)&lt;&gt;$O$4,"",IF(COUNTIF(FOLGAS!$C$2:$C$301,E17)+COUNTIFS(FÉRIAS!$C$2:$C$301,"&lt;="&amp;E17,FÉRIAS!$D$2:$D$301,"&gt;="&amp;E17)=0,"",IF(COUNTIF(FOLGAS!$C$2:$C$301,E17)&gt;0,"Folga: "&amp;COUNTIF(FOLGAS!$C$2:$C$301,E17),"")&amp;IF(AND(COUNTIF(FOLGAS!$C$2:$C$301,E17)&gt;0,COUNTIFS(FÉRIAS!$C$2:$C$301,"&lt;="&amp;E17,FÉRIAS!$D$2:$D$301,"&gt;="&amp;E17)&gt;0),CHAR(10),"")&amp;IF(COUNTIFS(FÉRIAS!$C$2:$C$301,"&lt;="&amp;E17,FÉRIAS!$D$2:$D$301,"&gt;="&amp;E17)&gt;0,"Férias: "&amp;COUNTIFS(FÉRIAS!$C$2:$C$301,"&lt;="&amp;E17,FÉRIAS!$D$2:$D$301,"&gt;="&amp;E17),"")))</f>
        <v/>
      </c>
      <c r="F18" s="40" t="str">
        <f aca="false">IF(MONTH(F17)&lt;&gt;$O$4,"",IF(COUNTIF(FOLGAS!$C$2:$C$301,F17)+COUNTIFS(FÉRIAS!$C$2:$C$301,"&lt;="&amp;F17,FÉRIAS!$D$2:$D$301,"&gt;="&amp;F17)=0,"",IF(COUNTIF(FOLGAS!$C$2:$C$301,F17)&gt;0,"Folga: "&amp;COUNTIF(FOLGAS!$C$2:$C$301,F17),"")&amp;IF(AND(COUNTIF(FOLGAS!$C$2:$C$301,F17)&gt;0,COUNTIFS(FÉRIAS!$C$2:$C$301,"&lt;="&amp;F17,FÉRIAS!$D$2:$D$301,"&gt;="&amp;F17)&gt;0),CHAR(10),"")&amp;IF(COUNTIFS(FÉRIAS!$C$2:$C$301,"&lt;="&amp;F17,FÉRIAS!$D$2:$D$301,"&gt;="&amp;F17)&gt;0,"Férias: "&amp;COUNTIFS(FÉRIAS!$C$2:$C$301,"&lt;="&amp;F17,FÉRIAS!$D$2:$D$301,"&gt;="&amp;F17),"")))</f>
        <v/>
      </c>
      <c r="G18" s="40" t="str">
        <f aca="false">IF(MONTH(G17)&lt;&gt;$O$4,"",IF(COUNTIF(FOLGAS!$C$2:$C$301,G17)+COUNTIFS(FÉRIAS!$C$2:$C$301,"&lt;="&amp;G17,FÉRIAS!$D$2:$D$301,"&gt;="&amp;G17)=0,"",IF(COUNTIF(FOLGAS!$C$2:$C$301,G17)&gt;0,"Folga: "&amp;COUNTIF(FOLGAS!$C$2:$C$301,G17),"")&amp;IF(AND(COUNTIF(FOLGAS!$C$2:$C$301,G17)&gt;0,COUNTIFS(FÉRIAS!$C$2:$C$301,"&lt;="&amp;G17,FÉRIAS!$D$2:$D$301,"&gt;="&amp;G17)&gt;0),CHAR(10),"")&amp;IF(COUNTIFS(FÉRIAS!$C$2:$C$301,"&lt;="&amp;G17,FÉRIAS!$D$2:$D$301,"&gt;="&amp;G17)&gt;0,"Férias: "&amp;COUNTIFS(FÉRIAS!$C$2:$C$301,"&lt;="&amp;G17,FÉRIAS!$D$2:$D$301,"&gt;="&amp;G17),"")))</f>
        <v/>
      </c>
      <c r="H18" s="40" t="str">
        <f aca="false">IF(MONTH(H17)&lt;&gt;$O$4,"",IF(COUNTIF(FOLGAS!$C$2:$C$301,H17)+COUNTIFS(FÉRIAS!$C$2:$C$301,"&lt;="&amp;H17,FÉRIAS!$D$2:$D$301,"&gt;="&amp;H17)=0,"",IF(COUNTIF(FOLGAS!$C$2:$C$301,H17)&gt;0,"Folga: "&amp;COUNTIF(FOLGAS!$C$2:$C$301,H17),"")&amp;IF(AND(COUNTIF(FOLGAS!$C$2:$C$301,H17)&gt;0,COUNTIFS(FÉRIAS!$C$2:$C$301,"&lt;="&amp;H17,FÉRIAS!$D$2:$D$301,"&gt;="&amp;H17)&gt;0),CHAR(10),"")&amp;IF(COUNTIFS(FÉRIAS!$C$2:$C$301,"&lt;="&amp;H17,FÉRIAS!$D$2:$D$301,"&gt;="&amp;H17)&gt;0,"Férias: "&amp;COUNTIFS(FÉRIAS!$C$2:$C$301,"&lt;="&amp;H17,FÉRIAS!$D$2:$D$301,"&gt;="&amp;H17),"")))</f>
        <v/>
      </c>
      <c r="J18" s="16" t="str">
        <f aca="false">IF(P18="","",12)</f>
        <v/>
      </c>
      <c r="K18" s="17" t="str">
        <f aca="false">IF(P18="","",IF(12&lt;=$O$6,INDEX(FOLGAS!$A:$A,P18),INDEX(FÉRIAS!$A:$A,P18)))</f>
        <v/>
      </c>
      <c r="L18" s="16" t="str">
        <f aca="false">IF(P18="","",IF(12&lt;=$O$6,INDEX(FOLGAS!$B:$B,P18),INDEX(FÉRIAS!$B:$B,P18)))</f>
        <v/>
      </c>
      <c r="M18" s="16" t="str">
        <f aca="false">IF(P18="","",IF(12&lt;=$O$6,"Folga","Férias"))</f>
        <v/>
      </c>
      <c r="P18" s="0" t="str">
        <f aca="false">IF(12&gt;$O$6+$O$7,"",IF(12&lt;=$O$6,SMALL(FOLGAS!$L$2:$L$301,12),SMALL(FÉRIAS!$M$2:$M$301,12-$O$6)))</f>
        <v/>
      </c>
    </row>
    <row r="19" customFormat="false" ht="15" hidden="false" customHeight="false" outlineLevel="0" collapsed="false">
      <c r="J19" s="16" t="str">
        <f aca="false">IF(P19="","",13)</f>
        <v/>
      </c>
      <c r="K19" s="17" t="str">
        <f aca="false">IF(P19="","",IF(13&lt;=$O$6,INDEX(FOLGAS!$A:$A,P19),INDEX(FÉRIAS!$A:$A,P19)))</f>
        <v/>
      </c>
      <c r="L19" s="16" t="str">
        <f aca="false">IF(P19="","",IF(13&lt;=$O$6,INDEX(FOLGAS!$B:$B,P19),INDEX(FÉRIAS!$B:$B,P19)))</f>
        <v/>
      </c>
      <c r="M19" s="16" t="str">
        <f aca="false">IF(P19="","",IF(13&lt;=$O$6,"Folga","Férias"))</f>
        <v/>
      </c>
      <c r="P19" s="0" t="str">
        <f aca="false">IF(13&gt;$O$6+$O$7,"",IF(13&lt;=$O$6,SMALL(FOLGAS!$L$2:$L$301,13),SMALL(FÉRIAS!$M$2:$M$301,13-$O$6)))</f>
        <v/>
      </c>
    </row>
    <row r="20" customFormat="false" ht="15" hidden="false" customHeight="false" outlineLevel="0" collapsed="false">
      <c r="B20" s="41" t="s">
        <v>41</v>
      </c>
      <c r="C20" s="42" t="s">
        <v>42</v>
      </c>
      <c r="D20" s="43" t="s">
        <v>43</v>
      </c>
      <c r="E20" s="44" t="s">
        <v>44</v>
      </c>
      <c r="F20" s="45" t="s">
        <v>45</v>
      </c>
      <c r="J20" s="16" t="str">
        <f aca="false">IF(P20="","",14)</f>
        <v/>
      </c>
      <c r="K20" s="17" t="str">
        <f aca="false">IF(P20="","",IF(14&lt;=$O$6,INDEX(FOLGAS!$A:$A,P20),INDEX(FÉRIAS!$A:$A,P20)))</f>
        <v/>
      </c>
      <c r="L20" s="16" t="str">
        <f aca="false">IF(P20="","",IF(14&lt;=$O$6,INDEX(FOLGAS!$B:$B,P20),INDEX(FÉRIAS!$B:$B,P20)))</f>
        <v/>
      </c>
      <c r="M20" s="16" t="str">
        <f aca="false">IF(P20="","",IF(14&lt;=$O$6,"Folga","Férias"))</f>
        <v/>
      </c>
      <c r="P20" s="0" t="str">
        <f aca="false">IF(14&gt;$O$6+$O$7,"",IF(14&lt;=$O$6,SMALL(FOLGAS!$L$2:$L$301,14),SMALL(FÉRIAS!$M$2:$M$301,14-$O$6)))</f>
        <v/>
      </c>
    </row>
    <row r="21" customFormat="false" ht="15" hidden="false" customHeight="false" outlineLevel="0" collapsed="false">
      <c r="J21" s="16" t="str">
        <f aca="false">IF(P21="","",15)</f>
        <v/>
      </c>
      <c r="K21" s="17" t="str">
        <f aca="false">IF(P21="","",IF(15&lt;=$O$6,INDEX(FOLGAS!$A:$A,P21),INDEX(FÉRIAS!$A:$A,P21)))</f>
        <v/>
      </c>
      <c r="L21" s="16" t="str">
        <f aca="false">IF(P21="","",IF(15&lt;=$O$6,INDEX(FOLGAS!$B:$B,P21),INDEX(FÉRIAS!$B:$B,P21)))</f>
        <v/>
      </c>
      <c r="M21" s="16" t="str">
        <f aca="false">IF(P21="","",IF(15&lt;=$O$6,"Folga","Férias"))</f>
        <v/>
      </c>
      <c r="P21" s="0" t="str">
        <f aca="false">IF(15&gt;$O$6+$O$7,"",IF(15&lt;=$O$6,SMALL(FOLGAS!$L$2:$L$301,15),SMALL(FÉRIAS!$M$2:$M$301,15-$O$6)))</f>
        <v/>
      </c>
    </row>
    <row r="22" customFormat="false" ht="15" hidden="false" customHeight="false" outlineLevel="0" collapsed="false">
      <c r="J22" s="16" t="str">
        <f aca="false">IF(P22="","",16)</f>
        <v/>
      </c>
      <c r="K22" s="17" t="str">
        <f aca="false">IF(P22="","",IF(16&lt;=$O$6,INDEX(FOLGAS!$A:$A,P22),INDEX(FÉRIAS!$A:$A,P22)))</f>
        <v/>
      </c>
      <c r="L22" s="16" t="str">
        <f aca="false">IF(P22="","",IF(16&lt;=$O$6,INDEX(FOLGAS!$B:$B,P22),INDEX(FÉRIAS!$B:$B,P22)))</f>
        <v/>
      </c>
      <c r="M22" s="16" t="str">
        <f aca="false">IF(P22="","",IF(16&lt;=$O$6,"Folga","Férias"))</f>
        <v/>
      </c>
      <c r="P22" s="0" t="str">
        <f aca="false">IF(16&gt;$O$6+$O$7,"",IF(16&lt;=$O$6,SMALL(FOLGAS!$L$2:$L$301,16),SMALL(FÉRIAS!$M$2:$M$301,16-$O$6)))</f>
        <v/>
      </c>
    </row>
    <row r="23" customFormat="false" ht="15" hidden="false" customHeight="false" outlineLevel="0" collapsed="false">
      <c r="J23" s="16" t="str">
        <f aca="false">IF(P23="","",17)</f>
        <v/>
      </c>
      <c r="K23" s="17" t="str">
        <f aca="false">IF(P23="","",IF(17&lt;=$O$6,INDEX(FOLGAS!$A:$A,P23),INDEX(FÉRIAS!$A:$A,P23)))</f>
        <v/>
      </c>
      <c r="L23" s="16" t="str">
        <f aca="false">IF(P23="","",IF(17&lt;=$O$6,INDEX(FOLGAS!$B:$B,P23),INDEX(FÉRIAS!$B:$B,P23)))</f>
        <v/>
      </c>
      <c r="M23" s="16" t="str">
        <f aca="false">IF(P23="","",IF(17&lt;=$O$6,"Folga","Férias"))</f>
        <v/>
      </c>
      <c r="P23" s="0" t="str">
        <f aca="false">IF(17&gt;$O$6+$O$7,"",IF(17&lt;=$O$6,SMALL(FOLGAS!$L$2:$L$301,17),SMALL(FÉRIAS!$M$2:$M$301,17-$O$6)))</f>
        <v/>
      </c>
    </row>
    <row r="24" customFormat="false" ht="15" hidden="false" customHeight="false" outlineLevel="0" collapsed="false">
      <c r="J24" s="16" t="str">
        <f aca="false">IF(P24="","",18)</f>
        <v/>
      </c>
      <c r="K24" s="17" t="str">
        <f aca="false">IF(P24="","",IF(18&lt;=$O$6,INDEX(FOLGAS!$A:$A,P24),INDEX(FÉRIAS!$A:$A,P24)))</f>
        <v/>
      </c>
      <c r="L24" s="16" t="str">
        <f aca="false">IF(P24="","",IF(18&lt;=$O$6,INDEX(FOLGAS!$B:$B,P24),INDEX(FÉRIAS!$B:$B,P24)))</f>
        <v/>
      </c>
      <c r="M24" s="16" t="str">
        <f aca="false">IF(P24="","",IF(18&lt;=$O$6,"Folga","Férias"))</f>
        <v/>
      </c>
      <c r="P24" s="0" t="str">
        <f aca="false">IF(18&gt;$O$6+$O$7,"",IF(18&lt;=$O$6,SMALL(FOLGAS!$L$2:$L$301,18),SMALL(FÉRIAS!$M$2:$M$301,18-$O$6)))</f>
        <v/>
      </c>
    </row>
    <row r="25" customFormat="false" ht="15" hidden="false" customHeight="false" outlineLevel="0" collapsed="false">
      <c r="J25" s="16" t="str">
        <f aca="false">IF(P25="","",19)</f>
        <v/>
      </c>
      <c r="K25" s="17" t="str">
        <f aca="false">IF(P25="","",IF(19&lt;=$O$6,INDEX(FOLGAS!$A:$A,P25),INDEX(FÉRIAS!$A:$A,P25)))</f>
        <v/>
      </c>
      <c r="L25" s="16" t="str">
        <f aca="false">IF(P25="","",IF(19&lt;=$O$6,INDEX(FOLGAS!$B:$B,P25),INDEX(FÉRIAS!$B:$B,P25)))</f>
        <v/>
      </c>
      <c r="M25" s="16" t="str">
        <f aca="false">IF(P25="","",IF(19&lt;=$O$6,"Folga","Férias"))</f>
        <v/>
      </c>
      <c r="P25" s="0" t="str">
        <f aca="false">IF(19&gt;$O$6+$O$7,"",IF(19&lt;=$O$6,SMALL(FOLGAS!$L$2:$L$301,19),SMALL(FÉRIAS!$M$2:$M$301,19-$O$6)))</f>
        <v/>
      </c>
    </row>
    <row r="26" customFormat="false" ht="15" hidden="false" customHeight="false" outlineLevel="0" collapsed="false">
      <c r="J26" s="16" t="str">
        <f aca="false">IF(P26="","",20)</f>
        <v/>
      </c>
      <c r="K26" s="17" t="str">
        <f aca="false">IF(P26="","",IF(20&lt;=$O$6,INDEX(FOLGAS!$A:$A,P26),INDEX(FÉRIAS!$A:$A,P26)))</f>
        <v/>
      </c>
      <c r="L26" s="16" t="str">
        <f aca="false">IF(P26="","",IF(20&lt;=$O$6,INDEX(FOLGAS!$B:$B,P26),INDEX(FÉRIAS!$B:$B,P26)))</f>
        <v/>
      </c>
      <c r="M26" s="16" t="str">
        <f aca="false">IF(P26="","",IF(20&lt;=$O$6,"Folga","Férias"))</f>
        <v/>
      </c>
      <c r="P26" s="0" t="str">
        <f aca="false">IF(20&gt;$O$6+$O$7,"",IF(20&lt;=$O$6,SMALL(FOLGAS!$L$2:$L$301,20),SMALL(FÉRIAS!$M$2:$M$301,20-$O$6)))</f>
        <v/>
      </c>
    </row>
    <row r="27" customFormat="false" ht="15" hidden="false" customHeight="false" outlineLevel="0" collapsed="false">
      <c r="J27" s="20" t="str">
        <f aca="false">IF($O$6+$O$7=0,"Ninguém de folga ou férias nesta data.",IF($O$6+$O$7&gt;20,"... e mais "&amp;($O$6+$O$7-20)&amp;" pessoa(s).",""))</f>
        <v>Ninguém de folga ou férias nesta data.</v>
      </c>
      <c r="K27" s="20"/>
      <c r="L27" s="20"/>
      <c r="M27" s="20"/>
    </row>
  </sheetData>
  <mergeCells count="5">
    <mergeCell ref="B2:H2"/>
    <mergeCell ref="J2:M2"/>
    <mergeCell ref="C4:D4"/>
    <mergeCell ref="J4:K4"/>
    <mergeCell ref="J27:M27"/>
  </mergeCells>
  <conditionalFormatting sqref="B7:H18">
    <cfRule type="expression" priority="2" aboveAverage="0" equalAverage="0" bottom="0" percent="0" rank="0" text="" dxfId="3">
      <formula>MONTH(IF(MOD(ROW(),2)=1,B7,B6))&lt;&gt;$O$4</formula>
    </cfRule>
    <cfRule type="expression" priority="3" aboveAverage="0" equalAverage="0" bottom="0" percent="0" rank="0" text="" dxfId="4">
      <formula>IF(MOD(ROW(),2)=1,B7,B6)=TODAY()</formula>
    </cfRule>
    <cfRule type="expression" priority="4" aboveAverage="0" equalAverage="0" bottom="0" percent="0" rank="0" text="" dxfId="5">
      <formula>IF(MOD(ROW(),2)=1,B7,B6)=$L$4</formula>
    </cfRule>
  </conditionalFormatting>
  <conditionalFormatting sqref="B8:H18">
    <cfRule type="expression" priority="5" aboveAverage="0" equalAverage="0" bottom="0" percent="0" rank="0" text="" dxfId="6">
      <formula>B8&lt;&gt;""</formula>
    </cfRule>
  </conditionalFormatting>
  <conditionalFormatting sqref="B7:H17">
    <cfRule type="expression" priority="6" aboveAverage="0" equalAverage="0" bottom="0" percent="0" rank="0" text="" dxfId="7">
      <formula>AND(MOD(ROW(),2)=1,B8&lt;&gt;"")</formula>
    </cfRule>
  </conditionalFormatting>
  <conditionalFormatting sqref="M7:M26">
    <cfRule type="expression" priority="7" aboveAverage="0" equalAverage="0" bottom="0" percent="0" rank="0" text="" dxfId="0">
      <formula>M7="Folga"</formula>
    </cfRule>
    <cfRule type="expression" priority="8" aboveAverage="0" equalAverage="0" bottom="0" percent="0" rank="0" text="" dxfId="1">
      <formula>M7="Férias"</formula>
    </cfRule>
  </conditionalFormatting>
  <dataValidations count="3">
    <dataValidation allowBlank="false" errorStyle="stop" operator="between" prompt="Escolha o mês para visualizar. Para voltar ao mês atual, apague a célula e digite: =INDEX(LISTAS!$D$2:$D$13;MÊS(HOJE()))" promptTitle="Mês" showDropDown="false" showErrorMessage="false" showInputMessage="true" sqref="C4" type="list">
      <formula1>LISTAS!$D$2:$D$13</formula1>
      <formula2>0</formula2>
    </dataValidation>
    <dataValidation allowBlank="false" errorStyle="stop" operator="between" prompt="Digite o ano (ex.: 2026). Padrão: ano atual." promptTitle="Ano" showDropDown="false" showErrorMessage="false" showInputMessage="true" sqref="F4" type="whole">
      <formula1>2020</formula1>
      <formula2>2100</formula2>
    </dataValidation>
    <dataValidation allowBlank="true" error="Digite uma data válida no formato dd/mm/aaaa." errorStyle="stop" errorTitle="Data inválida" operator="between" prompt="Digite a data a consultar (dd/mm/aaaa). Para voltar a 'hoje', digite =HOJE()" promptTitle="Data" showDropDown="false" showErrorMessage="true" showInputMessage="true" sqref="L4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L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0" activeCellId="0" sqref="D20"/>
    </sheetView>
  </sheetViews>
  <sheetFormatPr defaultColWidth="8.6953125" defaultRowHeight="15" zeroHeight="false" outlineLevelRow="0" outlineLevelCol="0"/>
  <cols>
    <col collapsed="false" customWidth="true" hidden="false" outlineLevel="0" max="1" min="1" style="46" width="32"/>
    <col collapsed="false" customWidth="true" hidden="false" outlineLevel="0" max="2" min="2" style="46" width="24"/>
    <col collapsed="false" customWidth="true" hidden="false" outlineLevel="0" max="3" min="3" style="46" width="19.99"/>
    <col collapsed="false" customWidth="true" hidden="false" outlineLevel="0" max="4" min="4" style="46" width="44.9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4"/>
    <col collapsed="false" customWidth="true" hidden="true" outlineLevel="0" max="12" min="10" style="0" width="13"/>
  </cols>
  <sheetData>
    <row r="1" customFormat="false" ht="31.5" hidden="false" customHeight="true" outlineLevel="0" collapsed="false">
      <c r="A1" s="47" t="s">
        <v>11</v>
      </c>
      <c r="B1" s="47" t="s">
        <v>12</v>
      </c>
      <c r="C1" s="47" t="s">
        <v>46</v>
      </c>
      <c r="D1" s="47" t="s">
        <v>14</v>
      </c>
      <c r="E1" s="47" t="s">
        <v>47</v>
      </c>
      <c r="F1" s="47" t="s">
        <v>20</v>
      </c>
      <c r="G1" s="47" t="s">
        <v>24</v>
      </c>
      <c r="J1" s="48" t="s">
        <v>48</v>
      </c>
      <c r="K1" s="48" t="s">
        <v>49</v>
      </c>
      <c r="L1" s="48" t="s">
        <v>50</v>
      </c>
    </row>
    <row r="2" customFormat="false" ht="13.5" hidden="false" customHeight="true" outlineLevel="0" collapsed="false">
      <c r="A2" s="49" t="s">
        <v>51</v>
      </c>
      <c r="B2" s="50" t="s">
        <v>52</v>
      </c>
      <c r="C2" s="51"/>
      <c r="D2" s="52"/>
      <c r="E2" s="53" t="str">
        <f aca="false">IF(ISNUMBER(C2),CHOOSE(WEEKDAY(C2),"Domingo","Segunda","Terça","Quarta","Quinta","Sexta","Sábado"),"")</f>
        <v/>
      </c>
      <c r="F2" s="53" t="str">
        <f aca="true">IF(NOT(ISNUMBER(C2)),"",IF(C2=TODAY(),"HOJE",IF(C2=TODAY()+1,"AMANHÃ",IF(C2&lt;TODAY(),"Realizada",IF(C2-TODAY()&lt;=7,"Em "&amp;(C2-TODAY())&amp;" dias","Agendada")))))</f>
        <v/>
      </c>
      <c r="G2" s="53" t="str">
        <f aca="false">IF(OR(A2="",NOT(ISNUMBER(C2))),"",IF(COUNTIFS($A$2:$A$301,A2,$C$2:$C$301,C2)&gt;1,"⚠ Folga duplicada",IF(COUNTIFS($B$2:$B$301,B2,$C$2:$C$301,C2)&gt;1,"⚠ "&amp;COUNTIFS($B$2:$B$301,B2,$C$2:$C$301,C2)&amp;" pessoas do setor de folga no dia","")))</f>
        <v/>
      </c>
      <c r="J2" s="0" t="str">
        <f aca="true">IF(AND(ISNUMBER(C2),C2=TODAY()),C2+ROW()/100000,"")</f>
        <v/>
      </c>
      <c r="K2" s="0" t="str">
        <f aca="true">IF(AND(ISNUMBER(C2),C2&gt;TODAY(),C2&lt;=TODAY()+7),C2+ROW()/100000,"")</f>
        <v/>
      </c>
      <c r="L2" s="0" t="str">
        <f aca="false">IF(AND(ISNUMBER(C2),C2=CALENDÁRIO!$L$4),ROW(),"")</f>
        <v/>
      </c>
    </row>
    <row r="3" customFormat="false" ht="13.5" hidden="false" customHeight="true" outlineLevel="0" collapsed="false">
      <c r="A3" s="49" t="s">
        <v>53</v>
      </c>
      <c r="B3" s="50" t="s">
        <v>52</v>
      </c>
      <c r="C3" s="51"/>
      <c r="D3" s="52"/>
      <c r="E3" s="53" t="str">
        <f aca="false">IF(ISNUMBER(C3),CHOOSE(WEEKDAY(C3),"Domingo","Segunda","Terça","Quarta","Quinta","Sexta","Sábado"),"")</f>
        <v/>
      </c>
      <c r="F3" s="53" t="str">
        <f aca="true">IF(NOT(ISNUMBER(C3)),"",IF(C3=TODAY(),"HOJE",IF(C3=TODAY()+1,"AMANHÃ",IF(C3&lt;TODAY(),"Realizada",IF(C3-TODAY()&lt;=7,"Em "&amp;(C3-TODAY())&amp;" dias","Agendada")))))</f>
        <v/>
      </c>
      <c r="G3" s="53" t="str">
        <f aca="false">IF(OR(A3="",NOT(ISNUMBER(C3))),"",IF(COUNTIFS($A$2:$A$301,A3,$C$2:$C$301,C3)&gt;1,"⚠ Folga duplicada",IF(COUNTIFS($B$2:$B$301,B3,$C$2:$C$301,C3)&gt;1,"⚠ "&amp;COUNTIFS($B$2:$B$301,B3,$C$2:$C$301,C3)&amp;" pessoas do setor de folga no dia","")))</f>
        <v/>
      </c>
      <c r="J3" s="0" t="str">
        <f aca="true">IF(AND(ISNUMBER(C3),C3=TODAY()),C3+ROW()/100000,"")</f>
        <v/>
      </c>
      <c r="K3" s="0" t="str">
        <f aca="true">IF(AND(ISNUMBER(C3),C3&gt;TODAY(),C3&lt;=TODAY()+7),C3+ROW()/100000,"")</f>
        <v/>
      </c>
      <c r="L3" s="0" t="str">
        <f aca="false">IF(AND(ISNUMBER(C3),C3=CALENDÁRIO!$L$4),ROW(),"")</f>
        <v/>
      </c>
    </row>
    <row r="4" customFormat="false" ht="13.5" hidden="false" customHeight="true" outlineLevel="0" collapsed="false">
      <c r="A4" s="49" t="s">
        <v>54</v>
      </c>
      <c r="B4" s="50" t="s">
        <v>55</v>
      </c>
      <c r="C4" s="51"/>
      <c r="D4" s="52"/>
      <c r="E4" s="53" t="str">
        <f aca="false">IF(ISNUMBER(C4),CHOOSE(WEEKDAY(C4),"Domingo","Segunda","Terça","Quarta","Quinta","Sexta","Sábado"),"")</f>
        <v/>
      </c>
      <c r="F4" s="53" t="str">
        <f aca="true">IF(NOT(ISNUMBER(C4)),"",IF(C4=TODAY(),"HOJE",IF(C4=TODAY()+1,"AMANHÃ",IF(C4&lt;TODAY(),"Realizada",IF(C4-TODAY()&lt;=7,"Em "&amp;(C4-TODAY())&amp;" dias","Agendada")))))</f>
        <v/>
      </c>
      <c r="G4" s="53" t="str">
        <f aca="false">IF(OR(A4="",NOT(ISNUMBER(C4))),"",IF(COUNTIFS($A$2:$A$301,A4,$C$2:$C$301,C4)&gt;1,"⚠ Folga duplicada",IF(COUNTIFS($B$2:$B$301,B4,$C$2:$C$301,C4)&gt;1,"⚠ "&amp;COUNTIFS($B$2:$B$301,B4,$C$2:$C$301,C4)&amp;" pessoas do setor de folga no dia","")))</f>
        <v/>
      </c>
      <c r="J4" s="0" t="str">
        <f aca="true">IF(AND(ISNUMBER(C4),C4=TODAY()),C4+ROW()/100000,"")</f>
        <v/>
      </c>
      <c r="K4" s="0" t="str">
        <f aca="true">IF(AND(ISNUMBER(C4),C4&gt;TODAY(),C4&lt;=TODAY()+7),C4+ROW()/100000,"")</f>
        <v/>
      </c>
      <c r="L4" s="0" t="str">
        <f aca="false">IF(AND(ISNUMBER(C4),C4=CALENDÁRIO!$L$4),ROW(),"")</f>
        <v/>
      </c>
    </row>
    <row r="5" customFormat="false" ht="13.5" hidden="false" customHeight="true" outlineLevel="0" collapsed="false">
      <c r="A5" s="49" t="s">
        <v>56</v>
      </c>
      <c r="B5" s="50" t="s">
        <v>52</v>
      </c>
      <c r="C5" s="51"/>
      <c r="D5" s="52"/>
      <c r="E5" s="53" t="str">
        <f aca="false">IF(ISNUMBER(C5),CHOOSE(WEEKDAY(C5),"Domingo","Segunda","Terça","Quarta","Quinta","Sexta","Sábado"),"")</f>
        <v/>
      </c>
      <c r="F5" s="53" t="str">
        <f aca="true">IF(NOT(ISNUMBER(C5)),"",IF(C5=TODAY(),"HOJE",IF(C5=TODAY()+1,"AMANHÃ",IF(C5&lt;TODAY(),"Realizada",IF(C5-TODAY()&lt;=7,"Em "&amp;(C5-TODAY())&amp;" dias","Agendada")))))</f>
        <v/>
      </c>
      <c r="G5" s="53" t="str">
        <f aca="false">IF(OR(A5="",NOT(ISNUMBER(C5))),"",IF(COUNTIFS($A$2:$A$301,A5,$C$2:$C$301,C5)&gt;1,"⚠ Folga duplicada",IF(COUNTIFS($B$2:$B$301,B5,$C$2:$C$301,C5)&gt;1,"⚠ "&amp;COUNTIFS($B$2:$B$301,B5,$C$2:$C$301,C5)&amp;" pessoas do setor de folga no dia","")))</f>
        <v/>
      </c>
      <c r="J5" s="0" t="str">
        <f aca="true">IF(AND(ISNUMBER(C5),C5=TODAY()),C5+ROW()/100000,"")</f>
        <v/>
      </c>
      <c r="K5" s="0" t="str">
        <f aca="true">IF(AND(ISNUMBER(C5),C5&gt;TODAY(),C5&lt;=TODAY()+7),C5+ROW()/100000,"")</f>
        <v/>
      </c>
      <c r="L5" s="0" t="str">
        <f aca="false">IF(AND(ISNUMBER(C5),C5=CALENDÁRIO!$L$4),ROW(),"")</f>
        <v/>
      </c>
    </row>
    <row r="6" customFormat="false" ht="13.5" hidden="false" customHeight="true" outlineLevel="0" collapsed="false">
      <c r="A6" s="49" t="s">
        <v>57</v>
      </c>
      <c r="B6" s="50" t="s">
        <v>55</v>
      </c>
      <c r="C6" s="51"/>
      <c r="D6" s="52"/>
      <c r="E6" s="53" t="str">
        <f aca="false">IF(ISNUMBER(C6),CHOOSE(WEEKDAY(C6),"Domingo","Segunda","Terça","Quarta","Quinta","Sexta","Sábado"),"")</f>
        <v/>
      </c>
      <c r="F6" s="53" t="str">
        <f aca="true">IF(NOT(ISNUMBER(C6)),"",IF(C6=TODAY(),"HOJE",IF(C6=TODAY()+1,"AMANHÃ",IF(C6&lt;TODAY(),"Realizada",IF(C6-TODAY()&lt;=7,"Em "&amp;(C6-TODAY())&amp;" dias","Agendada")))))</f>
        <v/>
      </c>
      <c r="G6" s="53" t="str">
        <f aca="false">IF(OR(A6="",NOT(ISNUMBER(C6))),"",IF(COUNTIFS($A$2:$A$301,A6,$C$2:$C$301,C6)&gt;1,"⚠ Folga duplicada",IF(COUNTIFS($B$2:$B$301,B6,$C$2:$C$301,C6)&gt;1,"⚠ "&amp;COUNTIFS($B$2:$B$301,B6,$C$2:$C$301,C6)&amp;" pessoas do setor de folga no dia","")))</f>
        <v/>
      </c>
      <c r="J6" s="0" t="str">
        <f aca="true">IF(AND(ISNUMBER(C6),C6=TODAY()),C6+ROW()/100000,"")</f>
        <v/>
      </c>
      <c r="K6" s="0" t="str">
        <f aca="true">IF(AND(ISNUMBER(C6),C6&gt;TODAY(),C6&lt;=TODAY()+7),C6+ROW()/100000,"")</f>
        <v/>
      </c>
      <c r="L6" s="0" t="str">
        <f aca="false">IF(AND(ISNUMBER(C6),C6=CALENDÁRIO!$L$4),ROW(),"")</f>
        <v/>
      </c>
    </row>
    <row r="7" customFormat="false" ht="13.5" hidden="false" customHeight="true" outlineLevel="0" collapsed="false">
      <c r="A7" s="49" t="s">
        <v>58</v>
      </c>
      <c r="B7" s="50" t="s">
        <v>55</v>
      </c>
      <c r="C7" s="51"/>
      <c r="D7" s="52"/>
      <c r="E7" s="53" t="str">
        <f aca="false">IF(ISNUMBER(C7),CHOOSE(WEEKDAY(C7),"Domingo","Segunda","Terça","Quarta","Quinta","Sexta","Sábado"),"")</f>
        <v/>
      </c>
      <c r="F7" s="53" t="str">
        <f aca="true">IF(NOT(ISNUMBER(C7)),"",IF(C7=TODAY(),"HOJE",IF(C7=TODAY()+1,"AMANHÃ",IF(C7&lt;TODAY(),"Realizada",IF(C7-TODAY()&lt;=7,"Em "&amp;(C7-TODAY())&amp;" dias","Agendada")))))</f>
        <v/>
      </c>
      <c r="G7" s="53" t="str">
        <f aca="false">IF(OR(A7="",NOT(ISNUMBER(C7))),"",IF(COUNTIFS($A$2:$A$301,A7,$C$2:$C$301,C7)&gt;1,"⚠ Folga duplicada",IF(COUNTIFS($B$2:$B$301,B7,$C$2:$C$301,C7)&gt;1,"⚠ "&amp;COUNTIFS($B$2:$B$301,B7,$C$2:$C$301,C7)&amp;" pessoas do setor de folga no dia","")))</f>
        <v/>
      </c>
      <c r="J7" s="0" t="str">
        <f aca="true">IF(AND(ISNUMBER(C7),C7=TODAY()),C7+ROW()/100000,"")</f>
        <v/>
      </c>
      <c r="K7" s="0" t="str">
        <f aca="true">IF(AND(ISNUMBER(C7),C7&gt;TODAY(),C7&lt;=TODAY()+7),C7+ROW()/100000,"")</f>
        <v/>
      </c>
      <c r="L7" s="0" t="str">
        <f aca="false">IF(AND(ISNUMBER(C7),C7=CALENDÁRIO!$L$4),ROW(),"")</f>
        <v/>
      </c>
    </row>
    <row r="8" customFormat="false" ht="13.5" hidden="false" customHeight="true" outlineLevel="0" collapsed="false">
      <c r="A8" s="49" t="s">
        <v>59</v>
      </c>
      <c r="B8" s="50" t="s">
        <v>52</v>
      </c>
      <c r="C8" s="51"/>
      <c r="D8" s="52"/>
      <c r="E8" s="53" t="str">
        <f aca="false">IF(ISNUMBER(C8),CHOOSE(WEEKDAY(C8),"Domingo","Segunda","Terça","Quarta","Quinta","Sexta","Sábado"),"")</f>
        <v/>
      </c>
      <c r="F8" s="53" t="str">
        <f aca="true">IF(NOT(ISNUMBER(C8)),"",IF(C8=TODAY(),"HOJE",IF(C8=TODAY()+1,"AMANHÃ",IF(C8&lt;TODAY(),"Realizada",IF(C8-TODAY()&lt;=7,"Em "&amp;(C8-TODAY())&amp;" dias","Agendada")))))</f>
        <v/>
      </c>
      <c r="G8" s="53" t="str">
        <f aca="false">IF(OR(A8="",NOT(ISNUMBER(C8))),"",IF(COUNTIFS($A$2:$A$301,A8,$C$2:$C$301,C8)&gt;1,"⚠ Folga duplicada",IF(COUNTIFS($B$2:$B$301,B8,$C$2:$C$301,C8)&gt;1,"⚠ "&amp;COUNTIFS($B$2:$B$301,B8,$C$2:$C$301,C8)&amp;" pessoas do setor de folga no dia","")))</f>
        <v/>
      </c>
      <c r="J8" s="0" t="str">
        <f aca="true">IF(AND(ISNUMBER(C8),C8=TODAY()),C8+ROW()/100000,"")</f>
        <v/>
      </c>
      <c r="K8" s="0" t="str">
        <f aca="true">IF(AND(ISNUMBER(C8),C8&gt;TODAY(),C8&lt;=TODAY()+7),C8+ROW()/100000,"")</f>
        <v/>
      </c>
      <c r="L8" s="0" t="str">
        <f aca="false">IF(AND(ISNUMBER(C8),C8=CALENDÁRIO!$L$4),ROW(),"")</f>
        <v/>
      </c>
    </row>
    <row r="9" customFormat="false" ht="13.5" hidden="false" customHeight="true" outlineLevel="0" collapsed="false">
      <c r="A9" s="49" t="s">
        <v>60</v>
      </c>
      <c r="B9" s="50" t="s">
        <v>52</v>
      </c>
      <c r="C9" s="51"/>
      <c r="D9" s="52"/>
      <c r="E9" s="53" t="str">
        <f aca="false">IF(ISNUMBER(C9),CHOOSE(WEEKDAY(C9),"Domingo","Segunda","Terça","Quarta","Quinta","Sexta","Sábado"),"")</f>
        <v/>
      </c>
      <c r="F9" s="53" t="str">
        <f aca="true">IF(NOT(ISNUMBER(C9)),"",IF(C9=TODAY(),"HOJE",IF(C9=TODAY()+1,"AMANHÃ",IF(C9&lt;TODAY(),"Realizada",IF(C9-TODAY()&lt;=7,"Em "&amp;(C9-TODAY())&amp;" dias","Agendada")))))</f>
        <v/>
      </c>
      <c r="G9" s="53" t="str">
        <f aca="false">IF(OR(A9="",NOT(ISNUMBER(C9))),"",IF(COUNTIFS($A$2:$A$301,A9,$C$2:$C$301,C9)&gt;1,"⚠ Folga duplicada",IF(COUNTIFS($B$2:$B$301,B9,$C$2:$C$301,C9)&gt;1,"⚠ "&amp;COUNTIFS($B$2:$B$301,B9,$C$2:$C$301,C9)&amp;" pessoas do setor de folga no dia","")))</f>
        <v/>
      </c>
      <c r="J9" s="0" t="str">
        <f aca="true">IF(AND(ISNUMBER(C9),C9=TODAY()),C9+ROW()/100000,"")</f>
        <v/>
      </c>
      <c r="K9" s="0" t="str">
        <f aca="true">IF(AND(ISNUMBER(C9),C9&gt;TODAY(),C9&lt;=TODAY()+7),C9+ROW()/100000,"")</f>
        <v/>
      </c>
      <c r="L9" s="0" t="str">
        <f aca="false">IF(AND(ISNUMBER(C9),C9=CALENDÁRIO!$L$4),ROW(),"")</f>
        <v/>
      </c>
    </row>
    <row r="10" customFormat="false" ht="15" hidden="false" customHeight="true" outlineLevel="0" collapsed="false">
      <c r="A10" s="54" t="s">
        <v>61</v>
      </c>
      <c r="B10" s="50" t="s">
        <v>62</v>
      </c>
      <c r="C10" s="51"/>
      <c r="D10" s="52"/>
      <c r="E10" s="53" t="str">
        <f aca="false">IF(ISNUMBER(C10),CHOOSE(WEEKDAY(C10),"Domingo","Segunda","Terça","Quarta","Quinta","Sexta","Sábado"),"")</f>
        <v/>
      </c>
      <c r="F10" s="53" t="str">
        <f aca="true">IF(NOT(ISNUMBER(C10)),"",IF(C10=TODAY(),"HOJE",IF(C10=TODAY()+1,"AMANHÃ",IF(C10&lt;TODAY(),"Realizada",IF(C10-TODAY()&lt;=7,"Em "&amp;(C10-TODAY())&amp;" dias","Agendada")))))</f>
        <v/>
      </c>
      <c r="G10" s="53" t="str">
        <f aca="false">IF(OR(A10="",NOT(ISNUMBER(C10))),"",IF(COUNTIFS($A$2:$A$301,A10,$C$2:$C$301,C10)&gt;1,"⚠ Folga duplicada",IF(COUNTIFS($B$2:$B$301,B10,$C$2:$C$301,C10)&gt;1,"⚠ "&amp;COUNTIFS($B$2:$B$301,B10,$C$2:$C$301,C10)&amp;" pessoas do setor de folga no dia","")))</f>
        <v/>
      </c>
      <c r="J10" s="0" t="str">
        <f aca="true">IF(AND(ISNUMBER(C10),C10=TODAY()),C10+ROW()/100000,"")</f>
        <v/>
      </c>
      <c r="K10" s="0" t="str">
        <f aca="true">IF(AND(ISNUMBER(C10),C10&gt;TODAY(),C10&lt;=TODAY()+7),C10+ROW()/100000,"")</f>
        <v/>
      </c>
      <c r="L10" s="0" t="str">
        <f aca="false">IF(AND(ISNUMBER(C10),C10=CALENDÁRIO!$L$4),ROW(),"")</f>
        <v/>
      </c>
    </row>
    <row r="11" customFormat="false" ht="15" hidden="false" customHeight="true" outlineLevel="0" collapsed="false">
      <c r="A11" s="55" t="s">
        <v>63</v>
      </c>
      <c r="B11" s="50" t="s">
        <v>62</v>
      </c>
      <c r="C11" s="51"/>
      <c r="D11" s="52"/>
      <c r="E11" s="53" t="str">
        <f aca="false">IF(ISNUMBER(C11),CHOOSE(WEEKDAY(C11),"Domingo","Segunda","Terça","Quarta","Quinta","Sexta","Sábado"),"")</f>
        <v/>
      </c>
      <c r="F11" s="53" t="str">
        <f aca="true">IF(NOT(ISNUMBER(C11)),"",IF(C11=TODAY(),"HOJE",IF(C11=TODAY()+1,"AMANHÃ",IF(C11&lt;TODAY(),"Realizada",IF(C11-TODAY()&lt;=7,"Em "&amp;(C11-TODAY())&amp;" dias","Agendada")))))</f>
        <v/>
      </c>
      <c r="G11" s="53" t="str">
        <f aca="false">IF(OR(A11="",NOT(ISNUMBER(C11))),"",IF(COUNTIFS($A$2:$A$301,A11,$C$2:$C$301,C11)&gt;1,"⚠ Folga duplicada",IF(COUNTIFS($B$2:$B$301,B11,$C$2:$C$301,C11)&gt;1,"⚠ "&amp;COUNTIFS($B$2:$B$301,B11,$C$2:$C$301,C11)&amp;" pessoas do setor de folga no dia","")))</f>
        <v/>
      </c>
      <c r="J11" s="0" t="str">
        <f aca="true">IF(AND(ISNUMBER(C11),C11=TODAY()),C11+ROW()/100000,"")</f>
        <v/>
      </c>
      <c r="K11" s="0" t="str">
        <f aca="true">IF(AND(ISNUMBER(C11),C11&gt;TODAY(),C11&lt;=TODAY()+7),C11+ROW()/100000,"")</f>
        <v/>
      </c>
      <c r="L11" s="0" t="str">
        <f aca="false">IF(AND(ISNUMBER(C11),C11=CALENDÁRIO!$L$4),ROW(),"")</f>
        <v/>
      </c>
    </row>
    <row r="12" customFormat="false" ht="15" hidden="false" customHeight="true" outlineLevel="0" collapsed="false">
      <c r="A12" s="55" t="s">
        <v>64</v>
      </c>
      <c r="B12" s="50" t="s">
        <v>62</v>
      </c>
      <c r="C12" s="51"/>
      <c r="D12" s="52"/>
      <c r="E12" s="53" t="str">
        <f aca="false">IF(ISNUMBER(C12),CHOOSE(WEEKDAY(C12),"Domingo","Segunda","Terça","Quarta","Quinta","Sexta","Sábado"),"")</f>
        <v/>
      </c>
      <c r="F12" s="53" t="str">
        <f aca="true">IF(NOT(ISNUMBER(C12)),"",IF(C12=TODAY(),"HOJE",IF(C12=TODAY()+1,"AMANHÃ",IF(C12&lt;TODAY(),"Realizada",IF(C12-TODAY()&lt;=7,"Em "&amp;(C12-TODAY())&amp;" dias","Agendada")))))</f>
        <v/>
      </c>
      <c r="G12" s="53" t="str">
        <f aca="false">IF(OR(A12="",NOT(ISNUMBER(C12))),"",IF(COUNTIFS($A$2:$A$301,A12,$C$2:$C$301,C12)&gt;1,"⚠ Folga duplicada",IF(COUNTIFS($B$2:$B$301,B12,$C$2:$C$301,C12)&gt;1,"⚠ "&amp;COUNTIFS($B$2:$B$301,B12,$C$2:$C$301,C12)&amp;" pessoas do setor de folga no dia","")))</f>
        <v/>
      </c>
      <c r="J12" s="0" t="str">
        <f aca="true">IF(AND(ISNUMBER(C12),C12=TODAY()),C12+ROW()/100000,"")</f>
        <v/>
      </c>
      <c r="K12" s="0" t="str">
        <f aca="true">IF(AND(ISNUMBER(C12),C12&gt;TODAY(),C12&lt;=TODAY()+7),C12+ROW()/100000,"")</f>
        <v/>
      </c>
      <c r="L12" s="0" t="str">
        <f aca="false">IF(AND(ISNUMBER(C12),C12=CALENDÁRIO!$L$4),ROW(),"")</f>
        <v/>
      </c>
    </row>
    <row r="13" customFormat="false" ht="15" hidden="false" customHeight="true" outlineLevel="0" collapsed="false">
      <c r="A13" s="55" t="s">
        <v>65</v>
      </c>
      <c r="B13" s="50" t="s">
        <v>62</v>
      </c>
      <c r="C13" s="51"/>
      <c r="D13" s="52"/>
      <c r="E13" s="53" t="str">
        <f aca="false">IF(ISNUMBER(C13),CHOOSE(WEEKDAY(C13),"Domingo","Segunda","Terça","Quarta","Quinta","Sexta","Sábado"),"")</f>
        <v/>
      </c>
      <c r="F13" s="53" t="str">
        <f aca="true">IF(NOT(ISNUMBER(C13)),"",IF(C13=TODAY(),"HOJE",IF(C13=TODAY()+1,"AMANHÃ",IF(C13&lt;TODAY(),"Realizada",IF(C13-TODAY()&lt;=7,"Em "&amp;(C13-TODAY())&amp;" dias","Agendada")))))</f>
        <v/>
      </c>
      <c r="G13" s="53" t="str">
        <f aca="false">IF(OR(A13="",NOT(ISNUMBER(C13))),"",IF(COUNTIFS($A$2:$A$301,A13,$C$2:$C$301,C13)&gt;1,"⚠ Folga duplicada",IF(COUNTIFS($B$2:$B$301,B13,$C$2:$C$301,C13)&gt;1,"⚠ "&amp;COUNTIFS($B$2:$B$301,B13,$C$2:$C$301,C13)&amp;" pessoas do setor de folga no dia","")))</f>
        <v/>
      </c>
      <c r="J13" s="0" t="str">
        <f aca="true">IF(AND(ISNUMBER(C13),C13=TODAY()),C13+ROW()/100000,"")</f>
        <v/>
      </c>
      <c r="K13" s="0" t="str">
        <f aca="true">IF(AND(ISNUMBER(C13),C13&gt;TODAY(),C13&lt;=TODAY()+7),C13+ROW()/100000,"")</f>
        <v/>
      </c>
      <c r="L13" s="0" t="str">
        <f aca="false">IF(AND(ISNUMBER(C13),C13=CALENDÁRIO!$L$4),ROW(),"")</f>
        <v/>
      </c>
    </row>
    <row r="14" customFormat="false" ht="15" hidden="false" customHeight="true" outlineLevel="0" collapsed="false">
      <c r="A14" s="55" t="s">
        <v>66</v>
      </c>
      <c r="B14" s="50" t="s">
        <v>62</v>
      </c>
      <c r="C14" s="51"/>
      <c r="D14" s="52"/>
      <c r="E14" s="53" t="str">
        <f aca="false">IF(ISNUMBER(C14),CHOOSE(WEEKDAY(C14),"Domingo","Segunda","Terça","Quarta","Quinta","Sexta","Sábado"),"")</f>
        <v/>
      </c>
      <c r="F14" s="53" t="str">
        <f aca="true">IF(NOT(ISNUMBER(C14)),"",IF(C14=TODAY(),"HOJE",IF(C14=TODAY()+1,"AMANHÃ",IF(C14&lt;TODAY(),"Realizada",IF(C14-TODAY()&lt;=7,"Em "&amp;(C14-TODAY())&amp;" dias","Agendada")))))</f>
        <v/>
      </c>
      <c r="G14" s="53" t="str">
        <f aca="false">IF(OR(A14="",NOT(ISNUMBER(C14))),"",IF(COUNTIFS($A$2:$A$301,A14,$C$2:$C$301,C14)&gt;1,"⚠ Folga duplicada",IF(COUNTIFS($B$2:$B$301,B14,$C$2:$C$301,C14)&gt;1,"⚠ "&amp;COUNTIFS($B$2:$B$301,B14,$C$2:$C$301,C14)&amp;" pessoas do setor de folga no dia","")))</f>
        <v/>
      </c>
      <c r="J14" s="0" t="str">
        <f aca="true">IF(AND(ISNUMBER(C14),C14=TODAY()),C14+ROW()/100000,"")</f>
        <v/>
      </c>
      <c r="K14" s="0" t="str">
        <f aca="true">IF(AND(ISNUMBER(C14),C14&gt;TODAY(),C14&lt;=TODAY()+7),C14+ROW()/100000,"")</f>
        <v/>
      </c>
      <c r="L14" s="0" t="str">
        <f aca="false">IF(AND(ISNUMBER(C14),C14=CALENDÁRIO!$L$4),ROW(),"")</f>
        <v/>
      </c>
    </row>
    <row r="15" customFormat="false" ht="15" hidden="false" customHeight="true" outlineLevel="0" collapsed="false">
      <c r="A15" s="55" t="s">
        <v>67</v>
      </c>
      <c r="B15" s="50" t="s">
        <v>62</v>
      </c>
      <c r="C15" s="51"/>
      <c r="D15" s="52"/>
      <c r="E15" s="53" t="str">
        <f aca="false">IF(ISNUMBER(C15),CHOOSE(WEEKDAY(C15),"Domingo","Segunda","Terça","Quarta","Quinta","Sexta","Sábado"),"")</f>
        <v/>
      </c>
      <c r="F15" s="53" t="str">
        <f aca="true">IF(NOT(ISNUMBER(C15)),"",IF(C15=TODAY(),"HOJE",IF(C15=TODAY()+1,"AMANHÃ",IF(C15&lt;TODAY(),"Realizada",IF(C15-TODAY()&lt;=7,"Em "&amp;(C15-TODAY())&amp;" dias","Agendada")))))</f>
        <v/>
      </c>
      <c r="G15" s="53" t="str">
        <f aca="false">IF(OR(A15="",NOT(ISNUMBER(C15))),"",IF(COUNTIFS($A$2:$A$301,A15,$C$2:$C$301,C15)&gt;1,"⚠ Folga duplicada",IF(COUNTIFS($B$2:$B$301,B15,$C$2:$C$301,C15)&gt;1,"⚠ "&amp;COUNTIFS($B$2:$B$301,B15,$C$2:$C$301,C15)&amp;" pessoas do setor de folga no dia","")))</f>
        <v/>
      </c>
      <c r="J15" s="0" t="str">
        <f aca="true">IF(AND(ISNUMBER(C15),C15=TODAY()),C15+ROW()/100000,"")</f>
        <v/>
      </c>
      <c r="K15" s="0" t="str">
        <f aca="true">IF(AND(ISNUMBER(C15),C15&gt;TODAY(),C15&lt;=TODAY()+7),C15+ROW()/100000,"")</f>
        <v/>
      </c>
      <c r="L15" s="0" t="str">
        <f aca="false">IF(AND(ISNUMBER(C15),C15=CALENDÁRIO!$L$4),ROW(),"")</f>
        <v/>
      </c>
    </row>
    <row r="16" customFormat="false" ht="15" hidden="false" customHeight="true" outlineLevel="0" collapsed="false">
      <c r="A16" s="55" t="s">
        <v>68</v>
      </c>
      <c r="B16" s="50" t="s">
        <v>62</v>
      </c>
      <c r="C16" s="51"/>
      <c r="D16" s="52"/>
      <c r="E16" s="53" t="str">
        <f aca="false">IF(ISNUMBER(C16),CHOOSE(WEEKDAY(C16),"Domingo","Segunda","Terça","Quarta","Quinta","Sexta","Sábado"),"")</f>
        <v/>
      </c>
      <c r="F16" s="53" t="str">
        <f aca="true">IF(NOT(ISNUMBER(C16)),"",IF(C16=TODAY(),"HOJE",IF(C16=TODAY()+1,"AMANHÃ",IF(C16&lt;TODAY(),"Realizada",IF(C16-TODAY()&lt;=7,"Em "&amp;(C16-TODAY())&amp;" dias","Agendada")))))</f>
        <v/>
      </c>
      <c r="G16" s="53" t="str">
        <f aca="false">IF(OR(A16="",NOT(ISNUMBER(C16))),"",IF(COUNTIFS($A$2:$A$301,A16,$C$2:$C$301,C16)&gt;1,"⚠ Folga duplicada",IF(COUNTIFS($B$2:$B$301,B16,$C$2:$C$301,C16)&gt;1,"⚠ "&amp;COUNTIFS($B$2:$B$301,B16,$C$2:$C$301,C16)&amp;" pessoas do setor de folga no dia","")))</f>
        <v/>
      </c>
      <c r="J16" s="0" t="str">
        <f aca="true">IF(AND(ISNUMBER(C16),C16=TODAY()),C16+ROW()/100000,"")</f>
        <v/>
      </c>
      <c r="K16" s="0" t="str">
        <f aca="true">IF(AND(ISNUMBER(C16),C16&gt;TODAY(),C16&lt;=TODAY()+7),C16+ROW()/100000,"")</f>
        <v/>
      </c>
      <c r="L16" s="0" t="str">
        <f aca="false">IF(AND(ISNUMBER(C16),C16=CALENDÁRIO!$L$4),ROW(),"")</f>
        <v/>
      </c>
    </row>
    <row r="17" customFormat="false" ht="15" hidden="false" customHeight="true" outlineLevel="0" collapsed="false">
      <c r="A17" s="55" t="s">
        <v>69</v>
      </c>
      <c r="B17" s="50" t="s">
        <v>62</v>
      </c>
      <c r="C17" s="51"/>
      <c r="D17" s="52"/>
      <c r="E17" s="53" t="str">
        <f aca="false">IF(ISNUMBER(C17),CHOOSE(WEEKDAY(C17),"Domingo","Segunda","Terça","Quarta","Quinta","Sexta","Sábado"),"")</f>
        <v/>
      </c>
      <c r="F17" s="53" t="str">
        <f aca="true">IF(NOT(ISNUMBER(C17)),"",IF(C17=TODAY(),"HOJE",IF(C17=TODAY()+1,"AMANHÃ",IF(C17&lt;TODAY(),"Realizada",IF(C17-TODAY()&lt;=7,"Em "&amp;(C17-TODAY())&amp;" dias","Agendada")))))</f>
        <v/>
      </c>
      <c r="G17" s="53" t="str">
        <f aca="false">IF(OR(A17="",NOT(ISNUMBER(C17))),"",IF(COUNTIFS($A$2:$A$301,A17,$C$2:$C$301,C17)&gt;1,"⚠ Folga duplicada",IF(COUNTIFS($B$2:$B$301,B17,$C$2:$C$301,C17)&gt;1,"⚠ "&amp;COUNTIFS($B$2:$B$301,B17,$C$2:$C$301,C17)&amp;" pessoas do setor de folga no dia","")))</f>
        <v/>
      </c>
      <c r="J17" s="0" t="str">
        <f aca="true">IF(AND(ISNUMBER(C17),C17=TODAY()),C17+ROW()/100000,"")</f>
        <v/>
      </c>
      <c r="K17" s="0" t="str">
        <f aca="true">IF(AND(ISNUMBER(C17),C17&gt;TODAY(),C17&lt;=TODAY()+7),C17+ROW()/100000,"")</f>
        <v/>
      </c>
      <c r="L17" s="0" t="str">
        <f aca="false">IF(AND(ISNUMBER(C17),C17=CALENDÁRIO!$L$4),ROW(),"")</f>
        <v/>
      </c>
    </row>
    <row r="18" customFormat="false" ht="15" hidden="false" customHeight="true" outlineLevel="0" collapsed="false">
      <c r="A18" s="55" t="s">
        <v>70</v>
      </c>
      <c r="B18" s="50" t="s">
        <v>62</v>
      </c>
      <c r="C18" s="51"/>
      <c r="D18" s="52"/>
      <c r="E18" s="53" t="str">
        <f aca="false">IF(ISNUMBER(C18),CHOOSE(WEEKDAY(C18),"Domingo","Segunda","Terça","Quarta","Quinta","Sexta","Sábado"),"")</f>
        <v/>
      </c>
      <c r="F18" s="53" t="str">
        <f aca="true">IF(NOT(ISNUMBER(C18)),"",IF(C18=TODAY(),"HOJE",IF(C18=TODAY()+1,"AMANHÃ",IF(C18&lt;TODAY(),"Realizada",IF(C18-TODAY()&lt;=7,"Em "&amp;(C18-TODAY())&amp;" dias","Agendada")))))</f>
        <v/>
      </c>
      <c r="G18" s="53" t="str">
        <f aca="false">IF(OR(A18="",NOT(ISNUMBER(C18))),"",IF(COUNTIFS($A$2:$A$301,A18,$C$2:$C$301,C18)&gt;1,"⚠ Folga duplicada",IF(COUNTIFS($B$2:$B$301,B18,$C$2:$C$301,C18)&gt;1,"⚠ "&amp;COUNTIFS($B$2:$B$301,B18,$C$2:$C$301,C18)&amp;" pessoas do setor de folga no dia","")))</f>
        <v/>
      </c>
      <c r="J18" s="0" t="str">
        <f aca="true">IF(AND(ISNUMBER(C18),C18=TODAY()),C18+ROW()/100000,"")</f>
        <v/>
      </c>
      <c r="K18" s="0" t="str">
        <f aca="true">IF(AND(ISNUMBER(C18),C18&gt;TODAY(),C18&lt;=TODAY()+7),C18+ROW()/100000,"")</f>
        <v/>
      </c>
      <c r="L18" s="0" t="str">
        <f aca="false">IF(AND(ISNUMBER(C18),C18=CALENDÁRIO!$L$4),ROW(),"")</f>
        <v/>
      </c>
    </row>
    <row r="19" customFormat="false" ht="15" hidden="false" customHeight="true" outlineLevel="0" collapsed="false">
      <c r="A19" s="55" t="s">
        <v>71</v>
      </c>
      <c r="B19" s="50" t="s">
        <v>62</v>
      </c>
      <c r="C19" s="51"/>
      <c r="D19" s="52"/>
      <c r="E19" s="53" t="str">
        <f aca="false">IF(ISNUMBER(C19),CHOOSE(WEEKDAY(C19),"Domingo","Segunda","Terça","Quarta","Quinta","Sexta","Sábado"),"")</f>
        <v/>
      </c>
      <c r="F19" s="53" t="str">
        <f aca="true">IF(NOT(ISNUMBER(C19)),"",IF(C19=TODAY(),"HOJE",IF(C19=TODAY()+1,"AMANHÃ",IF(C19&lt;TODAY(),"Realizada",IF(C19-TODAY()&lt;=7,"Em "&amp;(C19-TODAY())&amp;" dias","Agendada")))))</f>
        <v/>
      </c>
      <c r="G19" s="53" t="str">
        <f aca="false">IF(OR(A19="",NOT(ISNUMBER(C19))),"",IF(COUNTIFS($A$2:$A$301,A19,$C$2:$C$301,C19)&gt;1,"⚠ Folga duplicada",IF(COUNTIFS($B$2:$B$301,B19,$C$2:$C$301,C19)&gt;1,"⚠ "&amp;COUNTIFS($B$2:$B$301,B19,$C$2:$C$301,C19)&amp;" pessoas do setor de folga no dia","")))</f>
        <v/>
      </c>
      <c r="J19" s="0" t="str">
        <f aca="true">IF(AND(ISNUMBER(C19),C19=TODAY()),C19+ROW()/100000,"")</f>
        <v/>
      </c>
      <c r="K19" s="0" t="str">
        <f aca="true">IF(AND(ISNUMBER(C19),C19&gt;TODAY(),C19&lt;=TODAY()+7),C19+ROW()/100000,"")</f>
        <v/>
      </c>
      <c r="L19" s="0" t="str">
        <f aca="false">IF(AND(ISNUMBER(C19),C19=CALENDÁRIO!$L$4),ROW(),"")</f>
        <v/>
      </c>
    </row>
    <row r="20" customFormat="false" ht="15" hidden="false" customHeight="true" outlineLevel="0" collapsed="false">
      <c r="A20" s="55" t="s">
        <v>72</v>
      </c>
      <c r="B20" s="50" t="s">
        <v>62</v>
      </c>
      <c r="C20" s="51"/>
      <c r="D20" s="52"/>
      <c r="E20" s="53" t="str">
        <f aca="false">IF(ISNUMBER(C20),CHOOSE(WEEKDAY(C20),"Domingo","Segunda","Terça","Quarta","Quinta","Sexta","Sábado"),"")</f>
        <v/>
      </c>
      <c r="F20" s="53" t="str">
        <f aca="true">IF(NOT(ISNUMBER(C20)),"",IF(C20=TODAY(),"HOJE",IF(C20=TODAY()+1,"AMANHÃ",IF(C20&lt;TODAY(),"Realizada",IF(C20-TODAY()&lt;=7,"Em "&amp;(C20-TODAY())&amp;" dias","Agendada")))))</f>
        <v/>
      </c>
      <c r="G20" s="53" t="str">
        <f aca="false">IF(OR(A20="",NOT(ISNUMBER(C20))),"",IF(COUNTIFS($A$2:$A$301,A20,$C$2:$C$301,C20)&gt;1,"⚠ Folga duplicada",IF(COUNTIFS($B$2:$B$301,B20,$C$2:$C$301,C20)&gt;1,"⚠ "&amp;COUNTIFS($B$2:$B$301,B20,$C$2:$C$301,C20)&amp;" pessoas do setor de folga no dia","")))</f>
        <v/>
      </c>
      <c r="J20" s="0" t="str">
        <f aca="true">IF(AND(ISNUMBER(C20),C20=TODAY()),C20+ROW()/100000,"")</f>
        <v/>
      </c>
      <c r="K20" s="0" t="str">
        <f aca="true">IF(AND(ISNUMBER(C20),C20&gt;TODAY(),C20&lt;=TODAY()+7),C20+ROW()/100000,"")</f>
        <v/>
      </c>
      <c r="L20" s="0" t="str">
        <f aca="false">IF(AND(ISNUMBER(C20),C20=CALENDÁRIO!$L$4),ROW(),"")</f>
        <v/>
      </c>
    </row>
    <row r="21" customFormat="false" ht="13.5" hidden="false" customHeight="true" outlineLevel="0" collapsed="false">
      <c r="A21" s="49"/>
      <c r="B21" s="56"/>
      <c r="C21" s="51"/>
      <c r="D21" s="52"/>
      <c r="E21" s="53" t="str">
        <f aca="false">IF(ISNUMBER(C21),CHOOSE(WEEKDAY(C21),"Domingo","Segunda","Terça","Quarta","Quinta","Sexta","Sábado"),"")</f>
        <v/>
      </c>
      <c r="F21" s="53" t="str">
        <f aca="true">IF(NOT(ISNUMBER(C21)),"",IF(C21=TODAY(),"HOJE",IF(C21=TODAY()+1,"AMANHÃ",IF(C21&lt;TODAY(),"Realizada",IF(C21-TODAY()&lt;=7,"Em "&amp;(C21-TODAY())&amp;" dias","Agendada")))))</f>
        <v/>
      </c>
      <c r="G21" s="53" t="str">
        <f aca="false">IF(OR(A21="",NOT(ISNUMBER(C21))),"",IF(COUNTIFS($A$2:$A$301,A21,$C$2:$C$301,C21)&gt;1,"⚠ Folga duplicada",IF(COUNTIFS($B$2:$B$301,B21,$C$2:$C$301,C21)&gt;1,"⚠ "&amp;COUNTIFS($B$2:$B$301,B21,$C$2:$C$301,C21)&amp;" pessoas do setor de folga no dia","")))</f>
        <v/>
      </c>
      <c r="J21" s="0" t="str">
        <f aca="true">IF(AND(ISNUMBER(C21),C21=TODAY()),C21+ROW()/100000,"")</f>
        <v/>
      </c>
      <c r="K21" s="0" t="str">
        <f aca="true">IF(AND(ISNUMBER(C21),C21&gt;TODAY(),C21&lt;=TODAY()+7),C21+ROW()/100000,"")</f>
        <v/>
      </c>
      <c r="L21" s="0" t="str">
        <f aca="false">IF(AND(ISNUMBER(C21),C21=CALENDÁRIO!$L$4),ROW(),"")</f>
        <v/>
      </c>
    </row>
    <row r="22" customFormat="false" ht="15" hidden="false" customHeight="true" outlineLevel="0" collapsed="false">
      <c r="A22" s="57"/>
      <c r="B22" s="57"/>
      <c r="C22" s="51"/>
      <c r="D22" s="52"/>
      <c r="E22" s="53" t="str">
        <f aca="false">IF(ISNUMBER(C22),CHOOSE(WEEKDAY(C22),"Domingo","Segunda","Terça","Quarta","Quinta","Sexta","Sábado"),"")</f>
        <v/>
      </c>
      <c r="F22" s="53" t="str">
        <f aca="true">IF(NOT(ISNUMBER(C22)),"",IF(C22=TODAY(),"HOJE",IF(C22=TODAY()+1,"AMANHÃ",IF(C22&lt;TODAY(),"Realizada",IF(C22-TODAY()&lt;=7,"Em "&amp;(C22-TODAY())&amp;" dias","Agendada")))))</f>
        <v/>
      </c>
      <c r="G22" s="53" t="str">
        <f aca="false">IF(OR(A22="",NOT(ISNUMBER(C22))),"",IF(COUNTIFS($A$2:$A$301,A22,$C$2:$C$301,C22)&gt;1,"⚠ Folga duplicada",IF(COUNTIFS($B$2:$B$301,B22,$C$2:$C$301,C22)&gt;1,"⚠ "&amp;COUNTIFS($B$2:$B$301,B22,$C$2:$C$301,C22)&amp;" pessoas do setor de folga no dia","")))</f>
        <v/>
      </c>
      <c r="J22" s="0" t="str">
        <f aca="true">IF(AND(ISNUMBER(C22),C22=TODAY()),C22+ROW()/100000,"")</f>
        <v/>
      </c>
      <c r="K22" s="0" t="str">
        <f aca="true">IF(AND(ISNUMBER(C22),C22&gt;TODAY(),C22&lt;=TODAY()+7),C22+ROW()/100000,"")</f>
        <v/>
      </c>
      <c r="L22" s="0" t="str">
        <f aca="false">IF(AND(ISNUMBER(C22),C22=CALENDÁRIO!$L$4),ROW(),"")</f>
        <v/>
      </c>
    </row>
    <row r="23" customFormat="false" ht="15" hidden="false" customHeight="true" outlineLevel="0" collapsed="false">
      <c r="A23" s="57"/>
      <c r="B23" s="57"/>
      <c r="C23" s="51"/>
      <c r="D23" s="52"/>
      <c r="E23" s="53" t="str">
        <f aca="false">IF(ISNUMBER(C23),CHOOSE(WEEKDAY(C23),"Domingo","Segunda","Terça","Quarta","Quinta","Sexta","Sábado"),"")</f>
        <v/>
      </c>
      <c r="F23" s="53" t="str">
        <f aca="true">IF(NOT(ISNUMBER(C23)),"",IF(C23=TODAY(),"HOJE",IF(C23=TODAY()+1,"AMANHÃ",IF(C23&lt;TODAY(),"Realizada",IF(C23-TODAY()&lt;=7,"Em "&amp;(C23-TODAY())&amp;" dias","Agendada")))))</f>
        <v/>
      </c>
      <c r="G23" s="53" t="str">
        <f aca="false">IF(OR(A23="",NOT(ISNUMBER(C23))),"",IF(COUNTIFS($A$2:$A$301,A23,$C$2:$C$301,C23)&gt;1,"⚠ Folga duplicada",IF(COUNTIFS($B$2:$B$301,B23,$C$2:$C$301,C23)&gt;1,"⚠ "&amp;COUNTIFS($B$2:$B$301,B23,$C$2:$C$301,C23)&amp;" pessoas do setor de folga no dia","")))</f>
        <v/>
      </c>
      <c r="J23" s="0" t="str">
        <f aca="true">IF(AND(ISNUMBER(C23),C23=TODAY()),C23+ROW()/100000,"")</f>
        <v/>
      </c>
      <c r="K23" s="0" t="str">
        <f aca="true">IF(AND(ISNUMBER(C23),C23&gt;TODAY(),C23&lt;=TODAY()+7),C23+ROW()/100000,"")</f>
        <v/>
      </c>
      <c r="L23" s="0" t="str">
        <f aca="false">IF(AND(ISNUMBER(C23),C23=CALENDÁRIO!$L$4),ROW(),"")</f>
        <v/>
      </c>
    </row>
    <row r="24" customFormat="false" ht="15" hidden="false" customHeight="true" outlineLevel="0" collapsed="false">
      <c r="A24" s="57"/>
      <c r="B24" s="57"/>
      <c r="C24" s="51"/>
      <c r="D24" s="52"/>
      <c r="E24" s="53" t="str">
        <f aca="false">IF(ISNUMBER(C24),CHOOSE(WEEKDAY(C24),"Domingo","Segunda","Terça","Quarta","Quinta","Sexta","Sábado"),"")</f>
        <v/>
      </c>
      <c r="F24" s="53" t="str">
        <f aca="true">IF(NOT(ISNUMBER(C24)),"",IF(C24=TODAY(),"HOJE",IF(C24=TODAY()+1,"AMANHÃ",IF(C24&lt;TODAY(),"Realizada",IF(C24-TODAY()&lt;=7,"Em "&amp;(C24-TODAY())&amp;" dias","Agendada")))))</f>
        <v/>
      </c>
      <c r="G24" s="53" t="str">
        <f aca="false">IF(OR(A24="",NOT(ISNUMBER(C24))),"",IF(COUNTIFS($A$2:$A$301,A24,$C$2:$C$301,C24)&gt;1,"⚠ Folga duplicada",IF(COUNTIFS($B$2:$B$301,B24,$C$2:$C$301,C24)&gt;1,"⚠ "&amp;COUNTIFS($B$2:$B$301,B24,$C$2:$C$301,C24)&amp;" pessoas do setor de folga no dia","")))</f>
        <v/>
      </c>
      <c r="J24" s="0" t="str">
        <f aca="true">IF(AND(ISNUMBER(C24),C24=TODAY()),C24+ROW()/100000,"")</f>
        <v/>
      </c>
      <c r="K24" s="0" t="str">
        <f aca="true">IF(AND(ISNUMBER(C24),C24&gt;TODAY(),C24&lt;=TODAY()+7),C24+ROW()/100000,"")</f>
        <v/>
      </c>
      <c r="L24" s="0" t="str">
        <f aca="false">IF(AND(ISNUMBER(C24),C24=CALENDÁRIO!$L$4),ROW(),"")</f>
        <v/>
      </c>
    </row>
    <row r="25" customFormat="false" ht="15" hidden="false" customHeight="true" outlineLevel="0" collapsed="false">
      <c r="A25" s="57"/>
      <c r="B25" s="57"/>
      <c r="C25" s="51"/>
      <c r="D25" s="52"/>
      <c r="E25" s="53" t="str">
        <f aca="false">IF(ISNUMBER(C25),CHOOSE(WEEKDAY(C25),"Domingo","Segunda","Terça","Quarta","Quinta","Sexta","Sábado"),"")</f>
        <v/>
      </c>
      <c r="F25" s="53" t="str">
        <f aca="true">IF(NOT(ISNUMBER(C25)),"",IF(C25=TODAY(),"HOJE",IF(C25=TODAY()+1,"AMANHÃ",IF(C25&lt;TODAY(),"Realizada",IF(C25-TODAY()&lt;=7,"Em "&amp;(C25-TODAY())&amp;" dias","Agendada")))))</f>
        <v/>
      </c>
      <c r="G25" s="53" t="str">
        <f aca="false">IF(OR(A25="",NOT(ISNUMBER(C25))),"",IF(COUNTIFS($A$2:$A$301,A25,$C$2:$C$301,C25)&gt;1,"⚠ Folga duplicada",IF(COUNTIFS($B$2:$B$301,B25,$C$2:$C$301,C25)&gt;1,"⚠ "&amp;COUNTIFS($B$2:$B$301,B25,$C$2:$C$301,C25)&amp;" pessoas do setor de folga no dia","")))</f>
        <v/>
      </c>
      <c r="J25" s="0" t="str">
        <f aca="true">IF(AND(ISNUMBER(C25),C25=TODAY()),C25+ROW()/100000,"")</f>
        <v/>
      </c>
      <c r="K25" s="0" t="str">
        <f aca="true">IF(AND(ISNUMBER(C25),C25&gt;TODAY(),C25&lt;=TODAY()+7),C25+ROW()/100000,"")</f>
        <v/>
      </c>
      <c r="L25" s="0" t="str">
        <f aca="false">IF(AND(ISNUMBER(C25),C25=CALENDÁRIO!$L$4),ROW(),"")</f>
        <v/>
      </c>
    </row>
    <row r="26" customFormat="false" ht="15" hidden="false" customHeight="true" outlineLevel="0" collapsed="false">
      <c r="A26" s="52"/>
      <c r="B26" s="52"/>
      <c r="C26" s="51"/>
      <c r="D26" s="52"/>
      <c r="E26" s="53" t="str">
        <f aca="false">IF(ISNUMBER(C26),CHOOSE(WEEKDAY(C26),"Domingo","Segunda","Terça","Quarta","Quinta","Sexta","Sábado"),"")</f>
        <v/>
      </c>
      <c r="F26" s="53" t="str">
        <f aca="true">IF(NOT(ISNUMBER(C26)),"",IF(C26=TODAY(),"HOJE",IF(C26=TODAY()+1,"AMANHÃ",IF(C26&lt;TODAY(),"Realizada",IF(C26-TODAY()&lt;=7,"Em "&amp;(C26-TODAY())&amp;" dias","Agendada")))))</f>
        <v/>
      </c>
      <c r="G26" s="53" t="str">
        <f aca="false">IF(OR(A26="",NOT(ISNUMBER(C26))),"",IF(COUNTIFS($A$2:$A$301,A26,$C$2:$C$301,C26)&gt;1,"⚠ Folga duplicada",IF(COUNTIFS($B$2:$B$301,B26,$C$2:$C$301,C26)&gt;1,"⚠ "&amp;COUNTIFS($B$2:$B$301,B26,$C$2:$C$301,C26)&amp;" pessoas do setor de folga no dia","")))</f>
        <v/>
      </c>
      <c r="J26" s="0" t="str">
        <f aca="true">IF(AND(ISNUMBER(C26),C26=TODAY()),C26+ROW()/100000,"")</f>
        <v/>
      </c>
      <c r="K26" s="0" t="str">
        <f aca="true">IF(AND(ISNUMBER(C26),C26&gt;TODAY(),C26&lt;=TODAY()+7),C26+ROW()/100000,"")</f>
        <v/>
      </c>
      <c r="L26" s="0" t="str">
        <f aca="false">IF(AND(ISNUMBER(C26),C26=CALENDÁRIO!$L$4),ROW(),"")</f>
        <v/>
      </c>
    </row>
    <row r="27" customFormat="false" ht="15" hidden="false" customHeight="true" outlineLevel="0" collapsed="false">
      <c r="A27" s="52"/>
      <c r="B27" s="52"/>
      <c r="C27" s="51"/>
      <c r="D27" s="52"/>
      <c r="E27" s="53" t="str">
        <f aca="false">IF(ISNUMBER(C27),CHOOSE(WEEKDAY(C27),"Domingo","Segunda","Terça","Quarta","Quinta","Sexta","Sábado"),"")</f>
        <v/>
      </c>
      <c r="F27" s="53" t="str">
        <f aca="true">IF(NOT(ISNUMBER(C27)),"",IF(C27=TODAY(),"HOJE",IF(C27=TODAY()+1,"AMANHÃ",IF(C27&lt;TODAY(),"Realizada",IF(C27-TODAY()&lt;=7,"Em "&amp;(C27-TODAY())&amp;" dias","Agendada")))))</f>
        <v/>
      </c>
      <c r="G27" s="53" t="str">
        <f aca="false">IF(OR(A27="",NOT(ISNUMBER(C27))),"",IF(COUNTIFS($A$2:$A$301,A27,$C$2:$C$301,C27)&gt;1,"⚠ Folga duplicada",IF(COUNTIFS($B$2:$B$301,B27,$C$2:$C$301,C27)&gt;1,"⚠ "&amp;COUNTIFS($B$2:$B$301,B27,$C$2:$C$301,C27)&amp;" pessoas do setor de folga no dia","")))</f>
        <v/>
      </c>
      <c r="J27" s="0" t="str">
        <f aca="true">IF(AND(ISNUMBER(C27),C27=TODAY()),C27+ROW()/100000,"")</f>
        <v/>
      </c>
      <c r="K27" s="0" t="str">
        <f aca="true">IF(AND(ISNUMBER(C27),C27&gt;TODAY(),C27&lt;=TODAY()+7),C27+ROW()/100000,"")</f>
        <v/>
      </c>
      <c r="L27" s="0" t="str">
        <f aca="false">IF(AND(ISNUMBER(C27),C27=CALENDÁRIO!$L$4),ROW(),"")</f>
        <v/>
      </c>
    </row>
    <row r="28" customFormat="false" ht="15" hidden="false" customHeight="true" outlineLevel="0" collapsed="false">
      <c r="A28" s="52"/>
      <c r="B28" s="52"/>
      <c r="C28" s="51"/>
      <c r="D28" s="52"/>
      <c r="E28" s="53" t="str">
        <f aca="false">IF(ISNUMBER(C28),CHOOSE(WEEKDAY(C28),"Domingo","Segunda","Terça","Quarta","Quinta","Sexta","Sábado"),"")</f>
        <v/>
      </c>
      <c r="F28" s="53" t="str">
        <f aca="true">IF(NOT(ISNUMBER(C28)),"",IF(C28=TODAY(),"HOJE",IF(C28=TODAY()+1,"AMANHÃ",IF(C28&lt;TODAY(),"Realizada",IF(C28-TODAY()&lt;=7,"Em "&amp;(C28-TODAY())&amp;" dias","Agendada")))))</f>
        <v/>
      </c>
      <c r="G28" s="53" t="str">
        <f aca="false">IF(OR(A28="",NOT(ISNUMBER(C28))),"",IF(COUNTIFS($A$2:$A$301,A28,$C$2:$C$301,C28)&gt;1,"⚠ Folga duplicada",IF(COUNTIFS($B$2:$B$301,B28,$C$2:$C$301,C28)&gt;1,"⚠ "&amp;COUNTIFS($B$2:$B$301,B28,$C$2:$C$301,C28)&amp;" pessoas do setor de folga no dia","")))</f>
        <v/>
      </c>
      <c r="J28" s="0" t="str">
        <f aca="true">IF(AND(ISNUMBER(C28),C28=TODAY()),C28+ROW()/100000,"")</f>
        <v/>
      </c>
      <c r="K28" s="0" t="str">
        <f aca="true">IF(AND(ISNUMBER(C28),C28&gt;TODAY(),C28&lt;=TODAY()+7),C28+ROW()/100000,"")</f>
        <v/>
      </c>
      <c r="L28" s="0" t="str">
        <f aca="false">IF(AND(ISNUMBER(C28),C28=CALENDÁRIO!$L$4),ROW(),"")</f>
        <v/>
      </c>
    </row>
    <row r="29" customFormat="false" ht="15" hidden="false" customHeight="true" outlineLevel="0" collapsed="false">
      <c r="A29" s="52"/>
      <c r="B29" s="52"/>
      <c r="C29" s="51"/>
      <c r="D29" s="52"/>
      <c r="E29" s="53" t="str">
        <f aca="false">IF(ISNUMBER(C29),CHOOSE(WEEKDAY(C29),"Domingo","Segunda","Terça","Quarta","Quinta","Sexta","Sábado"),"")</f>
        <v/>
      </c>
      <c r="F29" s="53" t="str">
        <f aca="true">IF(NOT(ISNUMBER(C29)),"",IF(C29=TODAY(),"HOJE",IF(C29=TODAY()+1,"AMANHÃ",IF(C29&lt;TODAY(),"Realizada",IF(C29-TODAY()&lt;=7,"Em "&amp;(C29-TODAY())&amp;" dias","Agendada")))))</f>
        <v/>
      </c>
      <c r="G29" s="53" t="str">
        <f aca="false">IF(OR(A29="",NOT(ISNUMBER(C29))),"",IF(COUNTIFS($A$2:$A$301,A29,$C$2:$C$301,C29)&gt;1,"⚠ Folga duplicada",IF(COUNTIFS($B$2:$B$301,B29,$C$2:$C$301,C29)&gt;1,"⚠ "&amp;COUNTIFS($B$2:$B$301,B29,$C$2:$C$301,C29)&amp;" pessoas do setor de folga no dia","")))</f>
        <v/>
      </c>
      <c r="J29" s="0" t="str">
        <f aca="true">IF(AND(ISNUMBER(C29),C29=TODAY()),C29+ROW()/100000,"")</f>
        <v/>
      </c>
      <c r="K29" s="0" t="str">
        <f aca="true">IF(AND(ISNUMBER(C29),C29&gt;TODAY(),C29&lt;=TODAY()+7),C29+ROW()/100000,"")</f>
        <v/>
      </c>
      <c r="L29" s="0" t="str">
        <f aca="false">IF(AND(ISNUMBER(C29),C29=CALENDÁRIO!$L$4),ROW(),"")</f>
        <v/>
      </c>
    </row>
    <row r="30" customFormat="false" ht="15" hidden="false" customHeight="true" outlineLevel="0" collapsed="false">
      <c r="A30" s="52"/>
      <c r="B30" s="52"/>
      <c r="C30" s="51"/>
      <c r="D30" s="52"/>
      <c r="E30" s="53" t="str">
        <f aca="false">IF(ISNUMBER(C30),CHOOSE(WEEKDAY(C30),"Domingo","Segunda","Terça","Quarta","Quinta","Sexta","Sábado"),"")</f>
        <v/>
      </c>
      <c r="F30" s="53" t="str">
        <f aca="true">IF(NOT(ISNUMBER(C30)),"",IF(C30=TODAY(),"HOJE",IF(C30=TODAY()+1,"AMANHÃ",IF(C30&lt;TODAY(),"Realizada",IF(C30-TODAY()&lt;=7,"Em "&amp;(C30-TODAY())&amp;" dias","Agendada")))))</f>
        <v/>
      </c>
      <c r="G30" s="53" t="str">
        <f aca="false">IF(OR(A30="",NOT(ISNUMBER(C30))),"",IF(COUNTIFS($A$2:$A$301,A30,$C$2:$C$301,C30)&gt;1,"⚠ Folga duplicada",IF(COUNTIFS($B$2:$B$301,B30,$C$2:$C$301,C30)&gt;1,"⚠ "&amp;COUNTIFS($B$2:$B$301,B30,$C$2:$C$301,C30)&amp;" pessoas do setor de folga no dia","")))</f>
        <v/>
      </c>
      <c r="J30" s="0" t="str">
        <f aca="true">IF(AND(ISNUMBER(C30),C30=TODAY()),C30+ROW()/100000,"")</f>
        <v/>
      </c>
      <c r="K30" s="0" t="str">
        <f aca="true">IF(AND(ISNUMBER(C30),C30&gt;TODAY(),C30&lt;=TODAY()+7),C30+ROW()/100000,"")</f>
        <v/>
      </c>
      <c r="L30" s="0" t="str">
        <f aca="false">IF(AND(ISNUMBER(C30),C30=CALENDÁRIO!$L$4),ROW(),"")</f>
        <v/>
      </c>
    </row>
    <row r="31" customFormat="false" ht="15" hidden="false" customHeight="true" outlineLevel="0" collapsed="false">
      <c r="A31" s="52"/>
      <c r="B31" s="52"/>
      <c r="C31" s="51"/>
      <c r="D31" s="52"/>
      <c r="E31" s="53" t="str">
        <f aca="false">IF(ISNUMBER(C31),CHOOSE(WEEKDAY(C31),"Domingo","Segunda","Terça","Quarta","Quinta","Sexta","Sábado"),"")</f>
        <v/>
      </c>
      <c r="F31" s="53" t="str">
        <f aca="true">IF(NOT(ISNUMBER(C31)),"",IF(C31=TODAY(),"HOJE",IF(C31=TODAY()+1,"AMANHÃ",IF(C31&lt;TODAY(),"Realizada",IF(C31-TODAY()&lt;=7,"Em "&amp;(C31-TODAY())&amp;" dias","Agendada")))))</f>
        <v/>
      </c>
      <c r="G31" s="53" t="str">
        <f aca="false">IF(OR(A31="",NOT(ISNUMBER(C31))),"",IF(COUNTIFS($A$2:$A$301,A31,$C$2:$C$301,C31)&gt;1,"⚠ Folga duplicada",IF(COUNTIFS($B$2:$B$301,B31,$C$2:$C$301,C31)&gt;1,"⚠ "&amp;COUNTIFS($B$2:$B$301,B31,$C$2:$C$301,C31)&amp;" pessoas do setor de folga no dia","")))</f>
        <v/>
      </c>
      <c r="J31" s="0" t="str">
        <f aca="true">IF(AND(ISNUMBER(C31),C31=TODAY()),C31+ROW()/100000,"")</f>
        <v/>
      </c>
      <c r="K31" s="0" t="str">
        <f aca="true">IF(AND(ISNUMBER(C31),C31&gt;TODAY(),C31&lt;=TODAY()+7),C31+ROW()/100000,"")</f>
        <v/>
      </c>
      <c r="L31" s="0" t="str">
        <f aca="false">IF(AND(ISNUMBER(C31),C31=CALENDÁRIO!$L$4),ROW(),"")</f>
        <v/>
      </c>
    </row>
    <row r="32" customFormat="false" ht="15" hidden="false" customHeight="true" outlineLevel="0" collapsed="false">
      <c r="A32" s="52"/>
      <c r="B32" s="52"/>
      <c r="C32" s="51"/>
      <c r="D32" s="52"/>
      <c r="E32" s="53" t="str">
        <f aca="false">IF(ISNUMBER(C32),CHOOSE(WEEKDAY(C32),"Domingo","Segunda","Terça","Quarta","Quinta","Sexta","Sábado"),"")</f>
        <v/>
      </c>
      <c r="F32" s="53" t="str">
        <f aca="true">IF(NOT(ISNUMBER(C32)),"",IF(C32=TODAY(),"HOJE",IF(C32=TODAY()+1,"AMANHÃ",IF(C32&lt;TODAY(),"Realizada",IF(C32-TODAY()&lt;=7,"Em "&amp;(C32-TODAY())&amp;" dias","Agendada")))))</f>
        <v/>
      </c>
      <c r="G32" s="53" t="str">
        <f aca="false">IF(OR(A32="",NOT(ISNUMBER(C32))),"",IF(COUNTIFS($A$2:$A$301,A32,$C$2:$C$301,C32)&gt;1,"⚠ Folga duplicada",IF(COUNTIFS($B$2:$B$301,B32,$C$2:$C$301,C32)&gt;1,"⚠ "&amp;COUNTIFS($B$2:$B$301,B32,$C$2:$C$301,C32)&amp;" pessoas do setor de folga no dia","")))</f>
        <v/>
      </c>
      <c r="J32" s="0" t="str">
        <f aca="true">IF(AND(ISNUMBER(C32),C32=TODAY()),C32+ROW()/100000,"")</f>
        <v/>
      </c>
      <c r="K32" s="0" t="str">
        <f aca="true">IF(AND(ISNUMBER(C32),C32&gt;TODAY(),C32&lt;=TODAY()+7),C32+ROW()/100000,"")</f>
        <v/>
      </c>
      <c r="L32" s="0" t="str">
        <f aca="false">IF(AND(ISNUMBER(C32),C32=CALENDÁRIO!$L$4),ROW(),"")</f>
        <v/>
      </c>
    </row>
    <row r="33" customFormat="false" ht="15" hidden="false" customHeight="true" outlineLevel="0" collapsed="false">
      <c r="A33" s="52"/>
      <c r="B33" s="52"/>
      <c r="C33" s="51"/>
      <c r="D33" s="52"/>
      <c r="E33" s="53" t="str">
        <f aca="false">IF(ISNUMBER(C33),CHOOSE(WEEKDAY(C33),"Domingo","Segunda","Terça","Quarta","Quinta","Sexta","Sábado"),"")</f>
        <v/>
      </c>
      <c r="F33" s="53" t="str">
        <f aca="true">IF(NOT(ISNUMBER(C33)),"",IF(C33=TODAY(),"HOJE",IF(C33=TODAY()+1,"AMANHÃ",IF(C33&lt;TODAY(),"Realizada",IF(C33-TODAY()&lt;=7,"Em "&amp;(C33-TODAY())&amp;" dias","Agendada")))))</f>
        <v/>
      </c>
      <c r="G33" s="53" t="str">
        <f aca="false">IF(OR(A33="",NOT(ISNUMBER(C33))),"",IF(COUNTIFS($A$2:$A$301,A33,$C$2:$C$301,C33)&gt;1,"⚠ Folga duplicada",IF(COUNTIFS($B$2:$B$301,B33,$C$2:$C$301,C33)&gt;1,"⚠ "&amp;COUNTIFS($B$2:$B$301,B33,$C$2:$C$301,C33)&amp;" pessoas do setor de folga no dia","")))</f>
        <v/>
      </c>
      <c r="J33" s="0" t="str">
        <f aca="true">IF(AND(ISNUMBER(C33),C33=TODAY()),C33+ROW()/100000,"")</f>
        <v/>
      </c>
      <c r="K33" s="0" t="str">
        <f aca="true">IF(AND(ISNUMBER(C33),C33&gt;TODAY(),C33&lt;=TODAY()+7),C33+ROW()/100000,"")</f>
        <v/>
      </c>
      <c r="L33" s="0" t="str">
        <f aca="false">IF(AND(ISNUMBER(C33),C33=CALENDÁRIO!$L$4),ROW(),"")</f>
        <v/>
      </c>
    </row>
    <row r="34" customFormat="false" ht="15" hidden="false" customHeight="true" outlineLevel="0" collapsed="false">
      <c r="A34" s="52"/>
      <c r="B34" s="52"/>
      <c r="C34" s="51"/>
      <c r="D34" s="52"/>
      <c r="E34" s="53" t="str">
        <f aca="false">IF(ISNUMBER(C34),CHOOSE(WEEKDAY(C34),"Domingo","Segunda","Terça","Quarta","Quinta","Sexta","Sábado"),"")</f>
        <v/>
      </c>
      <c r="F34" s="53" t="str">
        <f aca="true">IF(NOT(ISNUMBER(C34)),"",IF(C34=TODAY(),"HOJE",IF(C34=TODAY()+1,"AMANHÃ",IF(C34&lt;TODAY(),"Realizada",IF(C34-TODAY()&lt;=7,"Em "&amp;(C34-TODAY())&amp;" dias","Agendada")))))</f>
        <v/>
      </c>
      <c r="G34" s="53" t="str">
        <f aca="false">IF(OR(A34="",NOT(ISNUMBER(C34))),"",IF(COUNTIFS($A$2:$A$301,A34,$C$2:$C$301,C34)&gt;1,"⚠ Folga duplicada",IF(COUNTIFS($B$2:$B$301,B34,$C$2:$C$301,C34)&gt;1,"⚠ "&amp;COUNTIFS($B$2:$B$301,B34,$C$2:$C$301,C34)&amp;" pessoas do setor de folga no dia","")))</f>
        <v/>
      </c>
      <c r="J34" s="0" t="str">
        <f aca="true">IF(AND(ISNUMBER(C34),C34=TODAY()),C34+ROW()/100000,"")</f>
        <v/>
      </c>
      <c r="K34" s="0" t="str">
        <f aca="true">IF(AND(ISNUMBER(C34),C34&gt;TODAY(),C34&lt;=TODAY()+7),C34+ROW()/100000,"")</f>
        <v/>
      </c>
      <c r="L34" s="0" t="str">
        <f aca="false">IF(AND(ISNUMBER(C34),C34=CALENDÁRIO!$L$4),ROW(),"")</f>
        <v/>
      </c>
    </row>
    <row r="35" customFormat="false" ht="15" hidden="false" customHeight="true" outlineLevel="0" collapsed="false">
      <c r="A35" s="52"/>
      <c r="B35" s="52"/>
      <c r="C35" s="51"/>
      <c r="D35" s="52"/>
      <c r="E35" s="53" t="str">
        <f aca="false">IF(ISNUMBER(C35),CHOOSE(WEEKDAY(C35),"Domingo","Segunda","Terça","Quarta","Quinta","Sexta","Sábado"),"")</f>
        <v/>
      </c>
      <c r="F35" s="53" t="str">
        <f aca="true">IF(NOT(ISNUMBER(C35)),"",IF(C35=TODAY(),"HOJE",IF(C35=TODAY()+1,"AMANHÃ",IF(C35&lt;TODAY(),"Realizada",IF(C35-TODAY()&lt;=7,"Em "&amp;(C35-TODAY())&amp;" dias","Agendada")))))</f>
        <v/>
      </c>
      <c r="G35" s="53" t="str">
        <f aca="false">IF(OR(A35="",NOT(ISNUMBER(C35))),"",IF(COUNTIFS($A$2:$A$301,A35,$C$2:$C$301,C35)&gt;1,"⚠ Folga duplicada",IF(COUNTIFS($B$2:$B$301,B35,$C$2:$C$301,C35)&gt;1,"⚠ "&amp;COUNTIFS($B$2:$B$301,B35,$C$2:$C$301,C35)&amp;" pessoas do setor de folga no dia","")))</f>
        <v/>
      </c>
      <c r="J35" s="0" t="str">
        <f aca="true">IF(AND(ISNUMBER(C35),C35=TODAY()),C35+ROW()/100000,"")</f>
        <v/>
      </c>
      <c r="K35" s="0" t="str">
        <f aca="true">IF(AND(ISNUMBER(C35),C35&gt;TODAY(),C35&lt;=TODAY()+7),C35+ROW()/100000,"")</f>
        <v/>
      </c>
      <c r="L35" s="0" t="str">
        <f aca="false">IF(AND(ISNUMBER(C35),C35=CALENDÁRIO!$L$4),ROW(),"")</f>
        <v/>
      </c>
    </row>
    <row r="36" customFormat="false" ht="15" hidden="false" customHeight="true" outlineLevel="0" collapsed="false">
      <c r="A36" s="52"/>
      <c r="B36" s="52"/>
      <c r="C36" s="51"/>
      <c r="D36" s="52"/>
      <c r="E36" s="53" t="str">
        <f aca="false">IF(ISNUMBER(C36),CHOOSE(WEEKDAY(C36),"Domingo","Segunda","Terça","Quarta","Quinta","Sexta","Sábado"),"")</f>
        <v/>
      </c>
      <c r="F36" s="53" t="str">
        <f aca="true">IF(NOT(ISNUMBER(C36)),"",IF(C36=TODAY(),"HOJE",IF(C36=TODAY()+1,"AMANHÃ",IF(C36&lt;TODAY(),"Realizada",IF(C36-TODAY()&lt;=7,"Em "&amp;(C36-TODAY())&amp;" dias","Agendada")))))</f>
        <v/>
      </c>
      <c r="G36" s="53" t="str">
        <f aca="false">IF(OR(A36="",NOT(ISNUMBER(C36))),"",IF(COUNTIFS($A$2:$A$301,A36,$C$2:$C$301,C36)&gt;1,"⚠ Folga duplicada",IF(COUNTIFS($B$2:$B$301,B36,$C$2:$C$301,C36)&gt;1,"⚠ "&amp;COUNTIFS($B$2:$B$301,B36,$C$2:$C$301,C36)&amp;" pessoas do setor de folga no dia","")))</f>
        <v/>
      </c>
      <c r="J36" s="0" t="str">
        <f aca="true">IF(AND(ISNUMBER(C36),C36=TODAY()),C36+ROW()/100000,"")</f>
        <v/>
      </c>
      <c r="K36" s="0" t="str">
        <f aca="true">IF(AND(ISNUMBER(C36),C36&gt;TODAY(),C36&lt;=TODAY()+7),C36+ROW()/100000,"")</f>
        <v/>
      </c>
      <c r="L36" s="0" t="str">
        <f aca="false">IF(AND(ISNUMBER(C36),C36=CALENDÁRIO!$L$4),ROW(),"")</f>
        <v/>
      </c>
    </row>
    <row r="37" customFormat="false" ht="15" hidden="false" customHeight="true" outlineLevel="0" collapsed="false">
      <c r="A37" s="52"/>
      <c r="B37" s="52"/>
      <c r="C37" s="51"/>
      <c r="D37" s="52"/>
      <c r="E37" s="53" t="str">
        <f aca="false">IF(ISNUMBER(C37),CHOOSE(WEEKDAY(C37),"Domingo","Segunda","Terça","Quarta","Quinta","Sexta","Sábado"),"")</f>
        <v/>
      </c>
      <c r="F37" s="53" t="str">
        <f aca="true">IF(NOT(ISNUMBER(C37)),"",IF(C37=TODAY(),"HOJE",IF(C37=TODAY()+1,"AMANHÃ",IF(C37&lt;TODAY(),"Realizada",IF(C37-TODAY()&lt;=7,"Em "&amp;(C37-TODAY())&amp;" dias","Agendada")))))</f>
        <v/>
      </c>
      <c r="G37" s="53" t="str">
        <f aca="false">IF(OR(A37="",NOT(ISNUMBER(C37))),"",IF(COUNTIFS($A$2:$A$301,A37,$C$2:$C$301,C37)&gt;1,"⚠ Folga duplicada",IF(COUNTIFS($B$2:$B$301,B37,$C$2:$C$301,C37)&gt;1,"⚠ "&amp;COUNTIFS($B$2:$B$301,B37,$C$2:$C$301,C37)&amp;" pessoas do setor de folga no dia","")))</f>
        <v/>
      </c>
      <c r="J37" s="0" t="str">
        <f aca="true">IF(AND(ISNUMBER(C37),C37=TODAY()),C37+ROW()/100000,"")</f>
        <v/>
      </c>
      <c r="K37" s="0" t="str">
        <f aca="true">IF(AND(ISNUMBER(C37),C37&gt;TODAY(),C37&lt;=TODAY()+7),C37+ROW()/100000,"")</f>
        <v/>
      </c>
      <c r="L37" s="0" t="str">
        <f aca="false">IF(AND(ISNUMBER(C37),C37=CALENDÁRIO!$L$4),ROW(),"")</f>
        <v/>
      </c>
    </row>
    <row r="38" customFormat="false" ht="15" hidden="false" customHeight="true" outlineLevel="0" collapsed="false">
      <c r="A38" s="52"/>
      <c r="B38" s="52"/>
      <c r="C38" s="51"/>
      <c r="D38" s="52"/>
      <c r="E38" s="53" t="str">
        <f aca="false">IF(ISNUMBER(C38),CHOOSE(WEEKDAY(C38),"Domingo","Segunda","Terça","Quarta","Quinta","Sexta","Sábado"),"")</f>
        <v/>
      </c>
      <c r="F38" s="53" t="str">
        <f aca="true">IF(NOT(ISNUMBER(C38)),"",IF(C38=TODAY(),"HOJE",IF(C38=TODAY()+1,"AMANHÃ",IF(C38&lt;TODAY(),"Realizada",IF(C38-TODAY()&lt;=7,"Em "&amp;(C38-TODAY())&amp;" dias","Agendada")))))</f>
        <v/>
      </c>
      <c r="G38" s="53" t="str">
        <f aca="false">IF(OR(A38="",NOT(ISNUMBER(C38))),"",IF(COUNTIFS($A$2:$A$301,A38,$C$2:$C$301,C38)&gt;1,"⚠ Folga duplicada",IF(COUNTIFS($B$2:$B$301,B38,$C$2:$C$301,C38)&gt;1,"⚠ "&amp;COUNTIFS($B$2:$B$301,B38,$C$2:$C$301,C38)&amp;" pessoas do setor de folga no dia","")))</f>
        <v/>
      </c>
      <c r="J38" s="0" t="str">
        <f aca="true">IF(AND(ISNUMBER(C38),C38=TODAY()),C38+ROW()/100000,"")</f>
        <v/>
      </c>
      <c r="K38" s="0" t="str">
        <f aca="true">IF(AND(ISNUMBER(C38),C38&gt;TODAY(),C38&lt;=TODAY()+7),C38+ROW()/100000,"")</f>
        <v/>
      </c>
      <c r="L38" s="0" t="str">
        <f aca="false">IF(AND(ISNUMBER(C38),C38=CALENDÁRIO!$L$4),ROW(),"")</f>
        <v/>
      </c>
    </row>
    <row r="39" customFormat="false" ht="15" hidden="false" customHeight="true" outlineLevel="0" collapsed="false">
      <c r="A39" s="52"/>
      <c r="B39" s="52"/>
      <c r="C39" s="51"/>
      <c r="D39" s="52"/>
      <c r="E39" s="53" t="str">
        <f aca="false">IF(ISNUMBER(C39),CHOOSE(WEEKDAY(C39),"Domingo","Segunda","Terça","Quarta","Quinta","Sexta","Sábado"),"")</f>
        <v/>
      </c>
      <c r="F39" s="53" t="str">
        <f aca="true">IF(NOT(ISNUMBER(C39)),"",IF(C39=TODAY(),"HOJE",IF(C39=TODAY()+1,"AMANHÃ",IF(C39&lt;TODAY(),"Realizada",IF(C39-TODAY()&lt;=7,"Em "&amp;(C39-TODAY())&amp;" dias","Agendada")))))</f>
        <v/>
      </c>
      <c r="G39" s="53" t="str">
        <f aca="false">IF(OR(A39="",NOT(ISNUMBER(C39))),"",IF(COUNTIFS($A$2:$A$301,A39,$C$2:$C$301,C39)&gt;1,"⚠ Folga duplicada",IF(COUNTIFS($B$2:$B$301,B39,$C$2:$C$301,C39)&gt;1,"⚠ "&amp;COUNTIFS($B$2:$B$301,B39,$C$2:$C$301,C39)&amp;" pessoas do setor de folga no dia","")))</f>
        <v/>
      </c>
      <c r="J39" s="0" t="str">
        <f aca="true">IF(AND(ISNUMBER(C39),C39=TODAY()),C39+ROW()/100000,"")</f>
        <v/>
      </c>
      <c r="K39" s="0" t="str">
        <f aca="true">IF(AND(ISNUMBER(C39),C39&gt;TODAY(),C39&lt;=TODAY()+7),C39+ROW()/100000,"")</f>
        <v/>
      </c>
      <c r="L39" s="0" t="str">
        <f aca="false">IF(AND(ISNUMBER(C39),C39=CALENDÁRIO!$L$4),ROW(),"")</f>
        <v/>
      </c>
    </row>
    <row r="40" customFormat="false" ht="15" hidden="false" customHeight="true" outlineLevel="0" collapsed="false">
      <c r="A40" s="52"/>
      <c r="B40" s="52"/>
      <c r="C40" s="51"/>
      <c r="D40" s="52"/>
      <c r="E40" s="53" t="str">
        <f aca="false">IF(ISNUMBER(C40),CHOOSE(WEEKDAY(C40),"Domingo","Segunda","Terça","Quarta","Quinta","Sexta","Sábado"),"")</f>
        <v/>
      </c>
      <c r="F40" s="53" t="str">
        <f aca="true">IF(NOT(ISNUMBER(C40)),"",IF(C40=TODAY(),"HOJE",IF(C40=TODAY()+1,"AMANHÃ",IF(C40&lt;TODAY(),"Realizada",IF(C40-TODAY()&lt;=7,"Em "&amp;(C40-TODAY())&amp;" dias","Agendada")))))</f>
        <v/>
      </c>
      <c r="G40" s="53" t="str">
        <f aca="false">IF(OR(A40="",NOT(ISNUMBER(C40))),"",IF(COUNTIFS($A$2:$A$301,A40,$C$2:$C$301,C40)&gt;1,"⚠ Folga duplicada",IF(COUNTIFS($B$2:$B$301,B40,$C$2:$C$301,C40)&gt;1,"⚠ "&amp;COUNTIFS($B$2:$B$301,B40,$C$2:$C$301,C40)&amp;" pessoas do setor de folga no dia","")))</f>
        <v/>
      </c>
      <c r="J40" s="0" t="str">
        <f aca="true">IF(AND(ISNUMBER(C40),C40=TODAY()),C40+ROW()/100000,"")</f>
        <v/>
      </c>
      <c r="K40" s="0" t="str">
        <f aca="true">IF(AND(ISNUMBER(C40),C40&gt;TODAY(),C40&lt;=TODAY()+7),C40+ROW()/100000,"")</f>
        <v/>
      </c>
      <c r="L40" s="0" t="str">
        <f aca="false">IF(AND(ISNUMBER(C40),C40=CALENDÁRIO!$L$4),ROW(),"")</f>
        <v/>
      </c>
    </row>
    <row r="41" customFormat="false" ht="15" hidden="false" customHeight="true" outlineLevel="0" collapsed="false">
      <c r="A41" s="52"/>
      <c r="B41" s="52"/>
      <c r="C41" s="51"/>
      <c r="D41" s="52"/>
      <c r="E41" s="53" t="str">
        <f aca="false">IF(ISNUMBER(C41),CHOOSE(WEEKDAY(C41),"Domingo","Segunda","Terça","Quarta","Quinta","Sexta","Sábado"),"")</f>
        <v/>
      </c>
      <c r="F41" s="53" t="str">
        <f aca="true">IF(NOT(ISNUMBER(C41)),"",IF(C41=TODAY(),"HOJE",IF(C41=TODAY()+1,"AMANHÃ",IF(C41&lt;TODAY(),"Realizada",IF(C41-TODAY()&lt;=7,"Em "&amp;(C41-TODAY())&amp;" dias","Agendada")))))</f>
        <v/>
      </c>
      <c r="G41" s="53" t="str">
        <f aca="false">IF(OR(A41="",NOT(ISNUMBER(C41))),"",IF(COUNTIFS($A$2:$A$301,A41,$C$2:$C$301,C41)&gt;1,"⚠ Folga duplicada",IF(COUNTIFS($B$2:$B$301,B41,$C$2:$C$301,C41)&gt;1,"⚠ "&amp;COUNTIFS($B$2:$B$301,B41,$C$2:$C$301,C41)&amp;" pessoas do setor de folga no dia","")))</f>
        <v/>
      </c>
      <c r="J41" s="0" t="str">
        <f aca="true">IF(AND(ISNUMBER(C41),C41=TODAY()),C41+ROW()/100000,"")</f>
        <v/>
      </c>
      <c r="K41" s="0" t="str">
        <f aca="true">IF(AND(ISNUMBER(C41),C41&gt;TODAY(),C41&lt;=TODAY()+7),C41+ROW()/100000,"")</f>
        <v/>
      </c>
      <c r="L41" s="0" t="str">
        <f aca="false">IF(AND(ISNUMBER(C41),C41=CALENDÁRIO!$L$4),ROW(),"")</f>
        <v/>
      </c>
    </row>
    <row r="42" customFormat="false" ht="15" hidden="false" customHeight="true" outlineLevel="0" collapsed="false">
      <c r="A42" s="52"/>
      <c r="B42" s="52"/>
      <c r="C42" s="51"/>
      <c r="D42" s="52"/>
      <c r="E42" s="53" t="str">
        <f aca="false">IF(ISNUMBER(C42),CHOOSE(WEEKDAY(C42),"Domingo","Segunda","Terça","Quarta","Quinta","Sexta","Sábado"),"")</f>
        <v/>
      </c>
      <c r="F42" s="53" t="str">
        <f aca="true">IF(NOT(ISNUMBER(C42)),"",IF(C42=TODAY(),"HOJE",IF(C42=TODAY()+1,"AMANHÃ",IF(C42&lt;TODAY(),"Realizada",IF(C42-TODAY()&lt;=7,"Em "&amp;(C42-TODAY())&amp;" dias","Agendada")))))</f>
        <v/>
      </c>
      <c r="G42" s="53" t="str">
        <f aca="false">IF(OR(A42="",NOT(ISNUMBER(C42))),"",IF(COUNTIFS($A$2:$A$301,A42,$C$2:$C$301,C42)&gt;1,"⚠ Folga duplicada",IF(COUNTIFS($B$2:$B$301,B42,$C$2:$C$301,C42)&gt;1,"⚠ "&amp;COUNTIFS($B$2:$B$301,B42,$C$2:$C$301,C42)&amp;" pessoas do setor de folga no dia","")))</f>
        <v/>
      </c>
      <c r="J42" s="0" t="str">
        <f aca="true">IF(AND(ISNUMBER(C42),C42=TODAY()),C42+ROW()/100000,"")</f>
        <v/>
      </c>
      <c r="K42" s="0" t="str">
        <f aca="true">IF(AND(ISNUMBER(C42),C42&gt;TODAY(),C42&lt;=TODAY()+7),C42+ROW()/100000,"")</f>
        <v/>
      </c>
      <c r="L42" s="0" t="str">
        <f aca="false">IF(AND(ISNUMBER(C42),C42=CALENDÁRIO!$L$4),ROW(),"")</f>
        <v/>
      </c>
    </row>
    <row r="43" customFormat="false" ht="15" hidden="false" customHeight="true" outlineLevel="0" collapsed="false">
      <c r="A43" s="52"/>
      <c r="B43" s="52"/>
      <c r="C43" s="51"/>
      <c r="D43" s="52"/>
      <c r="E43" s="53" t="str">
        <f aca="false">IF(ISNUMBER(C43),CHOOSE(WEEKDAY(C43),"Domingo","Segunda","Terça","Quarta","Quinta","Sexta","Sábado"),"")</f>
        <v/>
      </c>
      <c r="F43" s="53" t="str">
        <f aca="true">IF(NOT(ISNUMBER(C43)),"",IF(C43=TODAY(),"HOJE",IF(C43=TODAY()+1,"AMANHÃ",IF(C43&lt;TODAY(),"Realizada",IF(C43-TODAY()&lt;=7,"Em "&amp;(C43-TODAY())&amp;" dias","Agendada")))))</f>
        <v/>
      </c>
      <c r="G43" s="53" t="str">
        <f aca="false">IF(OR(A43="",NOT(ISNUMBER(C43))),"",IF(COUNTIFS($A$2:$A$301,A43,$C$2:$C$301,C43)&gt;1,"⚠ Folga duplicada",IF(COUNTIFS($B$2:$B$301,B43,$C$2:$C$301,C43)&gt;1,"⚠ "&amp;COUNTIFS($B$2:$B$301,B43,$C$2:$C$301,C43)&amp;" pessoas do setor de folga no dia","")))</f>
        <v/>
      </c>
      <c r="J43" s="0" t="str">
        <f aca="true">IF(AND(ISNUMBER(C43),C43=TODAY()),C43+ROW()/100000,"")</f>
        <v/>
      </c>
      <c r="K43" s="0" t="str">
        <f aca="true">IF(AND(ISNUMBER(C43),C43&gt;TODAY(),C43&lt;=TODAY()+7),C43+ROW()/100000,"")</f>
        <v/>
      </c>
      <c r="L43" s="0" t="str">
        <f aca="false">IF(AND(ISNUMBER(C43),C43=CALENDÁRIO!$L$4),ROW(),"")</f>
        <v/>
      </c>
    </row>
    <row r="44" customFormat="false" ht="15" hidden="false" customHeight="true" outlineLevel="0" collapsed="false">
      <c r="A44" s="52"/>
      <c r="B44" s="52"/>
      <c r="C44" s="51"/>
      <c r="D44" s="52"/>
      <c r="E44" s="53" t="str">
        <f aca="false">IF(ISNUMBER(C44),CHOOSE(WEEKDAY(C44),"Domingo","Segunda","Terça","Quarta","Quinta","Sexta","Sábado"),"")</f>
        <v/>
      </c>
      <c r="F44" s="53" t="str">
        <f aca="true">IF(NOT(ISNUMBER(C44)),"",IF(C44=TODAY(),"HOJE",IF(C44=TODAY()+1,"AMANHÃ",IF(C44&lt;TODAY(),"Realizada",IF(C44-TODAY()&lt;=7,"Em "&amp;(C44-TODAY())&amp;" dias","Agendada")))))</f>
        <v/>
      </c>
      <c r="G44" s="53" t="str">
        <f aca="false">IF(OR(A44="",NOT(ISNUMBER(C44))),"",IF(COUNTIFS($A$2:$A$301,A44,$C$2:$C$301,C44)&gt;1,"⚠ Folga duplicada",IF(COUNTIFS($B$2:$B$301,B44,$C$2:$C$301,C44)&gt;1,"⚠ "&amp;COUNTIFS($B$2:$B$301,B44,$C$2:$C$301,C44)&amp;" pessoas do setor de folga no dia","")))</f>
        <v/>
      </c>
      <c r="J44" s="0" t="str">
        <f aca="true">IF(AND(ISNUMBER(C44),C44=TODAY()),C44+ROW()/100000,"")</f>
        <v/>
      </c>
      <c r="K44" s="0" t="str">
        <f aca="true">IF(AND(ISNUMBER(C44),C44&gt;TODAY(),C44&lt;=TODAY()+7),C44+ROW()/100000,"")</f>
        <v/>
      </c>
      <c r="L44" s="0" t="str">
        <f aca="false">IF(AND(ISNUMBER(C44),C44=CALENDÁRIO!$L$4),ROW(),"")</f>
        <v/>
      </c>
    </row>
    <row r="45" customFormat="false" ht="15" hidden="false" customHeight="true" outlineLevel="0" collapsed="false">
      <c r="A45" s="52"/>
      <c r="B45" s="52"/>
      <c r="C45" s="51"/>
      <c r="D45" s="52"/>
      <c r="E45" s="53" t="str">
        <f aca="false">IF(ISNUMBER(C45),CHOOSE(WEEKDAY(C45),"Domingo","Segunda","Terça","Quarta","Quinta","Sexta","Sábado"),"")</f>
        <v/>
      </c>
      <c r="F45" s="53" t="str">
        <f aca="true">IF(NOT(ISNUMBER(C45)),"",IF(C45=TODAY(),"HOJE",IF(C45=TODAY()+1,"AMANHÃ",IF(C45&lt;TODAY(),"Realizada",IF(C45-TODAY()&lt;=7,"Em "&amp;(C45-TODAY())&amp;" dias","Agendada")))))</f>
        <v/>
      </c>
      <c r="G45" s="53" t="str">
        <f aca="false">IF(OR(A45="",NOT(ISNUMBER(C45))),"",IF(COUNTIFS($A$2:$A$301,A45,$C$2:$C$301,C45)&gt;1,"⚠ Folga duplicada",IF(COUNTIFS($B$2:$B$301,B45,$C$2:$C$301,C45)&gt;1,"⚠ "&amp;COUNTIFS($B$2:$B$301,B45,$C$2:$C$301,C45)&amp;" pessoas do setor de folga no dia","")))</f>
        <v/>
      </c>
      <c r="J45" s="0" t="str">
        <f aca="true">IF(AND(ISNUMBER(C45),C45=TODAY()),C45+ROW()/100000,"")</f>
        <v/>
      </c>
      <c r="K45" s="0" t="str">
        <f aca="true">IF(AND(ISNUMBER(C45),C45&gt;TODAY(),C45&lt;=TODAY()+7),C45+ROW()/100000,"")</f>
        <v/>
      </c>
      <c r="L45" s="0" t="str">
        <f aca="false">IF(AND(ISNUMBER(C45),C45=CALENDÁRIO!$L$4),ROW(),"")</f>
        <v/>
      </c>
    </row>
    <row r="46" customFormat="false" ht="15" hidden="false" customHeight="true" outlineLevel="0" collapsed="false">
      <c r="A46" s="52"/>
      <c r="B46" s="52"/>
      <c r="C46" s="51"/>
      <c r="D46" s="52"/>
      <c r="E46" s="53" t="str">
        <f aca="false">IF(ISNUMBER(C46),CHOOSE(WEEKDAY(C46),"Domingo","Segunda","Terça","Quarta","Quinta","Sexta","Sábado"),"")</f>
        <v/>
      </c>
      <c r="F46" s="53" t="str">
        <f aca="true">IF(NOT(ISNUMBER(C46)),"",IF(C46=TODAY(),"HOJE",IF(C46=TODAY()+1,"AMANHÃ",IF(C46&lt;TODAY(),"Realizada",IF(C46-TODAY()&lt;=7,"Em "&amp;(C46-TODAY())&amp;" dias","Agendada")))))</f>
        <v/>
      </c>
      <c r="G46" s="53" t="str">
        <f aca="false">IF(OR(A46="",NOT(ISNUMBER(C46))),"",IF(COUNTIFS($A$2:$A$301,A46,$C$2:$C$301,C46)&gt;1,"⚠ Folga duplicada",IF(COUNTIFS($B$2:$B$301,B46,$C$2:$C$301,C46)&gt;1,"⚠ "&amp;COUNTIFS($B$2:$B$301,B46,$C$2:$C$301,C46)&amp;" pessoas do setor de folga no dia","")))</f>
        <v/>
      </c>
      <c r="J46" s="0" t="str">
        <f aca="true">IF(AND(ISNUMBER(C46),C46=TODAY()),C46+ROW()/100000,"")</f>
        <v/>
      </c>
      <c r="K46" s="0" t="str">
        <f aca="true">IF(AND(ISNUMBER(C46),C46&gt;TODAY(),C46&lt;=TODAY()+7),C46+ROW()/100000,"")</f>
        <v/>
      </c>
      <c r="L46" s="0" t="str">
        <f aca="false">IF(AND(ISNUMBER(C46),C46=CALENDÁRIO!$L$4),ROW(),"")</f>
        <v/>
      </c>
    </row>
    <row r="47" customFormat="false" ht="15" hidden="false" customHeight="true" outlineLevel="0" collapsed="false">
      <c r="A47" s="52"/>
      <c r="B47" s="52"/>
      <c r="C47" s="51"/>
      <c r="D47" s="52"/>
      <c r="E47" s="53" t="str">
        <f aca="false">IF(ISNUMBER(C47),CHOOSE(WEEKDAY(C47),"Domingo","Segunda","Terça","Quarta","Quinta","Sexta","Sábado"),"")</f>
        <v/>
      </c>
      <c r="F47" s="53" t="str">
        <f aca="true">IF(NOT(ISNUMBER(C47)),"",IF(C47=TODAY(),"HOJE",IF(C47=TODAY()+1,"AMANHÃ",IF(C47&lt;TODAY(),"Realizada",IF(C47-TODAY()&lt;=7,"Em "&amp;(C47-TODAY())&amp;" dias","Agendada")))))</f>
        <v/>
      </c>
      <c r="G47" s="53" t="str">
        <f aca="false">IF(OR(A47="",NOT(ISNUMBER(C47))),"",IF(COUNTIFS($A$2:$A$301,A47,$C$2:$C$301,C47)&gt;1,"⚠ Folga duplicada",IF(COUNTIFS($B$2:$B$301,B47,$C$2:$C$301,C47)&gt;1,"⚠ "&amp;COUNTIFS($B$2:$B$301,B47,$C$2:$C$301,C47)&amp;" pessoas do setor de folga no dia","")))</f>
        <v/>
      </c>
      <c r="J47" s="0" t="str">
        <f aca="true">IF(AND(ISNUMBER(C47),C47=TODAY()),C47+ROW()/100000,"")</f>
        <v/>
      </c>
      <c r="K47" s="0" t="str">
        <f aca="true">IF(AND(ISNUMBER(C47),C47&gt;TODAY(),C47&lt;=TODAY()+7),C47+ROW()/100000,"")</f>
        <v/>
      </c>
      <c r="L47" s="0" t="str">
        <f aca="false">IF(AND(ISNUMBER(C47),C47=CALENDÁRIO!$L$4),ROW(),"")</f>
        <v/>
      </c>
    </row>
    <row r="48" customFormat="false" ht="15" hidden="false" customHeight="true" outlineLevel="0" collapsed="false">
      <c r="A48" s="52"/>
      <c r="B48" s="52"/>
      <c r="C48" s="51"/>
      <c r="D48" s="52"/>
      <c r="E48" s="53" t="str">
        <f aca="false">IF(ISNUMBER(C48),CHOOSE(WEEKDAY(C48),"Domingo","Segunda","Terça","Quarta","Quinta","Sexta","Sábado"),"")</f>
        <v/>
      </c>
      <c r="F48" s="53" t="str">
        <f aca="true">IF(NOT(ISNUMBER(C48)),"",IF(C48=TODAY(),"HOJE",IF(C48=TODAY()+1,"AMANHÃ",IF(C48&lt;TODAY(),"Realizada",IF(C48-TODAY()&lt;=7,"Em "&amp;(C48-TODAY())&amp;" dias","Agendada")))))</f>
        <v/>
      </c>
      <c r="G48" s="53" t="str">
        <f aca="false">IF(OR(A48="",NOT(ISNUMBER(C48))),"",IF(COUNTIFS($A$2:$A$301,A48,$C$2:$C$301,C48)&gt;1,"⚠ Folga duplicada",IF(COUNTIFS($B$2:$B$301,B48,$C$2:$C$301,C48)&gt;1,"⚠ "&amp;COUNTIFS($B$2:$B$301,B48,$C$2:$C$301,C48)&amp;" pessoas do setor de folga no dia","")))</f>
        <v/>
      </c>
      <c r="J48" s="0" t="str">
        <f aca="true">IF(AND(ISNUMBER(C48),C48=TODAY()),C48+ROW()/100000,"")</f>
        <v/>
      </c>
      <c r="K48" s="0" t="str">
        <f aca="true">IF(AND(ISNUMBER(C48),C48&gt;TODAY(),C48&lt;=TODAY()+7),C48+ROW()/100000,"")</f>
        <v/>
      </c>
      <c r="L48" s="0" t="str">
        <f aca="false">IF(AND(ISNUMBER(C48),C48=CALENDÁRIO!$L$4),ROW(),"")</f>
        <v/>
      </c>
    </row>
    <row r="49" customFormat="false" ht="15" hidden="false" customHeight="true" outlineLevel="0" collapsed="false">
      <c r="A49" s="52"/>
      <c r="B49" s="52"/>
      <c r="C49" s="51"/>
      <c r="D49" s="52"/>
      <c r="E49" s="53" t="str">
        <f aca="false">IF(ISNUMBER(C49),CHOOSE(WEEKDAY(C49),"Domingo","Segunda","Terça","Quarta","Quinta","Sexta","Sábado"),"")</f>
        <v/>
      </c>
      <c r="F49" s="53" t="str">
        <f aca="true">IF(NOT(ISNUMBER(C49)),"",IF(C49=TODAY(),"HOJE",IF(C49=TODAY()+1,"AMANHÃ",IF(C49&lt;TODAY(),"Realizada",IF(C49-TODAY()&lt;=7,"Em "&amp;(C49-TODAY())&amp;" dias","Agendada")))))</f>
        <v/>
      </c>
      <c r="G49" s="53" t="str">
        <f aca="false">IF(OR(A49="",NOT(ISNUMBER(C49))),"",IF(COUNTIFS($A$2:$A$301,A49,$C$2:$C$301,C49)&gt;1,"⚠ Folga duplicada",IF(COUNTIFS($B$2:$B$301,B49,$C$2:$C$301,C49)&gt;1,"⚠ "&amp;COUNTIFS($B$2:$B$301,B49,$C$2:$C$301,C49)&amp;" pessoas do setor de folga no dia","")))</f>
        <v/>
      </c>
      <c r="J49" s="0" t="str">
        <f aca="true">IF(AND(ISNUMBER(C49),C49=TODAY()),C49+ROW()/100000,"")</f>
        <v/>
      </c>
      <c r="K49" s="0" t="str">
        <f aca="true">IF(AND(ISNUMBER(C49),C49&gt;TODAY(),C49&lt;=TODAY()+7),C49+ROW()/100000,"")</f>
        <v/>
      </c>
      <c r="L49" s="0" t="str">
        <f aca="false">IF(AND(ISNUMBER(C49),C49=CALENDÁRIO!$L$4),ROW(),"")</f>
        <v/>
      </c>
    </row>
    <row r="50" customFormat="false" ht="15" hidden="false" customHeight="true" outlineLevel="0" collapsed="false">
      <c r="A50" s="52"/>
      <c r="B50" s="52"/>
      <c r="C50" s="51"/>
      <c r="D50" s="52"/>
      <c r="E50" s="53" t="str">
        <f aca="false">IF(ISNUMBER(C50),CHOOSE(WEEKDAY(C50),"Domingo","Segunda","Terça","Quarta","Quinta","Sexta","Sábado"),"")</f>
        <v/>
      </c>
      <c r="F50" s="53" t="str">
        <f aca="true">IF(NOT(ISNUMBER(C50)),"",IF(C50=TODAY(),"HOJE",IF(C50=TODAY()+1,"AMANHÃ",IF(C50&lt;TODAY(),"Realizada",IF(C50-TODAY()&lt;=7,"Em "&amp;(C50-TODAY())&amp;" dias","Agendada")))))</f>
        <v/>
      </c>
      <c r="G50" s="53" t="str">
        <f aca="false">IF(OR(A50="",NOT(ISNUMBER(C50))),"",IF(COUNTIFS($A$2:$A$301,A50,$C$2:$C$301,C50)&gt;1,"⚠ Folga duplicada",IF(COUNTIFS($B$2:$B$301,B50,$C$2:$C$301,C50)&gt;1,"⚠ "&amp;COUNTIFS($B$2:$B$301,B50,$C$2:$C$301,C50)&amp;" pessoas do setor de folga no dia","")))</f>
        <v/>
      </c>
      <c r="J50" s="0" t="str">
        <f aca="true">IF(AND(ISNUMBER(C50),C50=TODAY()),C50+ROW()/100000,"")</f>
        <v/>
      </c>
      <c r="K50" s="0" t="str">
        <f aca="true">IF(AND(ISNUMBER(C50),C50&gt;TODAY(),C50&lt;=TODAY()+7),C50+ROW()/100000,"")</f>
        <v/>
      </c>
      <c r="L50" s="0" t="str">
        <f aca="false">IF(AND(ISNUMBER(C50),C50=CALENDÁRIO!$L$4),ROW(),"")</f>
        <v/>
      </c>
    </row>
    <row r="51" customFormat="false" ht="15" hidden="false" customHeight="true" outlineLevel="0" collapsed="false">
      <c r="A51" s="52"/>
      <c r="B51" s="52"/>
      <c r="C51" s="51"/>
      <c r="D51" s="52"/>
      <c r="E51" s="53" t="str">
        <f aca="false">IF(ISNUMBER(C51),CHOOSE(WEEKDAY(C51),"Domingo","Segunda","Terça","Quarta","Quinta","Sexta","Sábado"),"")</f>
        <v/>
      </c>
      <c r="F51" s="53" t="str">
        <f aca="true">IF(NOT(ISNUMBER(C51)),"",IF(C51=TODAY(),"HOJE",IF(C51=TODAY()+1,"AMANHÃ",IF(C51&lt;TODAY(),"Realizada",IF(C51-TODAY()&lt;=7,"Em "&amp;(C51-TODAY())&amp;" dias","Agendada")))))</f>
        <v/>
      </c>
      <c r="G51" s="53" t="str">
        <f aca="false">IF(OR(A51="",NOT(ISNUMBER(C51))),"",IF(COUNTIFS($A$2:$A$301,A51,$C$2:$C$301,C51)&gt;1,"⚠ Folga duplicada",IF(COUNTIFS($B$2:$B$301,B51,$C$2:$C$301,C51)&gt;1,"⚠ "&amp;COUNTIFS($B$2:$B$301,B51,$C$2:$C$301,C51)&amp;" pessoas do setor de folga no dia","")))</f>
        <v/>
      </c>
      <c r="J51" s="0" t="str">
        <f aca="true">IF(AND(ISNUMBER(C51),C51=TODAY()),C51+ROW()/100000,"")</f>
        <v/>
      </c>
      <c r="K51" s="0" t="str">
        <f aca="true">IF(AND(ISNUMBER(C51),C51&gt;TODAY(),C51&lt;=TODAY()+7),C51+ROW()/100000,"")</f>
        <v/>
      </c>
      <c r="L51" s="0" t="str">
        <f aca="false">IF(AND(ISNUMBER(C51),C51=CALENDÁRIO!$L$4),ROW(),"")</f>
        <v/>
      </c>
    </row>
    <row r="52" customFormat="false" ht="15" hidden="false" customHeight="true" outlineLevel="0" collapsed="false">
      <c r="A52" s="52"/>
      <c r="B52" s="52"/>
      <c r="C52" s="51"/>
      <c r="D52" s="52"/>
      <c r="E52" s="53" t="str">
        <f aca="false">IF(ISNUMBER(C52),CHOOSE(WEEKDAY(C52),"Domingo","Segunda","Terça","Quarta","Quinta","Sexta","Sábado"),"")</f>
        <v/>
      </c>
      <c r="F52" s="53" t="str">
        <f aca="true">IF(NOT(ISNUMBER(C52)),"",IF(C52=TODAY(),"HOJE",IF(C52=TODAY()+1,"AMANHÃ",IF(C52&lt;TODAY(),"Realizada",IF(C52-TODAY()&lt;=7,"Em "&amp;(C52-TODAY())&amp;" dias","Agendada")))))</f>
        <v/>
      </c>
      <c r="G52" s="53" t="str">
        <f aca="false">IF(OR(A52="",NOT(ISNUMBER(C52))),"",IF(COUNTIFS($A$2:$A$301,A52,$C$2:$C$301,C52)&gt;1,"⚠ Folga duplicada",IF(COUNTIFS($B$2:$B$301,B52,$C$2:$C$301,C52)&gt;1,"⚠ "&amp;COUNTIFS($B$2:$B$301,B52,$C$2:$C$301,C52)&amp;" pessoas do setor de folga no dia","")))</f>
        <v/>
      </c>
      <c r="J52" s="0" t="str">
        <f aca="true">IF(AND(ISNUMBER(C52),C52=TODAY()),C52+ROW()/100000,"")</f>
        <v/>
      </c>
      <c r="K52" s="0" t="str">
        <f aca="true">IF(AND(ISNUMBER(C52),C52&gt;TODAY(),C52&lt;=TODAY()+7),C52+ROW()/100000,"")</f>
        <v/>
      </c>
      <c r="L52" s="0" t="str">
        <f aca="false">IF(AND(ISNUMBER(C52),C52=CALENDÁRIO!$L$4),ROW(),"")</f>
        <v/>
      </c>
    </row>
    <row r="53" customFormat="false" ht="15" hidden="false" customHeight="true" outlineLevel="0" collapsed="false">
      <c r="A53" s="52"/>
      <c r="B53" s="52"/>
      <c r="C53" s="51"/>
      <c r="D53" s="52"/>
      <c r="E53" s="53" t="str">
        <f aca="false">IF(ISNUMBER(C53),CHOOSE(WEEKDAY(C53),"Domingo","Segunda","Terça","Quarta","Quinta","Sexta","Sábado"),"")</f>
        <v/>
      </c>
      <c r="F53" s="53" t="str">
        <f aca="true">IF(NOT(ISNUMBER(C53)),"",IF(C53=TODAY(),"HOJE",IF(C53=TODAY()+1,"AMANHÃ",IF(C53&lt;TODAY(),"Realizada",IF(C53-TODAY()&lt;=7,"Em "&amp;(C53-TODAY())&amp;" dias","Agendada")))))</f>
        <v/>
      </c>
      <c r="G53" s="53" t="str">
        <f aca="false">IF(OR(A53="",NOT(ISNUMBER(C53))),"",IF(COUNTIFS($A$2:$A$301,A53,$C$2:$C$301,C53)&gt;1,"⚠ Folga duplicada",IF(COUNTIFS($B$2:$B$301,B53,$C$2:$C$301,C53)&gt;1,"⚠ "&amp;COUNTIFS($B$2:$B$301,B53,$C$2:$C$301,C53)&amp;" pessoas do setor de folga no dia","")))</f>
        <v/>
      </c>
      <c r="J53" s="0" t="str">
        <f aca="true">IF(AND(ISNUMBER(C53),C53=TODAY()),C53+ROW()/100000,"")</f>
        <v/>
      </c>
      <c r="K53" s="0" t="str">
        <f aca="true">IF(AND(ISNUMBER(C53),C53&gt;TODAY(),C53&lt;=TODAY()+7),C53+ROW()/100000,"")</f>
        <v/>
      </c>
      <c r="L53" s="0" t="str">
        <f aca="false">IF(AND(ISNUMBER(C53),C53=CALENDÁRIO!$L$4),ROW(),"")</f>
        <v/>
      </c>
    </row>
    <row r="54" customFormat="false" ht="15" hidden="false" customHeight="true" outlineLevel="0" collapsed="false">
      <c r="A54" s="52"/>
      <c r="B54" s="52"/>
      <c r="C54" s="51"/>
      <c r="D54" s="52"/>
      <c r="E54" s="53" t="str">
        <f aca="false">IF(ISNUMBER(C54),CHOOSE(WEEKDAY(C54),"Domingo","Segunda","Terça","Quarta","Quinta","Sexta","Sábado"),"")</f>
        <v/>
      </c>
      <c r="F54" s="53" t="str">
        <f aca="true">IF(NOT(ISNUMBER(C54)),"",IF(C54=TODAY(),"HOJE",IF(C54=TODAY()+1,"AMANHÃ",IF(C54&lt;TODAY(),"Realizada",IF(C54-TODAY()&lt;=7,"Em "&amp;(C54-TODAY())&amp;" dias","Agendada")))))</f>
        <v/>
      </c>
      <c r="G54" s="53" t="str">
        <f aca="false">IF(OR(A54="",NOT(ISNUMBER(C54))),"",IF(COUNTIFS($A$2:$A$301,A54,$C$2:$C$301,C54)&gt;1,"⚠ Folga duplicada",IF(COUNTIFS($B$2:$B$301,B54,$C$2:$C$301,C54)&gt;1,"⚠ "&amp;COUNTIFS($B$2:$B$301,B54,$C$2:$C$301,C54)&amp;" pessoas do setor de folga no dia","")))</f>
        <v/>
      </c>
      <c r="J54" s="0" t="str">
        <f aca="true">IF(AND(ISNUMBER(C54),C54=TODAY()),C54+ROW()/100000,"")</f>
        <v/>
      </c>
      <c r="K54" s="0" t="str">
        <f aca="true">IF(AND(ISNUMBER(C54),C54&gt;TODAY(),C54&lt;=TODAY()+7),C54+ROW()/100000,"")</f>
        <v/>
      </c>
      <c r="L54" s="0" t="str">
        <f aca="false">IF(AND(ISNUMBER(C54),C54=CALENDÁRIO!$L$4),ROW(),"")</f>
        <v/>
      </c>
    </row>
    <row r="55" customFormat="false" ht="15" hidden="false" customHeight="true" outlineLevel="0" collapsed="false">
      <c r="A55" s="52"/>
      <c r="B55" s="52"/>
      <c r="C55" s="51"/>
      <c r="D55" s="52"/>
      <c r="E55" s="53" t="str">
        <f aca="false">IF(ISNUMBER(C55),CHOOSE(WEEKDAY(C55),"Domingo","Segunda","Terça","Quarta","Quinta","Sexta","Sábado"),"")</f>
        <v/>
      </c>
      <c r="F55" s="53" t="str">
        <f aca="true">IF(NOT(ISNUMBER(C55)),"",IF(C55=TODAY(),"HOJE",IF(C55=TODAY()+1,"AMANHÃ",IF(C55&lt;TODAY(),"Realizada",IF(C55-TODAY()&lt;=7,"Em "&amp;(C55-TODAY())&amp;" dias","Agendada")))))</f>
        <v/>
      </c>
      <c r="G55" s="53" t="str">
        <f aca="false">IF(OR(A55="",NOT(ISNUMBER(C55))),"",IF(COUNTIFS($A$2:$A$301,A55,$C$2:$C$301,C55)&gt;1,"⚠ Folga duplicada",IF(COUNTIFS($B$2:$B$301,B55,$C$2:$C$301,C55)&gt;1,"⚠ "&amp;COUNTIFS($B$2:$B$301,B55,$C$2:$C$301,C55)&amp;" pessoas do setor de folga no dia","")))</f>
        <v/>
      </c>
      <c r="J55" s="0" t="str">
        <f aca="true">IF(AND(ISNUMBER(C55),C55=TODAY()),C55+ROW()/100000,"")</f>
        <v/>
      </c>
      <c r="K55" s="0" t="str">
        <f aca="true">IF(AND(ISNUMBER(C55),C55&gt;TODAY(),C55&lt;=TODAY()+7),C55+ROW()/100000,"")</f>
        <v/>
      </c>
      <c r="L55" s="0" t="str">
        <f aca="false">IF(AND(ISNUMBER(C55),C55=CALENDÁRIO!$L$4),ROW(),"")</f>
        <v/>
      </c>
    </row>
    <row r="56" customFormat="false" ht="15" hidden="false" customHeight="true" outlineLevel="0" collapsed="false">
      <c r="A56" s="52"/>
      <c r="B56" s="52"/>
      <c r="C56" s="51"/>
      <c r="D56" s="52"/>
      <c r="E56" s="53" t="str">
        <f aca="false">IF(ISNUMBER(C56),CHOOSE(WEEKDAY(C56),"Domingo","Segunda","Terça","Quarta","Quinta","Sexta","Sábado"),"")</f>
        <v/>
      </c>
      <c r="F56" s="53" t="str">
        <f aca="true">IF(NOT(ISNUMBER(C56)),"",IF(C56=TODAY(),"HOJE",IF(C56=TODAY()+1,"AMANHÃ",IF(C56&lt;TODAY(),"Realizada",IF(C56-TODAY()&lt;=7,"Em "&amp;(C56-TODAY())&amp;" dias","Agendada")))))</f>
        <v/>
      </c>
      <c r="G56" s="53" t="str">
        <f aca="false">IF(OR(A56="",NOT(ISNUMBER(C56))),"",IF(COUNTIFS($A$2:$A$301,A56,$C$2:$C$301,C56)&gt;1,"⚠ Folga duplicada",IF(COUNTIFS($B$2:$B$301,B56,$C$2:$C$301,C56)&gt;1,"⚠ "&amp;COUNTIFS($B$2:$B$301,B56,$C$2:$C$301,C56)&amp;" pessoas do setor de folga no dia","")))</f>
        <v/>
      </c>
      <c r="J56" s="0" t="str">
        <f aca="true">IF(AND(ISNUMBER(C56),C56=TODAY()),C56+ROW()/100000,"")</f>
        <v/>
      </c>
      <c r="K56" s="0" t="str">
        <f aca="true">IF(AND(ISNUMBER(C56),C56&gt;TODAY(),C56&lt;=TODAY()+7),C56+ROW()/100000,"")</f>
        <v/>
      </c>
      <c r="L56" s="0" t="str">
        <f aca="false">IF(AND(ISNUMBER(C56),C56=CALENDÁRIO!$L$4),ROW(),"")</f>
        <v/>
      </c>
    </row>
    <row r="57" customFormat="false" ht="15" hidden="false" customHeight="true" outlineLevel="0" collapsed="false">
      <c r="A57" s="52"/>
      <c r="B57" s="52"/>
      <c r="C57" s="51"/>
      <c r="D57" s="52"/>
      <c r="E57" s="53" t="str">
        <f aca="false">IF(ISNUMBER(C57),CHOOSE(WEEKDAY(C57),"Domingo","Segunda","Terça","Quarta","Quinta","Sexta","Sábado"),"")</f>
        <v/>
      </c>
      <c r="F57" s="53" t="str">
        <f aca="true">IF(NOT(ISNUMBER(C57)),"",IF(C57=TODAY(),"HOJE",IF(C57=TODAY()+1,"AMANHÃ",IF(C57&lt;TODAY(),"Realizada",IF(C57-TODAY()&lt;=7,"Em "&amp;(C57-TODAY())&amp;" dias","Agendada")))))</f>
        <v/>
      </c>
      <c r="G57" s="53" t="str">
        <f aca="false">IF(OR(A57="",NOT(ISNUMBER(C57))),"",IF(COUNTIFS($A$2:$A$301,A57,$C$2:$C$301,C57)&gt;1,"⚠ Folga duplicada",IF(COUNTIFS($B$2:$B$301,B57,$C$2:$C$301,C57)&gt;1,"⚠ "&amp;COUNTIFS($B$2:$B$301,B57,$C$2:$C$301,C57)&amp;" pessoas do setor de folga no dia","")))</f>
        <v/>
      </c>
      <c r="J57" s="0" t="str">
        <f aca="true">IF(AND(ISNUMBER(C57),C57=TODAY()),C57+ROW()/100000,"")</f>
        <v/>
      </c>
      <c r="K57" s="0" t="str">
        <f aca="true">IF(AND(ISNUMBER(C57),C57&gt;TODAY(),C57&lt;=TODAY()+7),C57+ROW()/100000,"")</f>
        <v/>
      </c>
      <c r="L57" s="0" t="str">
        <f aca="false">IF(AND(ISNUMBER(C57),C57=CALENDÁRIO!$L$4),ROW(),"")</f>
        <v/>
      </c>
    </row>
    <row r="58" customFormat="false" ht="15" hidden="false" customHeight="true" outlineLevel="0" collapsed="false">
      <c r="A58" s="52"/>
      <c r="B58" s="52"/>
      <c r="C58" s="51"/>
      <c r="D58" s="52"/>
      <c r="E58" s="53" t="str">
        <f aca="false">IF(ISNUMBER(C58),CHOOSE(WEEKDAY(C58),"Domingo","Segunda","Terça","Quarta","Quinta","Sexta","Sábado"),"")</f>
        <v/>
      </c>
      <c r="F58" s="53" t="str">
        <f aca="true">IF(NOT(ISNUMBER(C58)),"",IF(C58=TODAY(),"HOJE",IF(C58=TODAY()+1,"AMANHÃ",IF(C58&lt;TODAY(),"Realizada",IF(C58-TODAY()&lt;=7,"Em "&amp;(C58-TODAY())&amp;" dias","Agendada")))))</f>
        <v/>
      </c>
      <c r="G58" s="53" t="str">
        <f aca="false">IF(OR(A58="",NOT(ISNUMBER(C58))),"",IF(COUNTIFS($A$2:$A$301,A58,$C$2:$C$301,C58)&gt;1,"⚠ Folga duplicada",IF(COUNTIFS($B$2:$B$301,B58,$C$2:$C$301,C58)&gt;1,"⚠ "&amp;COUNTIFS($B$2:$B$301,B58,$C$2:$C$301,C58)&amp;" pessoas do setor de folga no dia","")))</f>
        <v/>
      </c>
      <c r="J58" s="0" t="str">
        <f aca="true">IF(AND(ISNUMBER(C58),C58=TODAY()),C58+ROW()/100000,"")</f>
        <v/>
      </c>
      <c r="K58" s="0" t="str">
        <f aca="true">IF(AND(ISNUMBER(C58),C58&gt;TODAY(),C58&lt;=TODAY()+7),C58+ROW()/100000,"")</f>
        <v/>
      </c>
      <c r="L58" s="0" t="str">
        <f aca="false">IF(AND(ISNUMBER(C58),C58=CALENDÁRIO!$L$4),ROW(),"")</f>
        <v/>
      </c>
    </row>
    <row r="59" customFormat="false" ht="15" hidden="false" customHeight="true" outlineLevel="0" collapsed="false">
      <c r="A59" s="52"/>
      <c r="B59" s="52"/>
      <c r="C59" s="51"/>
      <c r="D59" s="52"/>
      <c r="E59" s="53" t="str">
        <f aca="false">IF(ISNUMBER(C59),CHOOSE(WEEKDAY(C59),"Domingo","Segunda","Terça","Quarta","Quinta","Sexta","Sábado"),"")</f>
        <v/>
      </c>
      <c r="F59" s="53" t="str">
        <f aca="true">IF(NOT(ISNUMBER(C59)),"",IF(C59=TODAY(),"HOJE",IF(C59=TODAY()+1,"AMANHÃ",IF(C59&lt;TODAY(),"Realizada",IF(C59-TODAY()&lt;=7,"Em "&amp;(C59-TODAY())&amp;" dias","Agendada")))))</f>
        <v/>
      </c>
      <c r="G59" s="53" t="str">
        <f aca="false">IF(OR(A59="",NOT(ISNUMBER(C59))),"",IF(COUNTIFS($A$2:$A$301,A59,$C$2:$C$301,C59)&gt;1,"⚠ Folga duplicada",IF(COUNTIFS($B$2:$B$301,B59,$C$2:$C$301,C59)&gt;1,"⚠ "&amp;COUNTIFS($B$2:$B$301,B59,$C$2:$C$301,C59)&amp;" pessoas do setor de folga no dia","")))</f>
        <v/>
      </c>
      <c r="J59" s="0" t="str">
        <f aca="true">IF(AND(ISNUMBER(C59),C59=TODAY()),C59+ROW()/100000,"")</f>
        <v/>
      </c>
      <c r="K59" s="0" t="str">
        <f aca="true">IF(AND(ISNUMBER(C59),C59&gt;TODAY(),C59&lt;=TODAY()+7),C59+ROW()/100000,"")</f>
        <v/>
      </c>
      <c r="L59" s="0" t="str">
        <f aca="false">IF(AND(ISNUMBER(C59),C59=CALENDÁRIO!$L$4),ROW(),"")</f>
        <v/>
      </c>
    </row>
    <row r="60" customFormat="false" ht="15" hidden="false" customHeight="true" outlineLevel="0" collapsed="false">
      <c r="A60" s="52"/>
      <c r="B60" s="52"/>
      <c r="C60" s="51"/>
      <c r="D60" s="52"/>
      <c r="E60" s="53" t="str">
        <f aca="false">IF(ISNUMBER(C60),CHOOSE(WEEKDAY(C60),"Domingo","Segunda","Terça","Quarta","Quinta","Sexta","Sábado"),"")</f>
        <v/>
      </c>
      <c r="F60" s="53" t="str">
        <f aca="true">IF(NOT(ISNUMBER(C60)),"",IF(C60=TODAY(),"HOJE",IF(C60=TODAY()+1,"AMANHÃ",IF(C60&lt;TODAY(),"Realizada",IF(C60-TODAY()&lt;=7,"Em "&amp;(C60-TODAY())&amp;" dias","Agendada")))))</f>
        <v/>
      </c>
      <c r="G60" s="53" t="str">
        <f aca="false">IF(OR(A60="",NOT(ISNUMBER(C60))),"",IF(COUNTIFS($A$2:$A$301,A60,$C$2:$C$301,C60)&gt;1,"⚠ Folga duplicada",IF(COUNTIFS($B$2:$B$301,B60,$C$2:$C$301,C60)&gt;1,"⚠ "&amp;COUNTIFS($B$2:$B$301,B60,$C$2:$C$301,C60)&amp;" pessoas do setor de folga no dia","")))</f>
        <v/>
      </c>
      <c r="J60" s="0" t="str">
        <f aca="true">IF(AND(ISNUMBER(C60),C60=TODAY()),C60+ROW()/100000,"")</f>
        <v/>
      </c>
      <c r="K60" s="0" t="str">
        <f aca="true">IF(AND(ISNUMBER(C60),C60&gt;TODAY(),C60&lt;=TODAY()+7),C60+ROW()/100000,"")</f>
        <v/>
      </c>
      <c r="L60" s="0" t="str">
        <f aca="false">IF(AND(ISNUMBER(C60),C60=CALENDÁRIO!$L$4),ROW(),"")</f>
        <v/>
      </c>
    </row>
    <row r="61" customFormat="false" ht="15" hidden="false" customHeight="true" outlineLevel="0" collapsed="false">
      <c r="A61" s="52"/>
      <c r="B61" s="52"/>
      <c r="C61" s="51"/>
      <c r="D61" s="52"/>
      <c r="E61" s="53" t="str">
        <f aca="false">IF(ISNUMBER(C61),CHOOSE(WEEKDAY(C61),"Domingo","Segunda","Terça","Quarta","Quinta","Sexta","Sábado"),"")</f>
        <v/>
      </c>
      <c r="F61" s="53" t="str">
        <f aca="true">IF(NOT(ISNUMBER(C61)),"",IF(C61=TODAY(),"HOJE",IF(C61=TODAY()+1,"AMANHÃ",IF(C61&lt;TODAY(),"Realizada",IF(C61-TODAY()&lt;=7,"Em "&amp;(C61-TODAY())&amp;" dias","Agendada")))))</f>
        <v/>
      </c>
      <c r="G61" s="53" t="str">
        <f aca="false">IF(OR(A61="",NOT(ISNUMBER(C61))),"",IF(COUNTIFS($A$2:$A$301,A61,$C$2:$C$301,C61)&gt;1,"⚠ Folga duplicada",IF(COUNTIFS($B$2:$B$301,B61,$C$2:$C$301,C61)&gt;1,"⚠ "&amp;COUNTIFS($B$2:$B$301,B61,$C$2:$C$301,C61)&amp;" pessoas do setor de folga no dia","")))</f>
        <v/>
      </c>
      <c r="J61" s="0" t="str">
        <f aca="true">IF(AND(ISNUMBER(C61),C61=TODAY()),C61+ROW()/100000,"")</f>
        <v/>
      </c>
      <c r="K61" s="0" t="str">
        <f aca="true">IF(AND(ISNUMBER(C61),C61&gt;TODAY(),C61&lt;=TODAY()+7),C61+ROW()/100000,"")</f>
        <v/>
      </c>
      <c r="L61" s="0" t="str">
        <f aca="false">IF(AND(ISNUMBER(C61),C61=CALENDÁRIO!$L$4),ROW(),"")</f>
        <v/>
      </c>
    </row>
    <row r="62" customFormat="false" ht="15" hidden="false" customHeight="true" outlineLevel="0" collapsed="false">
      <c r="A62" s="52"/>
      <c r="B62" s="52"/>
      <c r="C62" s="51"/>
      <c r="D62" s="52"/>
      <c r="E62" s="53" t="str">
        <f aca="false">IF(ISNUMBER(C62),CHOOSE(WEEKDAY(C62),"Domingo","Segunda","Terça","Quarta","Quinta","Sexta","Sábado"),"")</f>
        <v/>
      </c>
      <c r="F62" s="53" t="str">
        <f aca="true">IF(NOT(ISNUMBER(C62)),"",IF(C62=TODAY(),"HOJE",IF(C62=TODAY()+1,"AMANHÃ",IF(C62&lt;TODAY(),"Realizada",IF(C62-TODAY()&lt;=7,"Em "&amp;(C62-TODAY())&amp;" dias","Agendada")))))</f>
        <v/>
      </c>
      <c r="G62" s="53" t="str">
        <f aca="false">IF(OR(A62="",NOT(ISNUMBER(C62))),"",IF(COUNTIFS($A$2:$A$301,A62,$C$2:$C$301,C62)&gt;1,"⚠ Folga duplicada",IF(COUNTIFS($B$2:$B$301,B62,$C$2:$C$301,C62)&gt;1,"⚠ "&amp;COUNTIFS($B$2:$B$301,B62,$C$2:$C$301,C62)&amp;" pessoas do setor de folga no dia","")))</f>
        <v/>
      </c>
      <c r="J62" s="0" t="str">
        <f aca="true">IF(AND(ISNUMBER(C62),C62=TODAY()),C62+ROW()/100000,"")</f>
        <v/>
      </c>
      <c r="K62" s="0" t="str">
        <f aca="true">IF(AND(ISNUMBER(C62),C62&gt;TODAY(),C62&lt;=TODAY()+7),C62+ROW()/100000,"")</f>
        <v/>
      </c>
      <c r="L62" s="0" t="str">
        <f aca="false">IF(AND(ISNUMBER(C62),C62=CALENDÁRIO!$L$4),ROW(),"")</f>
        <v/>
      </c>
    </row>
    <row r="63" customFormat="false" ht="15" hidden="false" customHeight="true" outlineLevel="0" collapsed="false">
      <c r="A63" s="52"/>
      <c r="B63" s="52"/>
      <c r="C63" s="51"/>
      <c r="D63" s="52"/>
      <c r="E63" s="53" t="str">
        <f aca="false">IF(ISNUMBER(C63),CHOOSE(WEEKDAY(C63),"Domingo","Segunda","Terça","Quarta","Quinta","Sexta","Sábado"),"")</f>
        <v/>
      </c>
      <c r="F63" s="53" t="str">
        <f aca="true">IF(NOT(ISNUMBER(C63)),"",IF(C63=TODAY(),"HOJE",IF(C63=TODAY()+1,"AMANHÃ",IF(C63&lt;TODAY(),"Realizada",IF(C63-TODAY()&lt;=7,"Em "&amp;(C63-TODAY())&amp;" dias","Agendada")))))</f>
        <v/>
      </c>
      <c r="G63" s="53" t="str">
        <f aca="false">IF(OR(A63="",NOT(ISNUMBER(C63))),"",IF(COUNTIFS($A$2:$A$301,A63,$C$2:$C$301,C63)&gt;1,"⚠ Folga duplicada",IF(COUNTIFS($B$2:$B$301,B63,$C$2:$C$301,C63)&gt;1,"⚠ "&amp;COUNTIFS($B$2:$B$301,B63,$C$2:$C$301,C63)&amp;" pessoas do setor de folga no dia","")))</f>
        <v/>
      </c>
      <c r="J63" s="0" t="str">
        <f aca="true">IF(AND(ISNUMBER(C63),C63=TODAY()),C63+ROW()/100000,"")</f>
        <v/>
      </c>
      <c r="K63" s="0" t="str">
        <f aca="true">IF(AND(ISNUMBER(C63),C63&gt;TODAY(),C63&lt;=TODAY()+7),C63+ROW()/100000,"")</f>
        <v/>
      </c>
      <c r="L63" s="0" t="str">
        <f aca="false">IF(AND(ISNUMBER(C63),C63=CALENDÁRIO!$L$4),ROW(),"")</f>
        <v/>
      </c>
    </row>
    <row r="64" customFormat="false" ht="15" hidden="false" customHeight="true" outlineLevel="0" collapsed="false">
      <c r="A64" s="52"/>
      <c r="B64" s="52"/>
      <c r="C64" s="51"/>
      <c r="D64" s="52"/>
      <c r="E64" s="53" t="str">
        <f aca="false">IF(ISNUMBER(C64),CHOOSE(WEEKDAY(C64),"Domingo","Segunda","Terça","Quarta","Quinta","Sexta","Sábado"),"")</f>
        <v/>
      </c>
      <c r="F64" s="53" t="str">
        <f aca="true">IF(NOT(ISNUMBER(C64)),"",IF(C64=TODAY(),"HOJE",IF(C64=TODAY()+1,"AMANHÃ",IF(C64&lt;TODAY(),"Realizada",IF(C64-TODAY()&lt;=7,"Em "&amp;(C64-TODAY())&amp;" dias","Agendada")))))</f>
        <v/>
      </c>
      <c r="G64" s="53" t="str">
        <f aca="false">IF(OR(A64="",NOT(ISNUMBER(C64))),"",IF(COUNTIFS($A$2:$A$301,A64,$C$2:$C$301,C64)&gt;1,"⚠ Folga duplicada",IF(COUNTIFS($B$2:$B$301,B64,$C$2:$C$301,C64)&gt;1,"⚠ "&amp;COUNTIFS($B$2:$B$301,B64,$C$2:$C$301,C64)&amp;" pessoas do setor de folga no dia","")))</f>
        <v/>
      </c>
      <c r="J64" s="0" t="str">
        <f aca="true">IF(AND(ISNUMBER(C64),C64=TODAY()),C64+ROW()/100000,"")</f>
        <v/>
      </c>
      <c r="K64" s="0" t="str">
        <f aca="true">IF(AND(ISNUMBER(C64),C64&gt;TODAY(),C64&lt;=TODAY()+7),C64+ROW()/100000,"")</f>
        <v/>
      </c>
      <c r="L64" s="0" t="str">
        <f aca="false">IF(AND(ISNUMBER(C64),C64=CALENDÁRIO!$L$4),ROW(),"")</f>
        <v/>
      </c>
    </row>
    <row r="65" customFormat="false" ht="15" hidden="false" customHeight="true" outlineLevel="0" collapsed="false">
      <c r="A65" s="52"/>
      <c r="B65" s="52"/>
      <c r="C65" s="51"/>
      <c r="D65" s="52"/>
      <c r="E65" s="53" t="str">
        <f aca="false">IF(ISNUMBER(C65),CHOOSE(WEEKDAY(C65),"Domingo","Segunda","Terça","Quarta","Quinta","Sexta","Sábado"),"")</f>
        <v/>
      </c>
      <c r="F65" s="53" t="str">
        <f aca="true">IF(NOT(ISNUMBER(C65)),"",IF(C65=TODAY(),"HOJE",IF(C65=TODAY()+1,"AMANHÃ",IF(C65&lt;TODAY(),"Realizada",IF(C65-TODAY()&lt;=7,"Em "&amp;(C65-TODAY())&amp;" dias","Agendada")))))</f>
        <v/>
      </c>
      <c r="G65" s="53" t="str">
        <f aca="false">IF(OR(A65="",NOT(ISNUMBER(C65))),"",IF(COUNTIFS($A$2:$A$301,A65,$C$2:$C$301,C65)&gt;1,"⚠ Folga duplicada",IF(COUNTIFS($B$2:$B$301,B65,$C$2:$C$301,C65)&gt;1,"⚠ "&amp;COUNTIFS($B$2:$B$301,B65,$C$2:$C$301,C65)&amp;" pessoas do setor de folga no dia","")))</f>
        <v/>
      </c>
      <c r="J65" s="0" t="str">
        <f aca="true">IF(AND(ISNUMBER(C65),C65=TODAY()),C65+ROW()/100000,"")</f>
        <v/>
      </c>
      <c r="K65" s="0" t="str">
        <f aca="true">IF(AND(ISNUMBER(C65),C65&gt;TODAY(),C65&lt;=TODAY()+7),C65+ROW()/100000,"")</f>
        <v/>
      </c>
      <c r="L65" s="0" t="str">
        <f aca="false">IF(AND(ISNUMBER(C65),C65=CALENDÁRIO!$L$4),ROW(),"")</f>
        <v/>
      </c>
    </row>
    <row r="66" customFormat="false" ht="15" hidden="false" customHeight="true" outlineLevel="0" collapsed="false">
      <c r="A66" s="52"/>
      <c r="B66" s="52"/>
      <c r="C66" s="51"/>
      <c r="D66" s="52"/>
      <c r="E66" s="53" t="str">
        <f aca="false">IF(ISNUMBER(C66),CHOOSE(WEEKDAY(C66),"Domingo","Segunda","Terça","Quarta","Quinta","Sexta","Sábado"),"")</f>
        <v/>
      </c>
      <c r="F66" s="53" t="str">
        <f aca="true">IF(NOT(ISNUMBER(C66)),"",IF(C66=TODAY(),"HOJE",IF(C66=TODAY()+1,"AMANHÃ",IF(C66&lt;TODAY(),"Realizada",IF(C66-TODAY()&lt;=7,"Em "&amp;(C66-TODAY())&amp;" dias","Agendada")))))</f>
        <v/>
      </c>
      <c r="G66" s="53" t="str">
        <f aca="false">IF(OR(A66="",NOT(ISNUMBER(C66))),"",IF(COUNTIFS($A$2:$A$301,A66,$C$2:$C$301,C66)&gt;1,"⚠ Folga duplicada",IF(COUNTIFS($B$2:$B$301,B66,$C$2:$C$301,C66)&gt;1,"⚠ "&amp;COUNTIFS($B$2:$B$301,B66,$C$2:$C$301,C66)&amp;" pessoas do setor de folga no dia","")))</f>
        <v/>
      </c>
      <c r="J66" s="0" t="str">
        <f aca="true">IF(AND(ISNUMBER(C66),C66=TODAY()),C66+ROW()/100000,"")</f>
        <v/>
      </c>
      <c r="K66" s="0" t="str">
        <f aca="true">IF(AND(ISNUMBER(C66),C66&gt;TODAY(),C66&lt;=TODAY()+7),C66+ROW()/100000,"")</f>
        <v/>
      </c>
      <c r="L66" s="0" t="str">
        <f aca="false">IF(AND(ISNUMBER(C66),C66=CALENDÁRIO!$L$4),ROW(),"")</f>
        <v/>
      </c>
    </row>
    <row r="67" customFormat="false" ht="15" hidden="false" customHeight="true" outlineLevel="0" collapsed="false">
      <c r="A67" s="52"/>
      <c r="B67" s="52"/>
      <c r="C67" s="51"/>
      <c r="D67" s="52"/>
      <c r="E67" s="53" t="str">
        <f aca="false">IF(ISNUMBER(C67),CHOOSE(WEEKDAY(C67),"Domingo","Segunda","Terça","Quarta","Quinta","Sexta","Sábado"),"")</f>
        <v/>
      </c>
      <c r="F67" s="53" t="str">
        <f aca="true">IF(NOT(ISNUMBER(C67)),"",IF(C67=TODAY(),"HOJE",IF(C67=TODAY()+1,"AMANHÃ",IF(C67&lt;TODAY(),"Realizada",IF(C67-TODAY()&lt;=7,"Em "&amp;(C67-TODAY())&amp;" dias","Agendada")))))</f>
        <v/>
      </c>
      <c r="G67" s="53" t="str">
        <f aca="false">IF(OR(A67="",NOT(ISNUMBER(C67))),"",IF(COUNTIFS($A$2:$A$301,A67,$C$2:$C$301,C67)&gt;1,"⚠ Folga duplicada",IF(COUNTIFS($B$2:$B$301,B67,$C$2:$C$301,C67)&gt;1,"⚠ "&amp;COUNTIFS($B$2:$B$301,B67,$C$2:$C$301,C67)&amp;" pessoas do setor de folga no dia","")))</f>
        <v/>
      </c>
      <c r="J67" s="0" t="str">
        <f aca="true">IF(AND(ISNUMBER(C67),C67=TODAY()),C67+ROW()/100000,"")</f>
        <v/>
      </c>
      <c r="K67" s="0" t="str">
        <f aca="true">IF(AND(ISNUMBER(C67),C67&gt;TODAY(),C67&lt;=TODAY()+7),C67+ROW()/100000,"")</f>
        <v/>
      </c>
      <c r="L67" s="0" t="str">
        <f aca="false">IF(AND(ISNUMBER(C67),C67=CALENDÁRIO!$L$4),ROW(),"")</f>
        <v/>
      </c>
    </row>
    <row r="68" customFormat="false" ht="15" hidden="false" customHeight="true" outlineLevel="0" collapsed="false">
      <c r="A68" s="52"/>
      <c r="B68" s="52"/>
      <c r="C68" s="51"/>
      <c r="D68" s="52"/>
      <c r="E68" s="53" t="str">
        <f aca="false">IF(ISNUMBER(C68),CHOOSE(WEEKDAY(C68),"Domingo","Segunda","Terça","Quarta","Quinta","Sexta","Sábado"),"")</f>
        <v/>
      </c>
      <c r="F68" s="53" t="str">
        <f aca="true">IF(NOT(ISNUMBER(C68)),"",IF(C68=TODAY(),"HOJE",IF(C68=TODAY()+1,"AMANHÃ",IF(C68&lt;TODAY(),"Realizada",IF(C68-TODAY()&lt;=7,"Em "&amp;(C68-TODAY())&amp;" dias","Agendada")))))</f>
        <v/>
      </c>
      <c r="G68" s="53" t="str">
        <f aca="false">IF(OR(A68="",NOT(ISNUMBER(C68))),"",IF(COUNTIFS($A$2:$A$301,A68,$C$2:$C$301,C68)&gt;1,"⚠ Folga duplicada",IF(COUNTIFS($B$2:$B$301,B68,$C$2:$C$301,C68)&gt;1,"⚠ "&amp;COUNTIFS($B$2:$B$301,B68,$C$2:$C$301,C68)&amp;" pessoas do setor de folga no dia","")))</f>
        <v/>
      </c>
      <c r="J68" s="0" t="str">
        <f aca="true">IF(AND(ISNUMBER(C68),C68=TODAY()),C68+ROW()/100000,"")</f>
        <v/>
      </c>
      <c r="K68" s="0" t="str">
        <f aca="true">IF(AND(ISNUMBER(C68),C68&gt;TODAY(),C68&lt;=TODAY()+7),C68+ROW()/100000,"")</f>
        <v/>
      </c>
      <c r="L68" s="0" t="str">
        <f aca="false">IF(AND(ISNUMBER(C68),C68=CALENDÁRIO!$L$4),ROW(),"")</f>
        <v/>
      </c>
    </row>
    <row r="69" customFormat="false" ht="15" hidden="false" customHeight="true" outlineLevel="0" collapsed="false">
      <c r="A69" s="52"/>
      <c r="B69" s="52"/>
      <c r="C69" s="51"/>
      <c r="D69" s="52"/>
      <c r="E69" s="53" t="str">
        <f aca="false">IF(ISNUMBER(C69),CHOOSE(WEEKDAY(C69),"Domingo","Segunda","Terça","Quarta","Quinta","Sexta","Sábado"),"")</f>
        <v/>
      </c>
      <c r="F69" s="53" t="str">
        <f aca="true">IF(NOT(ISNUMBER(C69)),"",IF(C69=TODAY(),"HOJE",IF(C69=TODAY()+1,"AMANHÃ",IF(C69&lt;TODAY(),"Realizada",IF(C69-TODAY()&lt;=7,"Em "&amp;(C69-TODAY())&amp;" dias","Agendada")))))</f>
        <v/>
      </c>
      <c r="G69" s="53" t="str">
        <f aca="false">IF(OR(A69="",NOT(ISNUMBER(C69))),"",IF(COUNTIFS($A$2:$A$301,A69,$C$2:$C$301,C69)&gt;1,"⚠ Folga duplicada",IF(COUNTIFS($B$2:$B$301,B69,$C$2:$C$301,C69)&gt;1,"⚠ "&amp;COUNTIFS($B$2:$B$301,B69,$C$2:$C$301,C69)&amp;" pessoas do setor de folga no dia","")))</f>
        <v/>
      </c>
      <c r="J69" s="0" t="str">
        <f aca="true">IF(AND(ISNUMBER(C69),C69=TODAY()),C69+ROW()/100000,"")</f>
        <v/>
      </c>
      <c r="K69" s="0" t="str">
        <f aca="true">IF(AND(ISNUMBER(C69),C69&gt;TODAY(),C69&lt;=TODAY()+7),C69+ROW()/100000,"")</f>
        <v/>
      </c>
      <c r="L69" s="0" t="str">
        <f aca="false">IF(AND(ISNUMBER(C69),C69=CALENDÁRIO!$L$4),ROW(),"")</f>
        <v/>
      </c>
    </row>
    <row r="70" customFormat="false" ht="15" hidden="false" customHeight="true" outlineLevel="0" collapsed="false">
      <c r="A70" s="52"/>
      <c r="B70" s="52"/>
      <c r="C70" s="51"/>
      <c r="D70" s="52"/>
      <c r="E70" s="53" t="str">
        <f aca="false">IF(ISNUMBER(C70),CHOOSE(WEEKDAY(C70),"Domingo","Segunda","Terça","Quarta","Quinta","Sexta","Sábado"),"")</f>
        <v/>
      </c>
      <c r="F70" s="53" t="str">
        <f aca="true">IF(NOT(ISNUMBER(C70)),"",IF(C70=TODAY(),"HOJE",IF(C70=TODAY()+1,"AMANHÃ",IF(C70&lt;TODAY(),"Realizada",IF(C70-TODAY()&lt;=7,"Em "&amp;(C70-TODAY())&amp;" dias","Agendada")))))</f>
        <v/>
      </c>
      <c r="G70" s="53" t="str">
        <f aca="false">IF(OR(A70="",NOT(ISNUMBER(C70))),"",IF(COUNTIFS($A$2:$A$301,A70,$C$2:$C$301,C70)&gt;1,"⚠ Folga duplicada",IF(COUNTIFS($B$2:$B$301,B70,$C$2:$C$301,C70)&gt;1,"⚠ "&amp;COUNTIFS($B$2:$B$301,B70,$C$2:$C$301,C70)&amp;" pessoas do setor de folga no dia","")))</f>
        <v/>
      </c>
      <c r="J70" s="0" t="str">
        <f aca="true">IF(AND(ISNUMBER(C70),C70=TODAY()),C70+ROW()/100000,"")</f>
        <v/>
      </c>
      <c r="K70" s="0" t="str">
        <f aca="true">IF(AND(ISNUMBER(C70),C70&gt;TODAY(),C70&lt;=TODAY()+7),C70+ROW()/100000,"")</f>
        <v/>
      </c>
      <c r="L70" s="0" t="str">
        <f aca="false">IF(AND(ISNUMBER(C70),C70=CALENDÁRIO!$L$4),ROW(),"")</f>
        <v/>
      </c>
    </row>
    <row r="71" customFormat="false" ht="15" hidden="false" customHeight="true" outlineLevel="0" collapsed="false">
      <c r="A71" s="52"/>
      <c r="B71" s="52"/>
      <c r="C71" s="51"/>
      <c r="D71" s="52"/>
      <c r="E71" s="53" t="str">
        <f aca="false">IF(ISNUMBER(C71),CHOOSE(WEEKDAY(C71),"Domingo","Segunda","Terça","Quarta","Quinta","Sexta","Sábado"),"")</f>
        <v/>
      </c>
      <c r="F71" s="53" t="str">
        <f aca="true">IF(NOT(ISNUMBER(C71)),"",IF(C71=TODAY(),"HOJE",IF(C71=TODAY()+1,"AMANHÃ",IF(C71&lt;TODAY(),"Realizada",IF(C71-TODAY()&lt;=7,"Em "&amp;(C71-TODAY())&amp;" dias","Agendada")))))</f>
        <v/>
      </c>
      <c r="G71" s="53" t="str">
        <f aca="false">IF(OR(A71="",NOT(ISNUMBER(C71))),"",IF(COUNTIFS($A$2:$A$301,A71,$C$2:$C$301,C71)&gt;1,"⚠ Folga duplicada",IF(COUNTIFS($B$2:$B$301,B71,$C$2:$C$301,C71)&gt;1,"⚠ "&amp;COUNTIFS($B$2:$B$301,B71,$C$2:$C$301,C71)&amp;" pessoas do setor de folga no dia","")))</f>
        <v/>
      </c>
      <c r="J71" s="0" t="str">
        <f aca="true">IF(AND(ISNUMBER(C71),C71=TODAY()),C71+ROW()/100000,"")</f>
        <v/>
      </c>
      <c r="K71" s="0" t="str">
        <f aca="true">IF(AND(ISNUMBER(C71),C71&gt;TODAY(),C71&lt;=TODAY()+7),C71+ROW()/100000,"")</f>
        <v/>
      </c>
      <c r="L71" s="0" t="str">
        <f aca="false">IF(AND(ISNUMBER(C71),C71=CALENDÁRIO!$L$4),ROW(),"")</f>
        <v/>
      </c>
    </row>
    <row r="72" customFormat="false" ht="15" hidden="false" customHeight="true" outlineLevel="0" collapsed="false">
      <c r="A72" s="52"/>
      <c r="B72" s="52"/>
      <c r="C72" s="51"/>
      <c r="D72" s="52"/>
      <c r="E72" s="53" t="str">
        <f aca="false">IF(ISNUMBER(C72),CHOOSE(WEEKDAY(C72),"Domingo","Segunda","Terça","Quarta","Quinta","Sexta","Sábado"),"")</f>
        <v/>
      </c>
      <c r="F72" s="53" t="str">
        <f aca="true">IF(NOT(ISNUMBER(C72)),"",IF(C72=TODAY(),"HOJE",IF(C72=TODAY()+1,"AMANHÃ",IF(C72&lt;TODAY(),"Realizada",IF(C72-TODAY()&lt;=7,"Em "&amp;(C72-TODAY())&amp;" dias","Agendada")))))</f>
        <v/>
      </c>
      <c r="G72" s="53" t="str">
        <f aca="false">IF(OR(A72="",NOT(ISNUMBER(C72))),"",IF(COUNTIFS($A$2:$A$301,A72,$C$2:$C$301,C72)&gt;1,"⚠ Folga duplicada",IF(COUNTIFS($B$2:$B$301,B72,$C$2:$C$301,C72)&gt;1,"⚠ "&amp;COUNTIFS($B$2:$B$301,B72,$C$2:$C$301,C72)&amp;" pessoas do setor de folga no dia","")))</f>
        <v/>
      </c>
      <c r="J72" s="0" t="str">
        <f aca="true">IF(AND(ISNUMBER(C72),C72=TODAY()),C72+ROW()/100000,"")</f>
        <v/>
      </c>
      <c r="K72" s="0" t="str">
        <f aca="true">IF(AND(ISNUMBER(C72),C72&gt;TODAY(),C72&lt;=TODAY()+7),C72+ROW()/100000,"")</f>
        <v/>
      </c>
      <c r="L72" s="0" t="str">
        <f aca="false">IF(AND(ISNUMBER(C72),C72=CALENDÁRIO!$L$4),ROW(),"")</f>
        <v/>
      </c>
    </row>
    <row r="73" customFormat="false" ht="15" hidden="false" customHeight="true" outlineLevel="0" collapsed="false">
      <c r="A73" s="52"/>
      <c r="B73" s="52"/>
      <c r="C73" s="51"/>
      <c r="D73" s="52"/>
      <c r="E73" s="53" t="str">
        <f aca="false">IF(ISNUMBER(C73),CHOOSE(WEEKDAY(C73),"Domingo","Segunda","Terça","Quarta","Quinta","Sexta","Sábado"),"")</f>
        <v/>
      </c>
      <c r="F73" s="53" t="str">
        <f aca="true">IF(NOT(ISNUMBER(C73)),"",IF(C73=TODAY(),"HOJE",IF(C73=TODAY()+1,"AMANHÃ",IF(C73&lt;TODAY(),"Realizada",IF(C73-TODAY()&lt;=7,"Em "&amp;(C73-TODAY())&amp;" dias","Agendada")))))</f>
        <v/>
      </c>
      <c r="G73" s="53" t="str">
        <f aca="false">IF(OR(A73="",NOT(ISNUMBER(C73))),"",IF(COUNTIFS($A$2:$A$301,A73,$C$2:$C$301,C73)&gt;1,"⚠ Folga duplicada",IF(COUNTIFS($B$2:$B$301,B73,$C$2:$C$301,C73)&gt;1,"⚠ "&amp;COUNTIFS($B$2:$B$301,B73,$C$2:$C$301,C73)&amp;" pessoas do setor de folga no dia","")))</f>
        <v/>
      </c>
      <c r="J73" s="0" t="str">
        <f aca="true">IF(AND(ISNUMBER(C73),C73=TODAY()),C73+ROW()/100000,"")</f>
        <v/>
      </c>
      <c r="K73" s="0" t="str">
        <f aca="true">IF(AND(ISNUMBER(C73),C73&gt;TODAY(),C73&lt;=TODAY()+7),C73+ROW()/100000,"")</f>
        <v/>
      </c>
      <c r="L73" s="0" t="str">
        <f aca="false">IF(AND(ISNUMBER(C73),C73=CALENDÁRIO!$L$4),ROW(),"")</f>
        <v/>
      </c>
    </row>
    <row r="74" customFormat="false" ht="15" hidden="false" customHeight="true" outlineLevel="0" collapsed="false">
      <c r="A74" s="52"/>
      <c r="B74" s="52"/>
      <c r="C74" s="51"/>
      <c r="D74" s="52"/>
      <c r="E74" s="53" t="str">
        <f aca="false">IF(ISNUMBER(C74),CHOOSE(WEEKDAY(C74),"Domingo","Segunda","Terça","Quarta","Quinta","Sexta","Sábado"),"")</f>
        <v/>
      </c>
      <c r="F74" s="53" t="str">
        <f aca="true">IF(NOT(ISNUMBER(C74)),"",IF(C74=TODAY(),"HOJE",IF(C74=TODAY()+1,"AMANHÃ",IF(C74&lt;TODAY(),"Realizada",IF(C74-TODAY()&lt;=7,"Em "&amp;(C74-TODAY())&amp;" dias","Agendada")))))</f>
        <v/>
      </c>
      <c r="G74" s="53" t="str">
        <f aca="false">IF(OR(A74="",NOT(ISNUMBER(C74))),"",IF(COUNTIFS($A$2:$A$301,A74,$C$2:$C$301,C74)&gt;1,"⚠ Folga duplicada",IF(COUNTIFS($B$2:$B$301,B74,$C$2:$C$301,C74)&gt;1,"⚠ "&amp;COUNTIFS($B$2:$B$301,B74,$C$2:$C$301,C74)&amp;" pessoas do setor de folga no dia","")))</f>
        <v/>
      </c>
      <c r="J74" s="0" t="str">
        <f aca="true">IF(AND(ISNUMBER(C74),C74=TODAY()),C74+ROW()/100000,"")</f>
        <v/>
      </c>
      <c r="K74" s="0" t="str">
        <f aca="true">IF(AND(ISNUMBER(C74),C74&gt;TODAY(),C74&lt;=TODAY()+7),C74+ROW()/100000,"")</f>
        <v/>
      </c>
      <c r="L74" s="0" t="str">
        <f aca="false">IF(AND(ISNUMBER(C74),C74=CALENDÁRIO!$L$4),ROW(),"")</f>
        <v/>
      </c>
    </row>
    <row r="75" customFormat="false" ht="15" hidden="false" customHeight="true" outlineLevel="0" collapsed="false">
      <c r="A75" s="52"/>
      <c r="B75" s="52"/>
      <c r="C75" s="51"/>
      <c r="D75" s="52"/>
      <c r="E75" s="53" t="str">
        <f aca="false">IF(ISNUMBER(C75),CHOOSE(WEEKDAY(C75),"Domingo","Segunda","Terça","Quarta","Quinta","Sexta","Sábado"),"")</f>
        <v/>
      </c>
      <c r="F75" s="53" t="str">
        <f aca="true">IF(NOT(ISNUMBER(C75)),"",IF(C75=TODAY(),"HOJE",IF(C75=TODAY()+1,"AMANHÃ",IF(C75&lt;TODAY(),"Realizada",IF(C75-TODAY()&lt;=7,"Em "&amp;(C75-TODAY())&amp;" dias","Agendada")))))</f>
        <v/>
      </c>
      <c r="G75" s="53" t="str">
        <f aca="false">IF(OR(A75="",NOT(ISNUMBER(C75))),"",IF(COUNTIFS($A$2:$A$301,A75,$C$2:$C$301,C75)&gt;1,"⚠ Folga duplicada",IF(COUNTIFS($B$2:$B$301,B75,$C$2:$C$301,C75)&gt;1,"⚠ "&amp;COUNTIFS($B$2:$B$301,B75,$C$2:$C$301,C75)&amp;" pessoas do setor de folga no dia","")))</f>
        <v/>
      </c>
      <c r="J75" s="0" t="str">
        <f aca="true">IF(AND(ISNUMBER(C75),C75=TODAY()),C75+ROW()/100000,"")</f>
        <v/>
      </c>
      <c r="K75" s="0" t="str">
        <f aca="true">IF(AND(ISNUMBER(C75),C75&gt;TODAY(),C75&lt;=TODAY()+7),C75+ROW()/100000,"")</f>
        <v/>
      </c>
      <c r="L75" s="0" t="str">
        <f aca="false">IF(AND(ISNUMBER(C75),C75=CALENDÁRIO!$L$4),ROW(),"")</f>
        <v/>
      </c>
    </row>
    <row r="76" customFormat="false" ht="15" hidden="false" customHeight="true" outlineLevel="0" collapsed="false">
      <c r="A76" s="52"/>
      <c r="B76" s="52"/>
      <c r="C76" s="51"/>
      <c r="D76" s="52"/>
      <c r="E76" s="53" t="str">
        <f aca="false">IF(ISNUMBER(C76),CHOOSE(WEEKDAY(C76),"Domingo","Segunda","Terça","Quarta","Quinta","Sexta","Sábado"),"")</f>
        <v/>
      </c>
      <c r="F76" s="53" t="str">
        <f aca="true">IF(NOT(ISNUMBER(C76)),"",IF(C76=TODAY(),"HOJE",IF(C76=TODAY()+1,"AMANHÃ",IF(C76&lt;TODAY(),"Realizada",IF(C76-TODAY()&lt;=7,"Em "&amp;(C76-TODAY())&amp;" dias","Agendada")))))</f>
        <v/>
      </c>
      <c r="G76" s="53" t="str">
        <f aca="false">IF(OR(A76="",NOT(ISNUMBER(C76))),"",IF(COUNTIFS($A$2:$A$301,A76,$C$2:$C$301,C76)&gt;1,"⚠ Folga duplicada",IF(COUNTIFS($B$2:$B$301,B76,$C$2:$C$301,C76)&gt;1,"⚠ "&amp;COUNTIFS($B$2:$B$301,B76,$C$2:$C$301,C76)&amp;" pessoas do setor de folga no dia","")))</f>
        <v/>
      </c>
      <c r="J76" s="0" t="str">
        <f aca="true">IF(AND(ISNUMBER(C76),C76=TODAY()),C76+ROW()/100000,"")</f>
        <v/>
      </c>
      <c r="K76" s="0" t="str">
        <f aca="true">IF(AND(ISNUMBER(C76),C76&gt;TODAY(),C76&lt;=TODAY()+7),C76+ROW()/100000,"")</f>
        <v/>
      </c>
      <c r="L76" s="0" t="str">
        <f aca="false">IF(AND(ISNUMBER(C76),C76=CALENDÁRIO!$L$4),ROW(),"")</f>
        <v/>
      </c>
    </row>
    <row r="77" customFormat="false" ht="15" hidden="false" customHeight="true" outlineLevel="0" collapsed="false">
      <c r="A77" s="52"/>
      <c r="B77" s="52"/>
      <c r="C77" s="51"/>
      <c r="D77" s="52"/>
      <c r="E77" s="53" t="str">
        <f aca="false">IF(ISNUMBER(C77),CHOOSE(WEEKDAY(C77),"Domingo","Segunda","Terça","Quarta","Quinta","Sexta","Sábado"),"")</f>
        <v/>
      </c>
      <c r="F77" s="53" t="str">
        <f aca="true">IF(NOT(ISNUMBER(C77)),"",IF(C77=TODAY(),"HOJE",IF(C77=TODAY()+1,"AMANHÃ",IF(C77&lt;TODAY(),"Realizada",IF(C77-TODAY()&lt;=7,"Em "&amp;(C77-TODAY())&amp;" dias","Agendada")))))</f>
        <v/>
      </c>
      <c r="G77" s="53" t="str">
        <f aca="false">IF(OR(A77="",NOT(ISNUMBER(C77))),"",IF(COUNTIFS($A$2:$A$301,A77,$C$2:$C$301,C77)&gt;1,"⚠ Folga duplicada",IF(COUNTIFS($B$2:$B$301,B77,$C$2:$C$301,C77)&gt;1,"⚠ "&amp;COUNTIFS($B$2:$B$301,B77,$C$2:$C$301,C77)&amp;" pessoas do setor de folga no dia","")))</f>
        <v/>
      </c>
      <c r="J77" s="0" t="str">
        <f aca="true">IF(AND(ISNUMBER(C77),C77=TODAY()),C77+ROW()/100000,"")</f>
        <v/>
      </c>
      <c r="K77" s="0" t="str">
        <f aca="true">IF(AND(ISNUMBER(C77),C77&gt;TODAY(),C77&lt;=TODAY()+7),C77+ROW()/100000,"")</f>
        <v/>
      </c>
      <c r="L77" s="0" t="str">
        <f aca="false">IF(AND(ISNUMBER(C77),C77=CALENDÁRIO!$L$4),ROW(),"")</f>
        <v/>
      </c>
    </row>
    <row r="78" customFormat="false" ht="15" hidden="false" customHeight="true" outlineLevel="0" collapsed="false">
      <c r="A78" s="52"/>
      <c r="B78" s="52"/>
      <c r="C78" s="51"/>
      <c r="D78" s="52"/>
      <c r="E78" s="53" t="str">
        <f aca="false">IF(ISNUMBER(C78),CHOOSE(WEEKDAY(C78),"Domingo","Segunda","Terça","Quarta","Quinta","Sexta","Sábado"),"")</f>
        <v/>
      </c>
      <c r="F78" s="53" t="str">
        <f aca="true">IF(NOT(ISNUMBER(C78)),"",IF(C78=TODAY(),"HOJE",IF(C78=TODAY()+1,"AMANHÃ",IF(C78&lt;TODAY(),"Realizada",IF(C78-TODAY()&lt;=7,"Em "&amp;(C78-TODAY())&amp;" dias","Agendada")))))</f>
        <v/>
      </c>
      <c r="G78" s="53" t="str">
        <f aca="false">IF(OR(A78="",NOT(ISNUMBER(C78))),"",IF(COUNTIFS($A$2:$A$301,A78,$C$2:$C$301,C78)&gt;1,"⚠ Folga duplicada",IF(COUNTIFS($B$2:$B$301,B78,$C$2:$C$301,C78)&gt;1,"⚠ "&amp;COUNTIFS($B$2:$B$301,B78,$C$2:$C$301,C78)&amp;" pessoas do setor de folga no dia","")))</f>
        <v/>
      </c>
      <c r="J78" s="0" t="str">
        <f aca="true">IF(AND(ISNUMBER(C78),C78=TODAY()),C78+ROW()/100000,"")</f>
        <v/>
      </c>
      <c r="K78" s="0" t="str">
        <f aca="true">IF(AND(ISNUMBER(C78),C78&gt;TODAY(),C78&lt;=TODAY()+7),C78+ROW()/100000,"")</f>
        <v/>
      </c>
      <c r="L78" s="0" t="str">
        <f aca="false">IF(AND(ISNUMBER(C78),C78=CALENDÁRIO!$L$4),ROW(),"")</f>
        <v/>
      </c>
    </row>
    <row r="79" customFormat="false" ht="15" hidden="false" customHeight="true" outlineLevel="0" collapsed="false">
      <c r="A79" s="52"/>
      <c r="B79" s="52"/>
      <c r="C79" s="51"/>
      <c r="D79" s="52"/>
      <c r="E79" s="53" t="str">
        <f aca="false">IF(ISNUMBER(C79),CHOOSE(WEEKDAY(C79),"Domingo","Segunda","Terça","Quarta","Quinta","Sexta","Sábado"),"")</f>
        <v/>
      </c>
      <c r="F79" s="53" t="str">
        <f aca="true">IF(NOT(ISNUMBER(C79)),"",IF(C79=TODAY(),"HOJE",IF(C79=TODAY()+1,"AMANHÃ",IF(C79&lt;TODAY(),"Realizada",IF(C79-TODAY()&lt;=7,"Em "&amp;(C79-TODAY())&amp;" dias","Agendada")))))</f>
        <v/>
      </c>
      <c r="G79" s="53" t="str">
        <f aca="false">IF(OR(A79="",NOT(ISNUMBER(C79))),"",IF(COUNTIFS($A$2:$A$301,A79,$C$2:$C$301,C79)&gt;1,"⚠ Folga duplicada",IF(COUNTIFS($B$2:$B$301,B79,$C$2:$C$301,C79)&gt;1,"⚠ "&amp;COUNTIFS($B$2:$B$301,B79,$C$2:$C$301,C79)&amp;" pessoas do setor de folga no dia","")))</f>
        <v/>
      </c>
      <c r="J79" s="0" t="str">
        <f aca="true">IF(AND(ISNUMBER(C79),C79=TODAY()),C79+ROW()/100000,"")</f>
        <v/>
      </c>
      <c r="K79" s="0" t="str">
        <f aca="true">IF(AND(ISNUMBER(C79),C79&gt;TODAY(),C79&lt;=TODAY()+7),C79+ROW()/100000,"")</f>
        <v/>
      </c>
      <c r="L79" s="0" t="str">
        <f aca="false">IF(AND(ISNUMBER(C79),C79=CALENDÁRIO!$L$4),ROW(),"")</f>
        <v/>
      </c>
    </row>
    <row r="80" customFormat="false" ht="15" hidden="false" customHeight="true" outlineLevel="0" collapsed="false">
      <c r="A80" s="52"/>
      <c r="B80" s="52"/>
      <c r="C80" s="51"/>
      <c r="D80" s="52"/>
      <c r="E80" s="53" t="str">
        <f aca="false">IF(ISNUMBER(C80),CHOOSE(WEEKDAY(C80),"Domingo","Segunda","Terça","Quarta","Quinta","Sexta","Sábado"),"")</f>
        <v/>
      </c>
      <c r="F80" s="53" t="str">
        <f aca="true">IF(NOT(ISNUMBER(C80)),"",IF(C80=TODAY(),"HOJE",IF(C80=TODAY()+1,"AMANHÃ",IF(C80&lt;TODAY(),"Realizada",IF(C80-TODAY()&lt;=7,"Em "&amp;(C80-TODAY())&amp;" dias","Agendada")))))</f>
        <v/>
      </c>
      <c r="G80" s="53" t="str">
        <f aca="false">IF(OR(A80="",NOT(ISNUMBER(C80))),"",IF(COUNTIFS($A$2:$A$301,A80,$C$2:$C$301,C80)&gt;1,"⚠ Folga duplicada",IF(COUNTIFS($B$2:$B$301,B80,$C$2:$C$301,C80)&gt;1,"⚠ "&amp;COUNTIFS($B$2:$B$301,B80,$C$2:$C$301,C80)&amp;" pessoas do setor de folga no dia","")))</f>
        <v/>
      </c>
      <c r="J80" s="0" t="str">
        <f aca="true">IF(AND(ISNUMBER(C80),C80=TODAY()),C80+ROW()/100000,"")</f>
        <v/>
      </c>
      <c r="K80" s="0" t="str">
        <f aca="true">IF(AND(ISNUMBER(C80),C80&gt;TODAY(),C80&lt;=TODAY()+7),C80+ROW()/100000,"")</f>
        <v/>
      </c>
      <c r="L80" s="0" t="str">
        <f aca="false">IF(AND(ISNUMBER(C80),C80=CALENDÁRIO!$L$4),ROW(),"")</f>
        <v/>
      </c>
    </row>
    <row r="81" customFormat="false" ht="15" hidden="false" customHeight="true" outlineLevel="0" collapsed="false">
      <c r="A81" s="52"/>
      <c r="B81" s="52"/>
      <c r="C81" s="51"/>
      <c r="D81" s="52"/>
      <c r="E81" s="53" t="str">
        <f aca="false">IF(ISNUMBER(C81),CHOOSE(WEEKDAY(C81),"Domingo","Segunda","Terça","Quarta","Quinta","Sexta","Sábado"),"")</f>
        <v/>
      </c>
      <c r="F81" s="53" t="str">
        <f aca="true">IF(NOT(ISNUMBER(C81)),"",IF(C81=TODAY(),"HOJE",IF(C81=TODAY()+1,"AMANHÃ",IF(C81&lt;TODAY(),"Realizada",IF(C81-TODAY()&lt;=7,"Em "&amp;(C81-TODAY())&amp;" dias","Agendada")))))</f>
        <v/>
      </c>
      <c r="G81" s="53" t="str">
        <f aca="false">IF(OR(A81="",NOT(ISNUMBER(C81))),"",IF(COUNTIFS($A$2:$A$301,A81,$C$2:$C$301,C81)&gt;1,"⚠ Folga duplicada",IF(COUNTIFS($B$2:$B$301,B81,$C$2:$C$301,C81)&gt;1,"⚠ "&amp;COUNTIFS($B$2:$B$301,B81,$C$2:$C$301,C81)&amp;" pessoas do setor de folga no dia","")))</f>
        <v/>
      </c>
      <c r="J81" s="0" t="str">
        <f aca="true">IF(AND(ISNUMBER(C81),C81=TODAY()),C81+ROW()/100000,"")</f>
        <v/>
      </c>
      <c r="K81" s="0" t="str">
        <f aca="true">IF(AND(ISNUMBER(C81),C81&gt;TODAY(),C81&lt;=TODAY()+7),C81+ROW()/100000,"")</f>
        <v/>
      </c>
      <c r="L81" s="0" t="str">
        <f aca="false">IF(AND(ISNUMBER(C81),C81=CALENDÁRIO!$L$4),ROW(),"")</f>
        <v/>
      </c>
    </row>
    <row r="82" customFormat="false" ht="15" hidden="false" customHeight="true" outlineLevel="0" collapsed="false">
      <c r="A82" s="52"/>
      <c r="B82" s="52"/>
      <c r="C82" s="51"/>
      <c r="D82" s="52"/>
      <c r="E82" s="53" t="str">
        <f aca="false">IF(ISNUMBER(C82),CHOOSE(WEEKDAY(C82),"Domingo","Segunda","Terça","Quarta","Quinta","Sexta","Sábado"),"")</f>
        <v/>
      </c>
      <c r="F82" s="53" t="str">
        <f aca="true">IF(NOT(ISNUMBER(C82)),"",IF(C82=TODAY(),"HOJE",IF(C82=TODAY()+1,"AMANHÃ",IF(C82&lt;TODAY(),"Realizada",IF(C82-TODAY()&lt;=7,"Em "&amp;(C82-TODAY())&amp;" dias","Agendada")))))</f>
        <v/>
      </c>
      <c r="G82" s="53" t="str">
        <f aca="false">IF(OR(A82="",NOT(ISNUMBER(C82))),"",IF(COUNTIFS($A$2:$A$301,A82,$C$2:$C$301,C82)&gt;1,"⚠ Folga duplicada",IF(COUNTIFS($B$2:$B$301,B82,$C$2:$C$301,C82)&gt;1,"⚠ "&amp;COUNTIFS($B$2:$B$301,B82,$C$2:$C$301,C82)&amp;" pessoas do setor de folga no dia","")))</f>
        <v/>
      </c>
      <c r="J82" s="0" t="str">
        <f aca="true">IF(AND(ISNUMBER(C82),C82=TODAY()),C82+ROW()/100000,"")</f>
        <v/>
      </c>
      <c r="K82" s="0" t="str">
        <f aca="true">IF(AND(ISNUMBER(C82),C82&gt;TODAY(),C82&lt;=TODAY()+7),C82+ROW()/100000,"")</f>
        <v/>
      </c>
      <c r="L82" s="0" t="str">
        <f aca="false">IF(AND(ISNUMBER(C82),C82=CALENDÁRIO!$L$4),ROW(),"")</f>
        <v/>
      </c>
    </row>
    <row r="83" customFormat="false" ht="15" hidden="false" customHeight="true" outlineLevel="0" collapsed="false">
      <c r="A83" s="52"/>
      <c r="B83" s="52"/>
      <c r="C83" s="51"/>
      <c r="D83" s="52"/>
      <c r="E83" s="53" t="str">
        <f aca="false">IF(ISNUMBER(C83),CHOOSE(WEEKDAY(C83),"Domingo","Segunda","Terça","Quarta","Quinta","Sexta","Sábado"),"")</f>
        <v/>
      </c>
      <c r="F83" s="53" t="str">
        <f aca="true">IF(NOT(ISNUMBER(C83)),"",IF(C83=TODAY(),"HOJE",IF(C83=TODAY()+1,"AMANHÃ",IF(C83&lt;TODAY(),"Realizada",IF(C83-TODAY()&lt;=7,"Em "&amp;(C83-TODAY())&amp;" dias","Agendada")))))</f>
        <v/>
      </c>
      <c r="G83" s="53" t="str">
        <f aca="false">IF(OR(A83="",NOT(ISNUMBER(C83))),"",IF(COUNTIFS($A$2:$A$301,A83,$C$2:$C$301,C83)&gt;1,"⚠ Folga duplicada",IF(COUNTIFS($B$2:$B$301,B83,$C$2:$C$301,C83)&gt;1,"⚠ "&amp;COUNTIFS($B$2:$B$301,B83,$C$2:$C$301,C83)&amp;" pessoas do setor de folga no dia","")))</f>
        <v/>
      </c>
      <c r="J83" s="0" t="str">
        <f aca="true">IF(AND(ISNUMBER(C83),C83=TODAY()),C83+ROW()/100000,"")</f>
        <v/>
      </c>
      <c r="K83" s="0" t="str">
        <f aca="true">IF(AND(ISNUMBER(C83),C83&gt;TODAY(),C83&lt;=TODAY()+7),C83+ROW()/100000,"")</f>
        <v/>
      </c>
      <c r="L83" s="0" t="str">
        <f aca="false">IF(AND(ISNUMBER(C83),C83=CALENDÁRIO!$L$4),ROW(),"")</f>
        <v/>
      </c>
    </row>
    <row r="84" customFormat="false" ht="15" hidden="false" customHeight="true" outlineLevel="0" collapsed="false">
      <c r="A84" s="52"/>
      <c r="B84" s="52"/>
      <c r="C84" s="51"/>
      <c r="D84" s="52"/>
      <c r="E84" s="53" t="str">
        <f aca="false">IF(ISNUMBER(C84),CHOOSE(WEEKDAY(C84),"Domingo","Segunda","Terça","Quarta","Quinta","Sexta","Sábado"),"")</f>
        <v/>
      </c>
      <c r="F84" s="53" t="str">
        <f aca="true">IF(NOT(ISNUMBER(C84)),"",IF(C84=TODAY(),"HOJE",IF(C84=TODAY()+1,"AMANHÃ",IF(C84&lt;TODAY(),"Realizada",IF(C84-TODAY()&lt;=7,"Em "&amp;(C84-TODAY())&amp;" dias","Agendada")))))</f>
        <v/>
      </c>
      <c r="G84" s="53" t="str">
        <f aca="false">IF(OR(A84="",NOT(ISNUMBER(C84))),"",IF(COUNTIFS($A$2:$A$301,A84,$C$2:$C$301,C84)&gt;1,"⚠ Folga duplicada",IF(COUNTIFS($B$2:$B$301,B84,$C$2:$C$301,C84)&gt;1,"⚠ "&amp;COUNTIFS($B$2:$B$301,B84,$C$2:$C$301,C84)&amp;" pessoas do setor de folga no dia","")))</f>
        <v/>
      </c>
      <c r="J84" s="0" t="str">
        <f aca="true">IF(AND(ISNUMBER(C84),C84=TODAY()),C84+ROW()/100000,"")</f>
        <v/>
      </c>
      <c r="K84" s="0" t="str">
        <f aca="true">IF(AND(ISNUMBER(C84),C84&gt;TODAY(),C84&lt;=TODAY()+7),C84+ROW()/100000,"")</f>
        <v/>
      </c>
      <c r="L84" s="0" t="str">
        <f aca="false">IF(AND(ISNUMBER(C84),C84=CALENDÁRIO!$L$4),ROW(),"")</f>
        <v/>
      </c>
    </row>
    <row r="85" customFormat="false" ht="15" hidden="false" customHeight="true" outlineLevel="0" collapsed="false">
      <c r="A85" s="52"/>
      <c r="B85" s="52"/>
      <c r="C85" s="51"/>
      <c r="D85" s="52"/>
      <c r="E85" s="53" t="str">
        <f aca="false">IF(ISNUMBER(C85),CHOOSE(WEEKDAY(C85),"Domingo","Segunda","Terça","Quarta","Quinta","Sexta","Sábado"),"")</f>
        <v/>
      </c>
      <c r="F85" s="53" t="str">
        <f aca="true">IF(NOT(ISNUMBER(C85)),"",IF(C85=TODAY(),"HOJE",IF(C85=TODAY()+1,"AMANHÃ",IF(C85&lt;TODAY(),"Realizada",IF(C85-TODAY()&lt;=7,"Em "&amp;(C85-TODAY())&amp;" dias","Agendada")))))</f>
        <v/>
      </c>
      <c r="G85" s="53" t="str">
        <f aca="false">IF(OR(A85="",NOT(ISNUMBER(C85))),"",IF(COUNTIFS($A$2:$A$301,A85,$C$2:$C$301,C85)&gt;1,"⚠ Folga duplicada",IF(COUNTIFS($B$2:$B$301,B85,$C$2:$C$301,C85)&gt;1,"⚠ "&amp;COUNTIFS($B$2:$B$301,B85,$C$2:$C$301,C85)&amp;" pessoas do setor de folga no dia","")))</f>
        <v/>
      </c>
      <c r="J85" s="0" t="str">
        <f aca="true">IF(AND(ISNUMBER(C85),C85=TODAY()),C85+ROW()/100000,"")</f>
        <v/>
      </c>
      <c r="K85" s="0" t="str">
        <f aca="true">IF(AND(ISNUMBER(C85),C85&gt;TODAY(),C85&lt;=TODAY()+7),C85+ROW()/100000,"")</f>
        <v/>
      </c>
      <c r="L85" s="0" t="str">
        <f aca="false">IF(AND(ISNUMBER(C85),C85=CALENDÁRIO!$L$4),ROW(),"")</f>
        <v/>
      </c>
    </row>
    <row r="86" customFormat="false" ht="15" hidden="false" customHeight="true" outlineLevel="0" collapsed="false">
      <c r="A86" s="52"/>
      <c r="B86" s="52"/>
      <c r="C86" s="51"/>
      <c r="D86" s="52"/>
      <c r="E86" s="53" t="str">
        <f aca="false">IF(ISNUMBER(C86),CHOOSE(WEEKDAY(C86),"Domingo","Segunda","Terça","Quarta","Quinta","Sexta","Sábado"),"")</f>
        <v/>
      </c>
      <c r="F86" s="53" t="str">
        <f aca="true">IF(NOT(ISNUMBER(C86)),"",IF(C86=TODAY(),"HOJE",IF(C86=TODAY()+1,"AMANHÃ",IF(C86&lt;TODAY(),"Realizada",IF(C86-TODAY()&lt;=7,"Em "&amp;(C86-TODAY())&amp;" dias","Agendada")))))</f>
        <v/>
      </c>
      <c r="G86" s="53" t="str">
        <f aca="false">IF(OR(A86="",NOT(ISNUMBER(C86))),"",IF(COUNTIFS($A$2:$A$301,A86,$C$2:$C$301,C86)&gt;1,"⚠ Folga duplicada",IF(COUNTIFS($B$2:$B$301,B86,$C$2:$C$301,C86)&gt;1,"⚠ "&amp;COUNTIFS($B$2:$B$301,B86,$C$2:$C$301,C86)&amp;" pessoas do setor de folga no dia","")))</f>
        <v/>
      </c>
      <c r="J86" s="0" t="str">
        <f aca="true">IF(AND(ISNUMBER(C86),C86=TODAY()),C86+ROW()/100000,"")</f>
        <v/>
      </c>
      <c r="K86" s="0" t="str">
        <f aca="true">IF(AND(ISNUMBER(C86),C86&gt;TODAY(),C86&lt;=TODAY()+7),C86+ROW()/100000,"")</f>
        <v/>
      </c>
      <c r="L86" s="0" t="str">
        <f aca="false">IF(AND(ISNUMBER(C86),C86=CALENDÁRIO!$L$4),ROW(),"")</f>
        <v/>
      </c>
    </row>
    <row r="87" customFormat="false" ht="15" hidden="false" customHeight="true" outlineLevel="0" collapsed="false">
      <c r="A87" s="52"/>
      <c r="B87" s="52"/>
      <c r="C87" s="51"/>
      <c r="D87" s="52"/>
      <c r="E87" s="53" t="str">
        <f aca="false">IF(ISNUMBER(C87),CHOOSE(WEEKDAY(C87),"Domingo","Segunda","Terça","Quarta","Quinta","Sexta","Sábado"),"")</f>
        <v/>
      </c>
      <c r="F87" s="53" t="str">
        <f aca="true">IF(NOT(ISNUMBER(C87)),"",IF(C87=TODAY(),"HOJE",IF(C87=TODAY()+1,"AMANHÃ",IF(C87&lt;TODAY(),"Realizada",IF(C87-TODAY()&lt;=7,"Em "&amp;(C87-TODAY())&amp;" dias","Agendada")))))</f>
        <v/>
      </c>
      <c r="G87" s="53" t="str">
        <f aca="false">IF(OR(A87="",NOT(ISNUMBER(C87))),"",IF(COUNTIFS($A$2:$A$301,A87,$C$2:$C$301,C87)&gt;1,"⚠ Folga duplicada",IF(COUNTIFS($B$2:$B$301,B87,$C$2:$C$301,C87)&gt;1,"⚠ "&amp;COUNTIFS($B$2:$B$301,B87,$C$2:$C$301,C87)&amp;" pessoas do setor de folga no dia","")))</f>
        <v/>
      </c>
      <c r="J87" s="0" t="str">
        <f aca="true">IF(AND(ISNUMBER(C87),C87=TODAY()),C87+ROW()/100000,"")</f>
        <v/>
      </c>
      <c r="K87" s="0" t="str">
        <f aca="true">IF(AND(ISNUMBER(C87),C87&gt;TODAY(),C87&lt;=TODAY()+7),C87+ROW()/100000,"")</f>
        <v/>
      </c>
      <c r="L87" s="0" t="str">
        <f aca="false">IF(AND(ISNUMBER(C87),C87=CALENDÁRIO!$L$4),ROW(),"")</f>
        <v/>
      </c>
    </row>
    <row r="88" customFormat="false" ht="15" hidden="false" customHeight="true" outlineLevel="0" collapsed="false">
      <c r="A88" s="52"/>
      <c r="B88" s="52"/>
      <c r="C88" s="51"/>
      <c r="D88" s="52"/>
      <c r="E88" s="53" t="str">
        <f aca="false">IF(ISNUMBER(C88),CHOOSE(WEEKDAY(C88),"Domingo","Segunda","Terça","Quarta","Quinta","Sexta","Sábado"),"")</f>
        <v/>
      </c>
      <c r="F88" s="53" t="str">
        <f aca="true">IF(NOT(ISNUMBER(C88)),"",IF(C88=TODAY(),"HOJE",IF(C88=TODAY()+1,"AMANHÃ",IF(C88&lt;TODAY(),"Realizada",IF(C88-TODAY()&lt;=7,"Em "&amp;(C88-TODAY())&amp;" dias","Agendada")))))</f>
        <v/>
      </c>
      <c r="G88" s="53" t="str">
        <f aca="false">IF(OR(A88="",NOT(ISNUMBER(C88))),"",IF(COUNTIFS($A$2:$A$301,A88,$C$2:$C$301,C88)&gt;1,"⚠ Folga duplicada",IF(COUNTIFS($B$2:$B$301,B88,$C$2:$C$301,C88)&gt;1,"⚠ "&amp;COUNTIFS($B$2:$B$301,B88,$C$2:$C$301,C88)&amp;" pessoas do setor de folga no dia","")))</f>
        <v/>
      </c>
      <c r="J88" s="0" t="str">
        <f aca="true">IF(AND(ISNUMBER(C88),C88=TODAY()),C88+ROW()/100000,"")</f>
        <v/>
      </c>
      <c r="K88" s="0" t="str">
        <f aca="true">IF(AND(ISNUMBER(C88),C88&gt;TODAY(),C88&lt;=TODAY()+7),C88+ROW()/100000,"")</f>
        <v/>
      </c>
      <c r="L88" s="0" t="str">
        <f aca="false">IF(AND(ISNUMBER(C88),C88=CALENDÁRIO!$L$4),ROW(),"")</f>
        <v/>
      </c>
    </row>
    <row r="89" customFormat="false" ht="15" hidden="false" customHeight="true" outlineLevel="0" collapsed="false">
      <c r="A89" s="52"/>
      <c r="B89" s="52"/>
      <c r="C89" s="51"/>
      <c r="D89" s="52"/>
      <c r="E89" s="53" t="str">
        <f aca="false">IF(ISNUMBER(C89),CHOOSE(WEEKDAY(C89),"Domingo","Segunda","Terça","Quarta","Quinta","Sexta","Sábado"),"")</f>
        <v/>
      </c>
      <c r="F89" s="53" t="str">
        <f aca="true">IF(NOT(ISNUMBER(C89)),"",IF(C89=TODAY(),"HOJE",IF(C89=TODAY()+1,"AMANHÃ",IF(C89&lt;TODAY(),"Realizada",IF(C89-TODAY()&lt;=7,"Em "&amp;(C89-TODAY())&amp;" dias","Agendada")))))</f>
        <v/>
      </c>
      <c r="G89" s="53" t="str">
        <f aca="false">IF(OR(A89="",NOT(ISNUMBER(C89))),"",IF(COUNTIFS($A$2:$A$301,A89,$C$2:$C$301,C89)&gt;1,"⚠ Folga duplicada",IF(COUNTIFS($B$2:$B$301,B89,$C$2:$C$301,C89)&gt;1,"⚠ "&amp;COUNTIFS($B$2:$B$301,B89,$C$2:$C$301,C89)&amp;" pessoas do setor de folga no dia","")))</f>
        <v/>
      </c>
      <c r="J89" s="0" t="str">
        <f aca="true">IF(AND(ISNUMBER(C89),C89=TODAY()),C89+ROW()/100000,"")</f>
        <v/>
      </c>
      <c r="K89" s="0" t="str">
        <f aca="true">IF(AND(ISNUMBER(C89),C89&gt;TODAY(),C89&lt;=TODAY()+7),C89+ROW()/100000,"")</f>
        <v/>
      </c>
      <c r="L89" s="0" t="str">
        <f aca="false">IF(AND(ISNUMBER(C89),C89=CALENDÁRIO!$L$4),ROW(),"")</f>
        <v/>
      </c>
    </row>
    <row r="90" customFormat="false" ht="15" hidden="false" customHeight="true" outlineLevel="0" collapsed="false">
      <c r="A90" s="52"/>
      <c r="B90" s="52"/>
      <c r="C90" s="51"/>
      <c r="D90" s="52"/>
      <c r="E90" s="53" t="str">
        <f aca="false">IF(ISNUMBER(C90),CHOOSE(WEEKDAY(C90),"Domingo","Segunda","Terça","Quarta","Quinta","Sexta","Sábado"),"")</f>
        <v/>
      </c>
      <c r="F90" s="53" t="str">
        <f aca="true">IF(NOT(ISNUMBER(C90)),"",IF(C90=TODAY(),"HOJE",IF(C90=TODAY()+1,"AMANHÃ",IF(C90&lt;TODAY(),"Realizada",IF(C90-TODAY()&lt;=7,"Em "&amp;(C90-TODAY())&amp;" dias","Agendada")))))</f>
        <v/>
      </c>
      <c r="G90" s="53" t="str">
        <f aca="false">IF(OR(A90="",NOT(ISNUMBER(C90))),"",IF(COUNTIFS($A$2:$A$301,A90,$C$2:$C$301,C90)&gt;1,"⚠ Folga duplicada",IF(COUNTIFS($B$2:$B$301,B90,$C$2:$C$301,C90)&gt;1,"⚠ "&amp;COUNTIFS($B$2:$B$301,B90,$C$2:$C$301,C90)&amp;" pessoas do setor de folga no dia","")))</f>
        <v/>
      </c>
      <c r="J90" s="0" t="str">
        <f aca="true">IF(AND(ISNUMBER(C90),C90=TODAY()),C90+ROW()/100000,"")</f>
        <v/>
      </c>
      <c r="K90" s="0" t="str">
        <f aca="true">IF(AND(ISNUMBER(C90),C90&gt;TODAY(),C90&lt;=TODAY()+7),C90+ROW()/100000,"")</f>
        <v/>
      </c>
      <c r="L90" s="0" t="str">
        <f aca="false">IF(AND(ISNUMBER(C90),C90=CALENDÁRIO!$L$4),ROW(),"")</f>
        <v/>
      </c>
    </row>
    <row r="91" customFormat="false" ht="15" hidden="false" customHeight="true" outlineLevel="0" collapsed="false">
      <c r="A91" s="52"/>
      <c r="B91" s="52"/>
      <c r="C91" s="51"/>
      <c r="D91" s="52"/>
      <c r="E91" s="53" t="str">
        <f aca="false">IF(ISNUMBER(C91),CHOOSE(WEEKDAY(C91),"Domingo","Segunda","Terça","Quarta","Quinta","Sexta","Sábado"),"")</f>
        <v/>
      </c>
      <c r="F91" s="53" t="str">
        <f aca="true">IF(NOT(ISNUMBER(C91)),"",IF(C91=TODAY(),"HOJE",IF(C91=TODAY()+1,"AMANHÃ",IF(C91&lt;TODAY(),"Realizada",IF(C91-TODAY()&lt;=7,"Em "&amp;(C91-TODAY())&amp;" dias","Agendada")))))</f>
        <v/>
      </c>
      <c r="G91" s="53" t="str">
        <f aca="false">IF(OR(A91="",NOT(ISNUMBER(C91))),"",IF(COUNTIFS($A$2:$A$301,A91,$C$2:$C$301,C91)&gt;1,"⚠ Folga duplicada",IF(COUNTIFS($B$2:$B$301,B91,$C$2:$C$301,C91)&gt;1,"⚠ "&amp;COUNTIFS($B$2:$B$301,B91,$C$2:$C$301,C91)&amp;" pessoas do setor de folga no dia","")))</f>
        <v/>
      </c>
      <c r="J91" s="0" t="str">
        <f aca="true">IF(AND(ISNUMBER(C91),C91=TODAY()),C91+ROW()/100000,"")</f>
        <v/>
      </c>
      <c r="K91" s="0" t="str">
        <f aca="true">IF(AND(ISNUMBER(C91),C91&gt;TODAY(),C91&lt;=TODAY()+7),C91+ROW()/100000,"")</f>
        <v/>
      </c>
      <c r="L91" s="0" t="str">
        <f aca="false">IF(AND(ISNUMBER(C91),C91=CALENDÁRIO!$L$4),ROW(),"")</f>
        <v/>
      </c>
    </row>
    <row r="92" customFormat="false" ht="15" hidden="false" customHeight="true" outlineLevel="0" collapsed="false">
      <c r="A92" s="52"/>
      <c r="B92" s="52"/>
      <c r="C92" s="51"/>
      <c r="D92" s="52"/>
      <c r="E92" s="53" t="str">
        <f aca="false">IF(ISNUMBER(C92),CHOOSE(WEEKDAY(C92),"Domingo","Segunda","Terça","Quarta","Quinta","Sexta","Sábado"),"")</f>
        <v/>
      </c>
      <c r="F92" s="53" t="str">
        <f aca="true">IF(NOT(ISNUMBER(C92)),"",IF(C92=TODAY(),"HOJE",IF(C92=TODAY()+1,"AMANHÃ",IF(C92&lt;TODAY(),"Realizada",IF(C92-TODAY()&lt;=7,"Em "&amp;(C92-TODAY())&amp;" dias","Agendada")))))</f>
        <v/>
      </c>
      <c r="G92" s="53" t="str">
        <f aca="false">IF(OR(A92="",NOT(ISNUMBER(C92))),"",IF(COUNTIFS($A$2:$A$301,A92,$C$2:$C$301,C92)&gt;1,"⚠ Folga duplicada",IF(COUNTIFS($B$2:$B$301,B92,$C$2:$C$301,C92)&gt;1,"⚠ "&amp;COUNTIFS($B$2:$B$301,B92,$C$2:$C$301,C92)&amp;" pessoas do setor de folga no dia","")))</f>
        <v/>
      </c>
      <c r="J92" s="0" t="str">
        <f aca="true">IF(AND(ISNUMBER(C92),C92=TODAY()),C92+ROW()/100000,"")</f>
        <v/>
      </c>
      <c r="K92" s="0" t="str">
        <f aca="true">IF(AND(ISNUMBER(C92),C92&gt;TODAY(),C92&lt;=TODAY()+7),C92+ROW()/100000,"")</f>
        <v/>
      </c>
      <c r="L92" s="0" t="str">
        <f aca="false">IF(AND(ISNUMBER(C92),C92=CALENDÁRIO!$L$4),ROW(),"")</f>
        <v/>
      </c>
    </row>
    <row r="93" customFormat="false" ht="15" hidden="false" customHeight="true" outlineLevel="0" collapsed="false">
      <c r="A93" s="52"/>
      <c r="B93" s="52"/>
      <c r="C93" s="51"/>
      <c r="D93" s="52"/>
      <c r="E93" s="53" t="str">
        <f aca="false">IF(ISNUMBER(C93),CHOOSE(WEEKDAY(C93),"Domingo","Segunda","Terça","Quarta","Quinta","Sexta","Sábado"),"")</f>
        <v/>
      </c>
      <c r="F93" s="53" t="str">
        <f aca="true">IF(NOT(ISNUMBER(C93)),"",IF(C93=TODAY(),"HOJE",IF(C93=TODAY()+1,"AMANHÃ",IF(C93&lt;TODAY(),"Realizada",IF(C93-TODAY()&lt;=7,"Em "&amp;(C93-TODAY())&amp;" dias","Agendada")))))</f>
        <v/>
      </c>
      <c r="G93" s="53" t="str">
        <f aca="false">IF(OR(A93="",NOT(ISNUMBER(C93))),"",IF(COUNTIFS($A$2:$A$301,A93,$C$2:$C$301,C93)&gt;1,"⚠ Folga duplicada",IF(COUNTIFS($B$2:$B$301,B93,$C$2:$C$301,C93)&gt;1,"⚠ "&amp;COUNTIFS($B$2:$B$301,B93,$C$2:$C$301,C93)&amp;" pessoas do setor de folga no dia","")))</f>
        <v/>
      </c>
      <c r="J93" s="0" t="str">
        <f aca="true">IF(AND(ISNUMBER(C93),C93=TODAY()),C93+ROW()/100000,"")</f>
        <v/>
      </c>
      <c r="K93" s="0" t="str">
        <f aca="true">IF(AND(ISNUMBER(C93),C93&gt;TODAY(),C93&lt;=TODAY()+7),C93+ROW()/100000,"")</f>
        <v/>
      </c>
      <c r="L93" s="0" t="str">
        <f aca="false">IF(AND(ISNUMBER(C93),C93=CALENDÁRIO!$L$4),ROW(),"")</f>
        <v/>
      </c>
    </row>
    <row r="94" customFormat="false" ht="15" hidden="false" customHeight="true" outlineLevel="0" collapsed="false">
      <c r="A94" s="52"/>
      <c r="B94" s="52"/>
      <c r="C94" s="51"/>
      <c r="D94" s="52"/>
      <c r="E94" s="53" t="str">
        <f aca="false">IF(ISNUMBER(C94),CHOOSE(WEEKDAY(C94),"Domingo","Segunda","Terça","Quarta","Quinta","Sexta","Sábado"),"")</f>
        <v/>
      </c>
      <c r="F94" s="53" t="str">
        <f aca="true">IF(NOT(ISNUMBER(C94)),"",IF(C94=TODAY(),"HOJE",IF(C94=TODAY()+1,"AMANHÃ",IF(C94&lt;TODAY(),"Realizada",IF(C94-TODAY()&lt;=7,"Em "&amp;(C94-TODAY())&amp;" dias","Agendada")))))</f>
        <v/>
      </c>
      <c r="G94" s="53" t="str">
        <f aca="false">IF(OR(A94="",NOT(ISNUMBER(C94))),"",IF(COUNTIFS($A$2:$A$301,A94,$C$2:$C$301,C94)&gt;1,"⚠ Folga duplicada",IF(COUNTIFS($B$2:$B$301,B94,$C$2:$C$301,C94)&gt;1,"⚠ "&amp;COUNTIFS($B$2:$B$301,B94,$C$2:$C$301,C94)&amp;" pessoas do setor de folga no dia","")))</f>
        <v/>
      </c>
      <c r="J94" s="0" t="str">
        <f aca="true">IF(AND(ISNUMBER(C94),C94=TODAY()),C94+ROW()/100000,"")</f>
        <v/>
      </c>
      <c r="K94" s="0" t="str">
        <f aca="true">IF(AND(ISNUMBER(C94),C94&gt;TODAY(),C94&lt;=TODAY()+7),C94+ROW()/100000,"")</f>
        <v/>
      </c>
      <c r="L94" s="0" t="str">
        <f aca="false">IF(AND(ISNUMBER(C94),C94=CALENDÁRIO!$L$4),ROW(),"")</f>
        <v/>
      </c>
    </row>
    <row r="95" customFormat="false" ht="15" hidden="false" customHeight="true" outlineLevel="0" collapsed="false">
      <c r="A95" s="52"/>
      <c r="B95" s="52"/>
      <c r="C95" s="51"/>
      <c r="D95" s="52"/>
      <c r="E95" s="53" t="str">
        <f aca="false">IF(ISNUMBER(C95),CHOOSE(WEEKDAY(C95),"Domingo","Segunda","Terça","Quarta","Quinta","Sexta","Sábado"),"")</f>
        <v/>
      </c>
      <c r="F95" s="53" t="str">
        <f aca="true">IF(NOT(ISNUMBER(C95)),"",IF(C95=TODAY(),"HOJE",IF(C95=TODAY()+1,"AMANHÃ",IF(C95&lt;TODAY(),"Realizada",IF(C95-TODAY()&lt;=7,"Em "&amp;(C95-TODAY())&amp;" dias","Agendada")))))</f>
        <v/>
      </c>
      <c r="G95" s="53" t="str">
        <f aca="false">IF(OR(A95="",NOT(ISNUMBER(C95))),"",IF(COUNTIFS($A$2:$A$301,A95,$C$2:$C$301,C95)&gt;1,"⚠ Folga duplicada",IF(COUNTIFS($B$2:$B$301,B95,$C$2:$C$301,C95)&gt;1,"⚠ "&amp;COUNTIFS($B$2:$B$301,B95,$C$2:$C$301,C95)&amp;" pessoas do setor de folga no dia","")))</f>
        <v/>
      </c>
      <c r="J95" s="0" t="str">
        <f aca="true">IF(AND(ISNUMBER(C95),C95=TODAY()),C95+ROW()/100000,"")</f>
        <v/>
      </c>
      <c r="K95" s="0" t="str">
        <f aca="true">IF(AND(ISNUMBER(C95),C95&gt;TODAY(),C95&lt;=TODAY()+7),C95+ROW()/100000,"")</f>
        <v/>
      </c>
      <c r="L95" s="0" t="str">
        <f aca="false">IF(AND(ISNUMBER(C95),C95=CALENDÁRIO!$L$4),ROW(),"")</f>
        <v/>
      </c>
    </row>
    <row r="96" customFormat="false" ht="15" hidden="false" customHeight="true" outlineLevel="0" collapsed="false">
      <c r="A96" s="52"/>
      <c r="B96" s="52"/>
      <c r="C96" s="51"/>
      <c r="D96" s="52"/>
      <c r="E96" s="53" t="str">
        <f aca="false">IF(ISNUMBER(C96),CHOOSE(WEEKDAY(C96),"Domingo","Segunda","Terça","Quarta","Quinta","Sexta","Sábado"),"")</f>
        <v/>
      </c>
      <c r="F96" s="53" t="str">
        <f aca="true">IF(NOT(ISNUMBER(C96)),"",IF(C96=TODAY(),"HOJE",IF(C96=TODAY()+1,"AMANHÃ",IF(C96&lt;TODAY(),"Realizada",IF(C96-TODAY()&lt;=7,"Em "&amp;(C96-TODAY())&amp;" dias","Agendada")))))</f>
        <v/>
      </c>
      <c r="G96" s="53" t="str">
        <f aca="false">IF(OR(A96="",NOT(ISNUMBER(C96))),"",IF(COUNTIFS($A$2:$A$301,A96,$C$2:$C$301,C96)&gt;1,"⚠ Folga duplicada",IF(COUNTIFS($B$2:$B$301,B96,$C$2:$C$301,C96)&gt;1,"⚠ "&amp;COUNTIFS($B$2:$B$301,B96,$C$2:$C$301,C96)&amp;" pessoas do setor de folga no dia","")))</f>
        <v/>
      </c>
      <c r="J96" s="0" t="str">
        <f aca="true">IF(AND(ISNUMBER(C96),C96=TODAY()),C96+ROW()/100000,"")</f>
        <v/>
      </c>
      <c r="K96" s="0" t="str">
        <f aca="true">IF(AND(ISNUMBER(C96),C96&gt;TODAY(),C96&lt;=TODAY()+7),C96+ROW()/100000,"")</f>
        <v/>
      </c>
      <c r="L96" s="0" t="str">
        <f aca="false">IF(AND(ISNUMBER(C96),C96=CALENDÁRIO!$L$4),ROW(),"")</f>
        <v/>
      </c>
    </row>
    <row r="97" customFormat="false" ht="15" hidden="false" customHeight="true" outlineLevel="0" collapsed="false">
      <c r="A97" s="52"/>
      <c r="B97" s="52"/>
      <c r="C97" s="51"/>
      <c r="D97" s="52"/>
      <c r="E97" s="53" t="str">
        <f aca="false">IF(ISNUMBER(C97),CHOOSE(WEEKDAY(C97),"Domingo","Segunda","Terça","Quarta","Quinta","Sexta","Sábado"),"")</f>
        <v/>
      </c>
      <c r="F97" s="53" t="str">
        <f aca="true">IF(NOT(ISNUMBER(C97)),"",IF(C97=TODAY(),"HOJE",IF(C97=TODAY()+1,"AMANHÃ",IF(C97&lt;TODAY(),"Realizada",IF(C97-TODAY()&lt;=7,"Em "&amp;(C97-TODAY())&amp;" dias","Agendada")))))</f>
        <v/>
      </c>
      <c r="G97" s="53" t="str">
        <f aca="false">IF(OR(A97="",NOT(ISNUMBER(C97))),"",IF(COUNTIFS($A$2:$A$301,A97,$C$2:$C$301,C97)&gt;1,"⚠ Folga duplicada",IF(COUNTIFS($B$2:$B$301,B97,$C$2:$C$301,C97)&gt;1,"⚠ "&amp;COUNTIFS($B$2:$B$301,B97,$C$2:$C$301,C97)&amp;" pessoas do setor de folga no dia","")))</f>
        <v/>
      </c>
      <c r="J97" s="0" t="str">
        <f aca="true">IF(AND(ISNUMBER(C97),C97=TODAY()),C97+ROW()/100000,"")</f>
        <v/>
      </c>
      <c r="K97" s="0" t="str">
        <f aca="true">IF(AND(ISNUMBER(C97),C97&gt;TODAY(),C97&lt;=TODAY()+7),C97+ROW()/100000,"")</f>
        <v/>
      </c>
      <c r="L97" s="0" t="str">
        <f aca="false">IF(AND(ISNUMBER(C97),C97=CALENDÁRIO!$L$4),ROW(),"")</f>
        <v/>
      </c>
    </row>
    <row r="98" customFormat="false" ht="15" hidden="false" customHeight="true" outlineLevel="0" collapsed="false">
      <c r="A98" s="52"/>
      <c r="B98" s="52"/>
      <c r="C98" s="51"/>
      <c r="D98" s="52"/>
      <c r="E98" s="53" t="str">
        <f aca="false">IF(ISNUMBER(C98),CHOOSE(WEEKDAY(C98),"Domingo","Segunda","Terça","Quarta","Quinta","Sexta","Sábado"),"")</f>
        <v/>
      </c>
      <c r="F98" s="53" t="str">
        <f aca="true">IF(NOT(ISNUMBER(C98)),"",IF(C98=TODAY(),"HOJE",IF(C98=TODAY()+1,"AMANHÃ",IF(C98&lt;TODAY(),"Realizada",IF(C98-TODAY()&lt;=7,"Em "&amp;(C98-TODAY())&amp;" dias","Agendada")))))</f>
        <v/>
      </c>
      <c r="G98" s="53" t="str">
        <f aca="false">IF(OR(A98="",NOT(ISNUMBER(C98))),"",IF(COUNTIFS($A$2:$A$301,A98,$C$2:$C$301,C98)&gt;1,"⚠ Folga duplicada",IF(COUNTIFS($B$2:$B$301,B98,$C$2:$C$301,C98)&gt;1,"⚠ "&amp;COUNTIFS($B$2:$B$301,B98,$C$2:$C$301,C98)&amp;" pessoas do setor de folga no dia","")))</f>
        <v/>
      </c>
      <c r="J98" s="0" t="str">
        <f aca="true">IF(AND(ISNUMBER(C98),C98=TODAY()),C98+ROW()/100000,"")</f>
        <v/>
      </c>
      <c r="K98" s="0" t="str">
        <f aca="true">IF(AND(ISNUMBER(C98),C98&gt;TODAY(),C98&lt;=TODAY()+7),C98+ROW()/100000,"")</f>
        <v/>
      </c>
      <c r="L98" s="0" t="str">
        <f aca="false">IF(AND(ISNUMBER(C98),C98=CALENDÁRIO!$L$4),ROW(),"")</f>
        <v/>
      </c>
    </row>
    <row r="99" customFormat="false" ht="15" hidden="false" customHeight="true" outlineLevel="0" collapsed="false">
      <c r="A99" s="52"/>
      <c r="B99" s="52"/>
      <c r="C99" s="51"/>
      <c r="D99" s="52"/>
      <c r="E99" s="53" t="str">
        <f aca="false">IF(ISNUMBER(C99),CHOOSE(WEEKDAY(C99),"Domingo","Segunda","Terça","Quarta","Quinta","Sexta","Sábado"),"")</f>
        <v/>
      </c>
      <c r="F99" s="53" t="str">
        <f aca="true">IF(NOT(ISNUMBER(C99)),"",IF(C99=TODAY(),"HOJE",IF(C99=TODAY()+1,"AMANHÃ",IF(C99&lt;TODAY(),"Realizada",IF(C99-TODAY()&lt;=7,"Em "&amp;(C99-TODAY())&amp;" dias","Agendada")))))</f>
        <v/>
      </c>
      <c r="G99" s="53" t="str">
        <f aca="false">IF(OR(A99="",NOT(ISNUMBER(C99))),"",IF(COUNTIFS($A$2:$A$301,A99,$C$2:$C$301,C99)&gt;1,"⚠ Folga duplicada",IF(COUNTIFS($B$2:$B$301,B99,$C$2:$C$301,C99)&gt;1,"⚠ "&amp;COUNTIFS($B$2:$B$301,B99,$C$2:$C$301,C99)&amp;" pessoas do setor de folga no dia","")))</f>
        <v/>
      </c>
      <c r="J99" s="0" t="str">
        <f aca="true">IF(AND(ISNUMBER(C99),C99=TODAY()),C99+ROW()/100000,"")</f>
        <v/>
      </c>
      <c r="K99" s="0" t="str">
        <f aca="true">IF(AND(ISNUMBER(C99),C99&gt;TODAY(),C99&lt;=TODAY()+7),C99+ROW()/100000,"")</f>
        <v/>
      </c>
      <c r="L99" s="0" t="str">
        <f aca="false">IF(AND(ISNUMBER(C99),C99=CALENDÁRIO!$L$4),ROW(),"")</f>
        <v/>
      </c>
    </row>
    <row r="100" customFormat="false" ht="15" hidden="false" customHeight="true" outlineLevel="0" collapsed="false">
      <c r="A100" s="52"/>
      <c r="B100" s="52"/>
      <c r="C100" s="51"/>
      <c r="D100" s="52"/>
      <c r="E100" s="53" t="str">
        <f aca="false">IF(ISNUMBER(C100),CHOOSE(WEEKDAY(C100),"Domingo","Segunda","Terça","Quarta","Quinta","Sexta","Sábado"),"")</f>
        <v/>
      </c>
      <c r="F100" s="53" t="str">
        <f aca="true">IF(NOT(ISNUMBER(C100)),"",IF(C100=TODAY(),"HOJE",IF(C100=TODAY()+1,"AMANHÃ",IF(C100&lt;TODAY(),"Realizada",IF(C100-TODAY()&lt;=7,"Em "&amp;(C100-TODAY())&amp;" dias","Agendada")))))</f>
        <v/>
      </c>
      <c r="G100" s="53" t="str">
        <f aca="false">IF(OR(A100="",NOT(ISNUMBER(C100))),"",IF(COUNTIFS($A$2:$A$301,A100,$C$2:$C$301,C100)&gt;1,"⚠ Folga duplicada",IF(COUNTIFS($B$2:$B$301,B100,$C$2:$C$301,C100)&gt;1,"⚠ "&amp;COUNTIFS($B$2:$B$301,B100,$C$2:$C$301,C100)&amp;" pessoas do setor de folga no dia","")))</f>
        <v/>
      </c>
      <c r="J100" s="0" t="str">
        <f aca="true">IF(AND(ISNUMBER(C100),C100=TODAY()),C100+ROW()/100000,"")</f>
        <v/>
      </c>
      <c r="K100" s="0" t="str">
        <f aca="true">IF(AND(ISNUMBER(C100),C100&gt;TODAY(),C100&lt;=TODAY()+7),C100+ROW()/100000,"")</f>
        <v/>
      </c>
      <c r="L100" s="0" t="str">
        <f aca="false">IF(AND(ISNUMBER(C100),C100=CALENDÁRIO!$L$4),ROW(),"")</f>
        <v/>
      </c>
    </row>
    <row r="101" customFormat="false" ht="15" hidden="false" customHeight="true" outlineLevel="0" collapsed="false">
      <c r="A101" s="52"/>
      <c r="B101" s="52"/>
      <c r="C101" s="51"/>
      <c r="D101" s="52"/>
      <c r="E101" s="53" t="str">
        <f aca="false">IF(ISNUMBER(C101),CHOOSE(WEEKDAY(C101),"Domingo","Segunda","Terça","Quarta","Quinta","Sexta","Sábado"),"")</f>
        <v/>
      </c>
      <c r="F101" s="53" t="str">
        <f aca="true">IF(NOT(ISNUMBER(C101)),"",IF(C101=TODAY(),"HOJE",IF(C101=TODAY()+1,"AMANHÃ",IF(C101&lt;TODAY(),"Realizada",IF(C101-TODAY()&lt;=7,"Em "&amp;(C101-TODAY())&amp;" dias","Agendada")))))</f>
        <v/>
      </c>
      <c r="G101" s="53" t="str">
        <f aca="false">IF(OR(A101="",NOT(ISNUMBER(C101))),"",IF(COUNTIFS($A$2:$A$301,A101,$C$2:$C$301,C101)&gt;1,"⚠ Folga duplicada",IF(COUNTIFS($B$2:$B$301,B101,$C$2:$C$301,C101)&gt;1,"⚠ "&amp;COUNTIFS($B$2:$B$301,B101,$C$2:$C$301,C101)&amp;" pessoas do setor de folga no dia","")))</f>
        <v/>
      </c>
      <c r="J101" s="0" t="str">
        <f aca="true">IF(AND(ISNUMBER(C101),C101=TODAY()),C101+ROW()/100000,"")</f>
        <v/>
      </c>
      <c r="K101" s="0" t="str">
        <f aca="true">IF(AND(ISNUMBER(C101),C101&gt;TODAY(),C101&lt;=TODAY()+7),C101+ROW()/100000,"")</f>
        <v/>
      </c>
      <c r="L101" s="0" t="str">
        <f aca="false">IF(AND(ISNUMBER(C101),C101=CALENDÁRIO!$L$4),ROW(),"")</f>
        <v/>
      </c>
    </row>
    <row r="102" customFormat="false" ht="15" hidden="false" customHeight="true" outlineLevel="0" collapsed="false">
      <c r="A102" s="52"/>
      <c r="B102" s="52"/>
      <c r="C102" s="51"/>
      <c r="D102" s="52"/>
      <c r="E102" s="53" t="str">
        <f aca="false">IF(ISNUMBER(C102),CHOOSE(WEEKDAY(C102),"Domingo","Segunda","Terça","Quarta","Quinta","Sexta","Sábado"),"")</f>
        <v/>
      </c>
      <c r="F102" s="53" t="str">
        <f aca="true">IF(NOT(ISNUMBER(C102)),"",IF(C102=TODAY(),"HOJE",IF(C102=TODAY()+1,"AMANHÃ",IF(C102&lt;TODAY(),"Realizada",IF(C102-TODAY()&lt;=7,"Em "&amp;(C102-TODAY())&amp;" dias","Agendada")))))</f>
        <v/>
      </c>
      <c r="G102" s="53" t="str">
        <f aca="false">IF(OR(A102="",NOT(ISNUMBER(C102))),"",IF(COUNTIFS($A$2:$A$301,A102,$C$2:$C$301,C102)&gt;1,"⚠ Folga duplicada",IF(COUNTIFS($B$2:$B$301,B102,$C$2:$C$301,C102)&gt;1,"⚠ "&amp;COUNTIFS($B$2:$B$301,B102,$C$2:$C$301,C102)&amp;" pessoas do setor de folga no dia","")))</f>
        <v/>
      </c>
      <c r="J102" s="0" t="str">
        <f aca="true">IF(AND(ISNUMBER(C102),C102=TODAY()),C102+ROW()/100000,"")</f>
        <v/>
      </c>
      <c r="K102" s="0" t="str">
        <f aca="true">IF(AND(ISNUMBER(C102),C102&gt;TODAY(),C102&lt;=TODAY()+7),C102+ROW()/100000,"")</f>
        <v/>
      </c>
      <c r="L102" s="0" t="str">
        <f aca="false">IF(AND(ISNUMBER(C102),C102=CALENDÁRIO!$L$4),ROW(),"")</f>
        <v/>
      </c>
    </row>
    <row r="103" customFormat="false" ht="15" hidden="false" customHeight="true" outlineLevel="0" collapsed="false">
      <c r="A103" s="52"/>
      <c r="B103" s="52"/>
      <c r="C103" s="51"/>
      <c r="D103" s="52"/>
      <c r="E103" s="53" t="str">
        <f aca="false">IF(ISNUMBER(C103),CHOOSE(WEEKDAY(C103),"Domingo","Segunda","Terça","Quarta","Quinta","Sexta","Sábado"),"")</f>
        <v/>
      </c>
      <c r="F103" s="53" t="str">
        <f aca="true">IF(NOT(ISNUMBER(C103)),"",IF(C103=TODAY(),"HOJE",IF(C103=TODAY()+1,"AMANHÃ",IF(C103&lt;TODAY(),"Realizada",IF(C103-TODAY()&lt;=7,"Em "&amp;(C103-TODAY())&amp;" dias","Agendada")))))</f>
        <v/>
      </c>
      <c r="G103" s="53" t="str">
        <f aca="false">IF(OR(A103="",NOT(ISNUMBER(C103))),"",IF(COUNTIFS($A$2:$A$301,A103,$C$2:$C$301,C103)&gt;1,"⚠ Folga duplicada",IF(COUNTIFS($B$2:$B$301,B103,$C$2:$C$301,C103)&gt;1,"⚠ "&amp;COUNTIFS($B$2:$B$301,B103,$C$2:$C$301,C103)&amp;" pessoas do setor de folga no dia","")))</f>
        <v/>
      </c>
      <c r="J103" s="0" t="str">
        <f aca="true">IF(AND(ISNUMBER(C103),C103=TODAY()),C103+ROW()/100000,"")</f>
        <v/>
      </c>
      <c r="K103" s="0" t="str">
        <f aca="true">IF(AND(ISNUMBER(C103),C103&gt;TODAY(),C103&lt;=TODAY()+7),C103+ROW()/100000,"")</f>
        <v/>
      </c>
      <c r="L103" s="0" t="str">
        <f aca="false">IF(AND(ISNUMBER(C103),C103=CALENDÁRIO!$L$4),ROW(),"")</f>
        <v/>
      </c>
    </row>
    <row r="104" customFormat="false" ht="15" hidden="false" customHeight="true" outlineLevel="0" collapsed="false">
      <c r="A104" s="52"/>
      <c r="B104" s="52"/>
      <c r="C104" s="51"/>
      <c r="D104" s="52"/>
      <c r="E104" s="53" t="str">
        <f aca="false">IF(ISNUMBER(C104),CHOOSE(WEEKDAY(C104),"Domingo","Segunda","Terça","Quarta","Quinta","Sexta","Sábado"),"")</f>
        <v/>
      </c>
      <c r="F104" s="53" t="str">
        <f aca="true">IF(NOT(ISNUMBER(C104)),"",IF(C104=TODAY(),"HOJE",IF(C104=TODAY()+1,"AMANHÃ",IF(C104&lt;TODAY(),"Realizada",IF(C104-TODAY()&lt;=7,"Em "&amp;(C104-TODAY())&amp;" dias","Agendada")))))</f>
        <v/>
      </c>
      <c r="G104" s="53" t="str">
        <f aca="false">IF(OR(A104="",NOT(ISNUMBER(C104))),"",IF(COUNTIFS($A$2:$A$301,A104,$C$2:$C$301,C104)&gt;1,"⚠ Folga duplicada",IF(COUNTIFS($B$2:$B$301,B104,$C$2:$C$301,C104)&gt;1,"⚠ "&amp;COUNTIFS($B$2:$B$301,B104,$C$2:$C$301,C104)&amp;" pessoas do setor de folga no dia","")))</f>
        <v/>
      </c>
      <c r="J104" s="0" t="str">
        <f aca="true">IF(AND(ISNUMBER(C104),C104=TODAY()),C104+ROW()/100000,"")</f>
        <v/>
      </c>
      <c r="K104" s="0" t="str">
        <f aca="true">IF(AND(ISNUMBER(C104),C104&gt;TODAY(),C104&lt;=TODAY()+7),C104+ROW()/100000,"")</f>
        <v/>
      </c>
      <c r="L104" s="0" t="str">
        <f aca="false">IF(AND(ISNUMBER(C104),C104=CALENDÁRIO!$L$4),ROW(),"")</f>
        <v/>
      </c>
    </row>
    <row r="105" customFormat="false" ht="15" hidden="false" customHeight="true" outlineLevel="0" collapsed="false">
      <c r="A105" s="52"/>
      <c r="B105" s="52"/>
      <c r="C105" s="51"/>
      <c r="D105" s="52"/>
      <c r="E105" s="53" t="str">
        <f aca="false">IF(ISNUMBER(C105),CHOOSE(WEEKDAY(C105),"Domingo","Segunda","Terça","Quarta","Quinta","Sexta","Sábado"),"")</f>
        <v/>
      </c>
      <c r="F105" s="53" t="str">
        <f aca="true">IF(NOT(ISNUMBER(C105)),"",IF(C105=TODAY(),"HOJE",IF(C105=TODAY()+1,"AMANHÃ",IF(C105&lt;TODAY(),"Realizada",IF(C105-TODAY()&lt;=7,"Em "&amp;(C105-TODAY())&amp;" dias","Agendada")))))</f>
        <v/>
      </c>
      <c r="G105" s="53" t="str">
        <f aca="false">IF(OR(A105="",NOT(ISNUMBER(C105))),"",IF(COUNTIFS($A$2:$A$301,A105,$C$2:$C$301,C105)&gt;1,"⚠ Folga duplicada",IF(COUNTIFS($B$2:$B$301,B105,$C$2:$C$301,C105)&gt;1,"⚠ "&amp;COUNTIFS($B$2:$B$301,B105,$C$2:$C$301,C105)&amp;" pessoas do setor de folga no dia","")))</f>
        <v/>
      </c>
      <c r="J105" s="0" t="str">
        <f aca="true">IF(AND(ISNUMBER(C105),C105=TODAY()),C105+ROW()/100000,"")</f>
        <v/>
      </c>
      <c r="K105" s="0" t="str">
        <f aca="true">IF(AND(ISNUMBER(C105),C105&gt;TODAY(),C105&lt;=TODAY()+7),C105+ROW()/100000,"")</f>
        <v/>
      </c>
      <c r="L105" s="0" t="str">
        <f aca="false">IF(AND(ISNUMBER(C105),C105=CALENDÁRIO!$L$4),ROW(),"")</f>
        <v/>
      </c>
    </row>
    <row r="106" customFormat="false" ht="15" hidden="false" customHeight="true" outlineLevel="0" collapsed="false">
      <c r="A106" s="52"/>
      <c r="B106" s="52"/>
      <c r="C106" s="51"/>
      <c r="D106" s="52"/>
      <c r="E106" s="53" t="str">
        <f aca="false">IF(ISNUMBER(C106),CHOOSE(WEEKDAY(C106),"Domingo","Segunda","Terça","Quarta","Quinta","Sexta","Sábado"),"")</f>
        <v/>
      </c>
      <c r="F106" s="53" t="str">
        <f aca="true">IF(NOT(ISNUMBER(C106)),"",IF(C106=TODAY(),"HOJE",IF(C106=TODAY()+1,"AMANHÃ",IF(C106&lt;TODAY(),"Realizada",IF(C106-TODAY()&lt;=7,"Em "&amp;(C106-TODAY())&amp;" dias","Agendada")))))</f>
        <v/>
      </c>
      <c r="G106" s="53" t="str">
        <f aca="false">IF(OR(A106="",NOT(ISNUMBER(C106))),"",IF(COUNTIFS($A$2:$A$301,A106,$C$2:$C$301,C106)&gt;1,"⚠ Folga duplicada",IF(COUNTIFS($B$2:$B$301,B106,$C$2:$C$301,C106)&gt;1,"⚠ "&amp;COUNTIFS($B$2:$B$301,B106,$C$2:$C$301,C106)&amp;" pessoas do setor de folga no dia","")))</f>
        <v/>
      </c>
      <c r="J106" s="0" t="str">
        <f aca="true">IF(AND(ISNUMBER(C106),C106=TODAY()),C106+ROW()/100000,"")</f>
        <v/>
      </c>
      <c r="K106" s="0" t="str">
        <f aca="true">IF(AND(ISNUMBER(C106),C106&gt;TODAY(),C106&lt;=TODAY()+7),C106+ROW()/100000,"")</f>
        <v/>
      </c>
      <c r="L106" s="0" t="str">
        <f aca="false">IF(AND(ISNUMBER(C106),C106=CALENDÁRIO!$L$4),ROW(),"")</f>
        <v/>
      </c>
    </row>
    <row r="107" customFormat="false" ht="15" hidden="false" customHeight="true" outlineLevel="0" collapsed="false">
      <c r="A107" s="52"/>
      <c r="B107" s="52"/>
      <c r="C107" s="51"/>
      <c r="D107" s="52"/>
      <c r="E107" s="53" t="str">
        <f aca="false">IF(ISNUMBER(C107),CHOOSE(WEEKDAY(C107),"Domingo","Segunda","Terça","Quarta","Quinta","Sexta","Sábado"),"")</f>
        <v/>
      </c>
      <c r="F107" s="53" t="str">
        <f aca="true">IF(NOT(ISNUMBER(C107)),"",IF(C107=TODAY(),"HOJE",IF(C107=TODAY()+1,"AMANHÃ",IF(C107&lt;TODAY(),"Realizada",IF(C107-TODAY()&lt;=7,"Em "&amp;(C107-TODAY())&amp;" dias","Agendada")))))</f>
        <v/>
      </c>
      <c r="G107" s="53" t="str">
        <f aca="false">IF(OR(A107="",NOT(ISNUMBER(C107))),"",IF(COUNTIFS($A$2:$A$301,A107,$C$2:$C$301,C107)&gt;1,"⚠ Folga duplicada",IF(COUNTIFS($B$2:$B$301,B107,$C$2:$C$301,C107)&gt;1,"⚠ "&amp;COUNTIFS($B$2:$B$301,B107,$C$2:$C$301,C107)&amp;" pessoas do setor de folga no dia","")))</f>
        <v/>
      </c>
      <c r="J107" s="0" t="str">
        <f aca="true">IF(AND(ISNUMBER(C107),C107=TODAY()),C107+ROW()/100000,"")</f>
        <v/>
      </c>
      <c r="K107" s="0" t="str">
        <f aca="true">IF(AND(ISNUMBER(C107),C107&gt;TODAY(),C107&lt;=TODAY()+7),C107+ROW()/100000,"")</f>
        <v/>
      </c>
      <c r="L107" s="0" t="str">
        <f aca="false">IF(AND(ISNUMBER(C107),C107=CALENDÁRIO!$L$4),ROW(),"")</f>
        <v/>
      </c>
    </row>
    <row r="108" customFormat="false" ht="15" hidden="false" customHeight="true" outlineLevel="0" collapsed="false">
      <c r="A108" s="52"/>
      <c r="B108" s="52"/>
      <c r="C108" s="51"/>
      <c r="D108" s="52"/>
      <c r="E108" s="53" t="str">
        <f aca="false">IF(ISNUMBER(C108),CHOOSE(WEEKDAY(C108),"Domingo","Segunda","Terça","Quarta","Quinta","Sexta","Sábado"),"")</f>
        <v/>
      </c>
      <c r="F108" s="53" t="str">
        <f aca="true">IF(NOT(ISNUMBER(C108)),"",IF(C108=TODAY(),"HOJE",IF(C108=TODAY()+1,"AMANHÃ",IF(C108&lt;TODAY(),"Realizada",IF(C108-TODAY()&lt;=7,"Em "&amp;(C108-TODAY())&amp;" dias","Agendada")))))</f>
        <v/>
      </c>
      <c r="G108" s="53" t="str">
        <f aca="false">IF(OR(A108="",NOT(ISNUMBER(C108))),"",IF(COUNTIFS($A$2:$A$301,A108,$C$2:$C$301,C108)&gt;1,"⚠ Folga duplicada",IF(COUNTIFS($B$2:$B$301,B108,$C$2:$C$301,C108)&gt;1,"⚠ "&amp;COUNTIFS($B$2:$B$301,B108,$C$2:$C$301,C108)&amp;" pessoas do setor de folga no dia","")))</f>
        <v/>
      </c>
      <c r="J108" s="0" t="str">
        <f aca="true">IF(AND(ISNUMBER(C108),C108=TODAY()),C108+ROW()/100000,"")</f>
        <v/>
      </c>
      <c r="K108" s="0" t="str">
        <f aca="true">IF(AND(ISNUMBER(C108),C108&gt;TODAY(),C108&lt;=TODAY()+7),C108+ROW()/100000,"")</f>
        <v/>
      </c>
      <c r="L108" s="0" t="str">
        <f aca="false">IF(AND(ISNUMBER(C108),C108=CALENDÁRIO!$L$4),ROW(),"")</f>
        <v/>
      </c>
    </row>
    <row r="109" customFormat="false" ht="15" hidden="false" customHeight="true" outlineLevel="0" collapsed="false">
      <c r="A109" s="52"/>
      <c r="B109" s="52"/>
      <c r="C109" s="51"/>
      <c r="D109" s="52"/>
      <c r="E109" s="53" t="str">
        <f aca="false">IF(ISNUMBER(C109),CHOOSE(WEEKDAY(C109),"Domingo","Segunda","Terça","Quarta","Quinta","Sexta","Sábado"),"")</f>
        <v/>
      </c>
      <c r="F109" s="53" t="str">
        <f aca="true">IF(NOT(ISNUMBER(C109)),"",IF(C109=TODAY(),"HOJE",IF(C109=TODAY()+1,"AMANHÃ",IF(C109&lt;TODAY(),"Realizada",IF(C109-TODAY()&lt;=7,"Em "&amp;(C109-TODAY())&amp;" dias","Agendada")))))</f>
        <v/>
      </c>
      <c r="G109" s="53" t="str">
        <f aca="false">IF(OR(A109="",NOT(ISNUMBER(C109))),"",IF(COUNTIFS($A$2:$A$301,A109,$C$2:$C$301,C109)&gt;1,"⚠ Folga duplicada",IF(COUNTIFS($B$2:$B$301,B109,$C$2:$C$301,C109)&gt;1,"⚠ "&amp;COUNTIFS($B$2:$B$301,B109,$C$2:$C$301,C109)&amp;" pessoas do setor de folga no dia","")))</f>
        <v/>
      </c>
      <c r="J109" s="0" t="str">
        <f aca="true">IF(AND(ISNUMBER(C109),C109=TODAY()),C109+ROW()/100000,"")</f>
        <v/>
      </c>
      <c r="K109" s="0" t="str">
        <f aca="true">IF(AND(ISNUMBER(C109),C109&gt;TODAY(),C109&lt;=TODAY()+7),C109+ROW()/100000,"")</f>
        <v/>
      </c>
      <c r="L109" s="0" t="str">
        <f aca="false">IF(AND(ISNUMBER(C109),C109=CALENDÁRIO!$L$4),ROW(),"")</f>
        <v/>
      </c>
    </row>
    <row r="110" customFormat="false" ht="15" hidden="false" customHeight="true" outlineLevel="0" collapsed="false">
      <c r="A110" s="52"/>
      <c r="B110" s="52"/>
      <c r="C110" s="51"/>
      <c r="D110" s="52"/>
      <c r="E110" s="53" t="str">
        <f aca="false">IF(ISNUMBER(C110),CHOOSE(WEEKDAY(C110),"Domingo","Segunda","Terça","Quarta","Quinta","Sexta","Sábado"),"")</f>
        <v/>
      </c>
      <c r="F110" s="53" t="str">
        <f aca="true">IF(NOT(ISNUMBER(C110)),"",IF(C110=TODAY(),"HOJE",IF(C110=TODAY()+1,"AMANHÃ",IF(C110&lt;TODAY(),"Realizada",IF(C110-TODAY()&lt;=7,"Em "&amp;(C110-TODAY())&amp;" dias","Agendada")))))</f>
        <v/>
      </c>
      <c r="G110" s="53" t="str">
        <f aca="false">IF(OR(A110="",NOT(ISNUMBER(C110))),"",IF(COUNTIFS($A$2:$A$301,A110,$C$2:$C$301,C110)&gt;1,"⚠ Folga duplicada",IF(COUNTIFS($B$2:$B$301,B110,$C$2:$C$301,C110)&gt;1,"⚠ "&amp;COUNTIFS($B$2:$B$301,B110,$C$2:$C$301,C110)&amp;" pessoas do setor de folga no dia","")))</f>
        <v/>
      </c>
      <c r="J110" s="0" t="str">
        <f aca="true">IF(AND(ISNUMBER(C110),C110=TODAY()),C110+ROW()/100000,"")</f>
        <v/>
      </c>
      <c r="K110" s="0" t="str">
        <f aca="true">IF(AND(ISNUMBER(C110),C110&gt;TODAY(),C110&lt;=TODAY()+7),C110+ROW()/100000,"")</f>
        <v/>
      </c>
      <c r="L110" s="0" t="str">
        <f aca="false">IF(AND(ISNUMBER(C110),C110=CALENDÁRIO!$L$4),ROW(),"")</f>
        <v/>
      </c>
    </row>
    <row r="111" customFormat="false" ht="15" hidden="false" customHeight="true" outlineLevel="0" collapsed="false">
      <c r="A111" s="52"/>
      <c r="B111" s="52"/>
      <c r="C111" s="51"/>
      <c r="D111" s="52"/>
      <c r="E111" s="53" t="str">
        <f aca="false">IF(ISNUMBER(C111),CHOOSE(WEEKDAY(C111),"Domingo","Segunda","Terça","Quarta","Quinta","Sexta","Sábado"),"")</f>
        <v/>
      </c>
      <c r="F111" s="53" t="str">
        <f aca="true">IF(NOT(ISNUMBER(C111)),"",IF(C111=TODAY(),"HOJE",IF(C111=TODAY()+1,"AMANHÃ",IF(C111&lt;TODAY(),"Realizada",IF(C111-TODAY()&lt;=7,"Em "&amp;(C111-TODAY())&amp;" dias","Agendada")))))</f>
        <v/>
      </c>
      <c r="G111" s="53" t="str">
        <f aca="false">IF(OR(A111="",NOT(ISNUMBER(C111))),"",IF(COUNTIFS($A$2:$A$301,A111,$C$2:$C$301,C111)&gt;1,"⚠ Folga duplicada",IF(COUNTIFS($B$2:$B$301,B111,$C$2:$C$301,C111)&gt;1,"⚠ "&amp;COUNTIFS($B$2:$B$301,B111,$C$2:$C$301,C111)&amp;" pessoas do setor de folga no dia","")))</f>
        <v/>
      </c>
      <c r="J111" s="0" t="str">
        <f aca="true">IF(AND(ISNUMBER(C111),C111=TODAY()),C111+ROW()/100000,"")</f>
        <v/>
      </c>
      <c r="K111" s="0" t="str">
        <f aca="true">IF(AND(ISNUMBER(C111),C111&gt;TODAY(),C111&lt;=TODAY()+7),C111+ROW()/100000,"")</f>
        <v/>
      </c>
      <c r="L111" s="0" t="str">
        <f aca="false">IF(AND(ISNUMBER(C111),C111=CALENDÁRIO!$L$4),ROW(),"")</f>
        <v/>
      </c>
    </row>
    <row r="112" customFormat="false" ht="15" hidden="false" customHeight="true" outlineLevel="0" collapsed="false">
      <c r="A112" s="52"/>
      <c r="B112" s="52"/>
      <c r="C112" s="51"/>
      <c r="D112" s="52"/>
      <c r="E112" s="53" t="str">
        <f aca="false">IF(ISNUMBER(C112),CHOOSE(WEEKDAY(C112),"Domingo","Segunda","Terça","Quarta","Quinta","Sexta","Sábado"),"")</f>
        <v/>
      </c>
      <c r="F112" s="53" t="str">
        <f aca="true">IF(NOT(ISNUMBER(C112)),"",IF(C112=TODAY(),"HOJE",IF(C112=TODAY()+1,"AMANHÃ",IF(C112&lt;TODAY(),"Realizada",IF(C112-TODAY()&lt;=7,"Em "&amp;(C112-TODAY())&amp;" dias","Agendada")))))</f>
        <v/>
      </c>
      <c r="G112" s="53" t="str">
        <f aca="false">IF(OR(A112="",NOT(ISNUMBER(C112))),"",IF(COUNTIFS($A$2:$A$301,A112,$C$2:$C$301,C112)&gt;1,"⚠ Folga duplicada",IF(COUNTIFS($B$2:$B$301,B112,$C$2:$C$301,C112)&gt;1,"⚠ "&amp;COUNTIFS($B$2:$B$301,B112,$C$2:$C$301,C112)&amp;" pessoas do setor de folga no dia","")))</f>
        <v/>
      </c>
      <c r="J112" s="0" t="str">
        <f aca="true">IF(AND(ISNUMBER(C112),C112=TODAY()),C112+ROW()/100000,"")</f>
        <v/>
      </c>
      <c r="K112" s="0" t="str">
        <f aca="true">IF(AND(ISNUMBER(C112),C112&gt;TODAY(),C112&lt;=TODAY()+7),C112+ROW()/100000,"")</f>
        <v/>
      </c>
      <c r="L112" s="0" t="str">
        <f aca="false">IF(AND(ISNUMBER(C112),C112=CALENDÁRIO!$L$4),ROW(),"")</f>
        <v/>
      </c>
    </row>
    <row r="113" customFormat="false" ht="15" hidden="false" customHeight="true" outlineLevel="0" collapsed="false">
      <c r="A113" s="52"/>
      <c r="B113" s="52"/>
      <c r="C113" s="51"/>
      <c r="D113" s="52"/>
      <c r="E113" s="53" t="str">
        <f aca="false">IF(ISNUMBER(C113),CHOOSE(WEEKDAY(C113),"Domingo","Segunda","Terça","Quarta","Quinta","Sexta","Sábado"),"")</f>
        <v/>
      </c>
      <c r="F113" s="53" t="str">
        <f aca="true">IF(NOT(ISNUMBER(C113)),"",IF(C113=TODAY(),"HOJE",IF(C113=TODAY()+1,"AMANHÃ",IF(C113&lt;TODAY(),"Realizada",IF(C113-TODAY()&lt;=7,"Em "&amp;(C113-TODAY())&amp;" dias","Agendada")))))</f>
        <v/>
      </c>
      <c r="G113" s="53" t="str">
        <f aca="false">IF(OR(A113="",NOT(ISNUMBER(C113))),"",IF(COUNTIFS($A$2:$A$301,A113,$C$2:$C$301,C113)&gt;1,"⚠ Folga duplicada",IF(COUNTIFS($B$2:$B$301,B113,$C$2:$C$301,C113)&gt;1,"⚠ "&amp;COUNTIFS($B$2:$B$301,B113,$C$2:$C$301,C113)&amp;" pessoas do setor de folga no dia","")))</f>
        <v/>
      </c>
      <c r="J113" s="0" t="str">
        <f aca="true">IF(AND(ISNUMBER(C113),C113=TODAY()),C113+ROW()/100000,"")</f>
        <v/>
      </c>
      <c r="K113" s="0" t="str">
        <f aca="true">IF(AND(ISNUMBER(C113),C113&gt;TODAY(),C113&lt;=TODAY()+7),C113+ROW()/100000,"")</f>
        <v/>
      </c>
      <c r="L113" s="0" t="str">
        <f aca="false">IF(AND(ISNUMBER(C113),C113=CALENDÁRIO!$L$4),ROW(),"")</f>
        <v/>
      </c>
    </row>
    <row r="114" customFormat="false" ht="15" hidden="false" customHeight="true" outlineLevel="0" collapsed="false">
      <c r="A114" s="52"/>
      <c r="B114" s="52"/>
      <c r="C114" s="51"/>
      <c r="D114" s="52"/>
      <c r="E114" s="53" t="str">
        <f aca="false">IF(ISNUMBER(C114),CHOOSE(WEEKDAY(C114),"Domingo","Segunda","Terça","Quarta","Quinta","Sexta","Sábado"),"")</f>
        <v/>
      </c>
      <c r="F114" s="53" t="str">
        <f aca="true">IF(NOT(ISNUMBER(C114)),"",IF(C114=TODAY(),"HOJE",IF(C114=TODAY()+1,"AMANHÃ",IF(C114&lt;TODAY(),"Realizada",IF(C114-TODAY()&lt;=7,"Em "&amp;(C114-TODAY())&amp;" dias","Agendada")))))</f>
        <v/>
      </c>
      <c r="G114" s="53" t="str">
        <f aca="false">IF(OR(A114="",NOT(ISNUMBER(C114))),"",IF(COUNTIFS($A$2:$A$301,A114,$C$2:$C$301,C114)&gt;1,"⚠ Folga duplicada",IF(COUNTIFS($B$2:$B$301,B114,$C$2:$C$301,C114)&gt;1,"⚠ "&amp;COUNTIFS($B$2:$B$301,B114,$C$2:$C$301,C114)&amp;" pessoas do setor de folga no dia","")))</f>
        <v/>
      </c>
      <c r="J114" s="0" t="str">
        <f aca="true">IF(AND(ISNUMBER(C114),C114=TODAY()),C114+ROW()/100000,"")</f>
        <v/>
      </c>
      <c r="K114" s="0" t="str">
        <f aca="true">IF(AND(ISNUMBER(C114),C114&gt;TODAY(),C114&lt;=TODAY()+7),C114+ROW()/100000,"")</f>
        <v/>
      </c>
      <c r="L114" s="0" t="str">
        <f aca="false">IF(AND(ISNUMBER(C114),C114=CALENDÁRIO!$L$4),ROW(),"")</f>
        <v/>
      </c>
    </row>
    <row r="115" customFormat="false" ht="15" hidden="false" customHeight="true" outlineLevel="0" collapsed="false">
      <c r="A115" s="52"/>
      <c r="B115" s="52"/>
      <c r="C115" s="51"/>
      <c r="D115" s="52"/>
      <c r="E115" s="53" t="str">
        <f aca="false">IF(ISNUMBER(C115),CHOOSE(WEEKDAY(C115),"Domingo","Segunda","Terça","Quarta","Quinta","Sexta","Sábado"),"")</f>
        <v/>
      </c>
      <c r="F115" s="53" t="str">
        <f aca="true">IF(NOT(ISNUMBER(C115)),"",IF(C115=TODAY(),"HOJE",IF(C115=TODAY()+1,"AMANHÃ",IF(C115&lt;TODAY(),"Realizada",IF(C115-TODAY()&lt;=7,"Em "&amp;(C115-TODAY())&amp;" dias","Agendada")))))</f>
        <v/>
      </c>
      <c r="G115" s="53" t="str">
        <f aca="false">IF(OR(A115="",NOT(ISNUMBER(C115))),"",IF(COUNTIFS($A$2:$A$301,A115,$C$2:$C$301,C115)&gt;1,"⚠ Folga duplicada",IF(COUNTIFS($B$2:$B$301,B115,$C$2:$C$301,C115)&gt;1,"⚠ "&amp;COUNTIFS($B$2:$B$301,B115,$C$2:$C$301,C115)&amp;" pessoas do setor de folga no dia","")))</f>
        <v/>
      </c>
      <c r="J115" s="0" t="str">
        <f aca="true">IF(AND(ISNUMBER(C115),C115=TODAY()),C115+ROW()/100000,"")</f>
        <v/>
      </c>
      <c r="K115" s="0" t="str">
        <f aca="true">IF(AND(ISNUMBER(C115),C115&gt;TODAY(),C115&lt;=TODAY()+7),C115+ROW()/100000,"")</f>
        <v/>
      </c>
      <c r="L115" s="0" t="str">
        <f aca="false">IF(AND(ISNUMBER(C115),C115=CALENDÁRIO!$L$4),ROW(),"")</f>
        <v/>
      </c>
    </row>
    <row r="116" customFormat="false" ht="15" hidden="false" customHeight="true" outlineLevel="0" collapsed="false">
      <c r="A116" s="52"/>
      <c r="B116" s="52"/>
      <c r="C116" s="51"/>
      <c r="D116" s="52"/>
      <c r="E116" s="53" t="str">
        <f aca="false">IF(ISNUMBER(C116),CHOOSE(WEEKDAY(C116),"Domingo","Segunda","Terça","Quarta","Quinta","Sexta","Sábado"),"")</f>
        <v/>
      </c>
      <c r="F116" s="53" t="str">
        <f aca="true">IF(NOT(ISNUMBER(C116)),"",IF(C116=TODAY(),"HOJE",IF(C116=TODAY()+1,"AMANHÃ",IF(C116&lt;TODAY(),"Realizada",IF(C116-TODAY()&lt;=7,"Em "&amp;(C116-TODAY())&amp;" dias","Agendada")))))</f>
        <v/>
      </c>
      <c r="G116" s="53" t="str">
        <f aca="false">IF(OR(A116="",NOT(ISNUMBER(C116))),"",IF(COUNTIFS($A$2:$A$301,A116,$C$2:$C$301,C116)&gt;1,"⚠ Folga duplicada",IF(COUNTIFS($B$2:$B$301,B116,$C$2:$C$301,C116)&gt;1,"⚠ "&amp;COUNTIFS($B$2:$B$301,B116,$C$2:$C$301,C116)&amp;" pessoas do setor de folga no dia","")))</f>
        <v/>
      </c>
      <c r="J116" s="0" t="str">
        <f aca="true">IF(AND(ISNUMBER(C116),C116=TODAY()),C116+ROW()/100000,"")</f>
        <v/>
      </c>
      <c r="K116" s="0" t="str">
        <f aca="true">IF(AND(ISNUMBER(C116),C116&gt;TODAY(),C116&lt;=TODAY()+7),C116+ROW()/100000,"")</f>
        <v/>
      </c>
      <c r="L116" s="0" t="str">
        <f aca="false">IF(AND(ISNUMBER(C116),C116=CALENDÁRIO!$L$4),ROW(),"")</f>
        <v/>
      </c>
    </row>
    <row r="117" customFormat="false" ht="15" hidden="false" customHeight="true" outlineLevel="0" collapsed="false">
      <c r="A117" s="52"/>
      <c r="B117" s="52"/>
      <c r="C117" s="51"/>
      <c r="D117" s="52"/>
      <c r="E117" s="53" t="str">
        <f aca="false">IF(ISNUMBER(C117),CHOOSE(WEEKDAY(C117),"Domingo","Segunda","Terça","Quarta","Quinta","Sexta","Sábado"),"")</f>
        <v/>
      </c>
      <c r="F117" s="53" t="str">
        <f aca="true">IF(NOT(ISNUMBER(C117)),"",IF(C117=TODAY(),"HOJE",IF(C117=TODAY()+1,"AMANHÃ",IF(C117&lt;TODAY(),"Realizada",IF(C117-TODAY()&lt;=7,"Em "&amp;(C117-TODAY())&amp;" dias","Agendada")))))</f>
        <v/>
      </c>
      <c r="G117" s="53" t="str">
        <f aca="false">IF(OR(A117="",NOT(ISNUMBER(C117))),"",IF(COUNTIFS($A$2:$A$301,A117,$C$2:$C$301,C117)&gt;1,"⚠ Folga duplicada",IF(COUNTIFS($B$2:$B$301,B117,$C$2:$C$301,C117)&gt;1,"⚠ "&amp;COUNTIFS($B$2:$B$301,B117,$C$2:$C$301,C117)&amp;" pessoas do setor de folga no dia","")))</f>
        <v/>
      </c>
      <c r="J117" s="0" t="str">
        <f aca="true">IF(AND(ISNUMBER(C117),C117=TODAY()),C117+ROW()/100000,"")</f>
        <v/>
      </c>
      <c r="K117" s="0" t="str">
        <f aca="true">IF(AND(ISNUMBER(C117),C117&gt;TODAY(),C117&lt;=TODAY()+7),C117+ROW()/100000,"")</f>
        <v/>
      </c>
      <c r="L117" s="0" t="str">
        <f aca="false">IF(AND(ISNUMBER(C117),C117=CALENDÁRIO!$L$4),ROW(),"")</f>
        <v/>
      </c>
    </row>
    <row r="118" customFormat="false" ht="15" hidden="false" customHeight="true" outlineLevel="0" collapsed="false">
      <c r="A118" s="52"/>
      <c r="B118" s="52"/>
      <c r="C118" s="51"/>
      <c r="D118" s="52"/>
      <c r="E118" s="53" t="str">
        <f aca="false">IF(ISNUMBER(C118),CHOOSE(WEEKDAY(C118),"Domingo","Segunda","Terça","Quarta","Quinta","Sexta","Sábado"),"")</f>
        <v/>
      </c>
      <c r="F118" s="53" t="str">
        <f aca="true">IF(NOT(ISNUMBER(C118)),"",IF(C118=TODAY(),"HOJE",IF(C118=TODAY()+1,"AMANHÃ",IF(C118&lt;TODAY(),"Realizada",IF(C118-TODAY()&lt;=7,"Em "&amp;(C118-TODAY())&amp;" dias","Agendada")))))</f>
        <v/>
      </c>
      <c r="G118" s="53" t="str">
        <f aca="false">IF(OR(A118="",NOT(ISNUMBER(C118))),"",IF(COUNTIFS($A$2:$A$301,A118,$C$2:$C$301,C118)&gt;1,"⚠ Folga duplicada",IF(COUNTIFS($B$2:$B$301,B118,$C$2:$C$301,C118)&gt;1,"⚠ "&amp;COUNTIFS($B$2:$B$301,B118,$C$2:$C$301,C118)&amp;" pessoas do setor de folga no dia","")))</f>
        <v/>
      </c>
      <c r="J118" s="0" t="str">
        <f aca="true">IF(AND(ISNUMBER(C118),C118=TODAY()),C118+ROW()/100000,"")</f>
        <v/>
      </c>
      <c r="K118" s="0" t="str">
        <f aca="true">IF(AND(ISNUMBER(C118),C118&gt;TODAY(),C118&lt;=TODAY()+7),C118+ROW()/100000,"")</f>
        <v/>
      </c>
      <c r="L118" s="0" t="str">
        <f aca="false">IF(AND(ISNUMBER(C118),C118=CALENDÁRIO!$L$4),ROW(),"")</f>
        <v/>
      </c>
    </row>
    <row r="119" customFormat="false" ht="15" hidden="false" customHeight="true" outlineLevel="0" collapsed="false">
      <c r="A119" s="52"/>
      <c r="B119" s="52"/>
      <c r="C119" s="51"/>
      <c r="D119" s="52"/>
      <c r="E119" s="53" t="str">
        <f aca="false">IF(ISNUMBER(C119),CHOOSE(WEEKDAY(C119),"Domingo","Segunda","Terça","Quarta","Quinta","Sexta","Sábado"),"")</f>
        <v/>
      </c>
      <c r="F119" s="53" t="str">
        <f aca="true">IF(NOT(ISNUMBER(C119)),"",IF(C119=TODAY(),"HOJE",IF(C119=TODAY()+1,"AMANHÃ",IF(C119&lt;TODAY(),"Realizada",IF(C119-TODAY()&lt;=7,"Em "&amp;(C119-TODAY())&amp;" dias","Agendada")))))</f>
        <v/>
      </c>
      <c r="G119" s="53" t="str">
        <f aca="false">IF(OR(A119="",NOT(ISNUMBER(C119))),"",IF(COUNTIFS($A$2:$A$301,A119,$C$2:$C$301,C119)&gt;1,"⚠ Folga duplicada",IF(COUNTIFS($B$2:$B$301,B119,$C$2:$C$301,C119)&gt;1,"⚠ "&amp;COUNTIFS($B$2:$B$301,B119,$C$2:$C$301,C119)&amp;" pessoas do setor de folga no dia","")))</f>
        <v/>
      </c>
      <c r="J119" s="0" t="str">
        <f aca="true">IF(AND(ISNUMBER(C119),C119=TODAY()),C119+ROW()/100000,"")</f>
        <v/>
      </c>
      <c r="K119" s="0" t="str">
        <f aca="true">IF(AND(ISNUMBER(C119),C119&gt;TODAY(),C119&lt;=TODAY()+7),C119+ROW()/100000,"")</f>
        <v/>
      </c>
      <c r="L119" s="0" t="str">
        <f aca="false">IF(AND(ISNUMBER(C119),C119=CALENDÁRIO!$L$4),ROW(),"")</f>
        <v/>
      </c>
    </row>
    <row r="120" customFormat="false" ht="15" hidden="false" customHeight="true" outlineLevel="0" collapsed="false">
      <c r="A120" s="52"/>
      <c r="B120" s="52"/>
      <c r="C120" s="51"/>
      <c r="D120" s="52"/>
      <c r="E120" s="53" t="str">
        <f aca="false">IF(ISNUMBER(C120),CHOOSE(WEEKDAY(C120),"Domingo","Segunda","Terça","Quarta","Quinta","Sexta","Sábado"),"")</f>
        <v/>
      </c>
      <c r="F120" s="53" t="str">
        <f aca="true">IF(NOT(ISNUMBER(C120)),"",IF(C120=TODAY(),"HOJE",IF(C120=TODAY()+1,"AMANHÃ",IF(C120&lt;TODAY(),"Realizada",IF(C120-TODAY()&lt;=7,"Em "&amp;(C120-TODAY())&amp;" dias","Agendada")))))</f>
        <v/>
      </c>
      <c r="G120" s="53" t="str">
        <f aca="false">IF(OR(A120="",NOT(ISNUMBER(C120))),"",IF(COUNTIFS($A$2:$A$301,A120,$C$2:$C$301,C120)&gt;1,"⚠ Folga duplicada",IF(COUNTIFS($B$2:$B$301,B120,$C$2:$C$301,C120)&gt;1,"⚠ "&amp;COUNTIFS($B$2:$B$301,B120,$C$2:$C$301,C120)&amp;" pessoas do setor de folga no dia","")))</f>
        <v/>
      </c>
      <c r="J120" s="0" t="str">
        <f aca="true">IF(AND(ISNUMBER(C120),C120=TODAY()),C120+ROW()/100000,"")</f>
        <v/>
      </c>
      <c r="K120" s="0" t="str">
        <f aca="true">IF(AND(ISNUMBER(C120),C120&gt;TODAY(),C120&lt;=TODAY()+7),C120+ROW()/100000,"")</f>
        <v/>
      </c>
      <c r="L120" s="0" t="str">
        <f aca="false">IF(AND(ISNUMBER(C120),C120=CALENDÁRIO!$L$4),ROW(),"")</f>
        <v/>
      </c>
    </row>
    <row r="121" customFormat="false" ht="15" hidden="false" customHeight="true" outlineLevel="0" collapsed="false">
      <c r="A121" s="52"/>
      <c r="B121" s="52"/>
      <c r="C121" s="51"/>
      <c r="D121" s="52"/>
      <c r="E121" s="53" t="str">
        <f aca="false">IF(ISNUMBER(C121),CHOOSE(WEEKDAY(C121),"Domingo","Segunda","Terça","Quarta","Quinta","Sexta","Sábado"),"")</f>
        <v/>
      </c>
      <c r="F121" s="53" t="str">
        <f aca="true">IF(NOT(ISNUMBER(C121)),"",IF(C121=TODAY(),"HOJE",IF(C121=TODAY()+1,"AMANHÃ",IF(C121&lt;TODAY(),"Realizada",IF(C121-TODAY()&lt;=7,"Em "&amp;(C121-TODAY())&amp;" dias","Agendada")))))</f>
        <v/>
      </c>
      <c r="G121" s="53" t="str">
        <f aca="false">IF(OR(A121="",NOT(ISNUMBER(C121))),"",IF(COUNTIFS($A$2:$A$301,A121,$C$2:$C$301,C121)&gt;1,"⚠ Folga duplicada",IF(COUNTIFS($B$2:$B$301,B121,$C$2:$C$301,C121)&gt;1,"⚠ "&amp;COUNTIFS($B$2:$B$301,B121,$C$2:$C$301,C121)&amp;" pessoas do setor de folga no dia","")))</f>
        <v/>
      </c>
      <c r="J121" s="0" t="str">
        <f aca="true">IF(AND(ISNUMBER(C121),C121=TODAY()),C121+ROW()/100000,"")</f>
        <v/>
      </c>
      <c r="K121" s="0" t="str">
        <f aca="true">IF(AND(ISNUMBER(C121),C121&gt;TODAY(),C121&lt;=TODAY()+7),C121+ROW()/100000,"")</f>
        <v/>
      </c>
      <c r="L121" s="0" t="str">
        <f aca="false">IF(AND(ISNUMBER(C121),C121=CALENDÁRIO!$L$4),ROW(),"")</f>
        <v/>
      </c>
    </row>
    <row r="122" customFormat="false" ht="15" hidden="false" customHeight="true" outlineLevel="0" collapsed="false">
      <c r="A122" s="52"/>
      <c r="B122" s="52"/>
      <c r="C122" s="51"/>
      <c r="D122" s="52"/>
      <c r="E122" s="53" t="str">
        <f aca="false">IF(ISNUMBER(C122),CHOOSE(WEEKDAY(C122),"Domingo","Segunda","Terça","Quarta","Quinta","Sexta","Sábado"),"")</f>
        <v/>
      </c>
      <c r="F122" s="53" t="str">
        <f aca="true">IF(NOT(ISNUMBER(C122)),"",IF(C122=TODAY(),"HOJE",IF(C122=TODAY()+1,"AMANHÃ",IF(C122&lt;TODAY(),"Realizada",IF(C122-TODAY()&lt;=7,"Em "&amp;(C122-TODAY())&amp;" dias","Agendada")))))</f>
        <v/>
      </c>
      <c r="G122" s="53" t="str">
        <f aca="false">IF(OR(A122="",NOT(ISNUMBER(C122))),"",IF(COUNTIFS($A$2:$A$301,A122,$C$2:$C$301,C122)&gt;1,"⚠ Folga duplicada",IF(COUNTIFS($B$2:$B$301,B122,$C$2:$C$301,C122)&gt;1,"⚠ "&amp;COUNTIFS($B$2:$B$301,B122,$C$2:$C$301,C122)&amp;" pessoas do setor de folga no dia","")))</f>
        <v/>
      </c>
      <c r="J122" s="0" t="str">
        <f aca="true">IF(AND(ISNUMBER(C122),C122=TODAY()),C122+ROW()/100000,"")</f>
        <v/>
      </c>
      <c r="K122" s="0" t="str">
        <f aca="true">IF(AND(ISNUMBER(C122),C122&gt;TODAY(),C122&lt;=TODAY()+7),C122+ROW()/100000,"")</f>
        <v/>
      </c>
      <c r="L122" s="0" t="str">
        <f aca="false">IF(AND(ISNUMBER(C122),C122=CALENDÁRIO!$L$4),ROW(),"")</f>
        <v/>
      </c>
    </row>
    <row r="123" customFormat="false" ht="15" hidden="false" customHeight="true" outlineLevel="0" collapsed="false">
      <c r="A123" s="52"/>
      <c r="B123" s="52"/>
      <c r="C123" s="51"/>
      <c r="D123" s="52"/>
      <c r="E123" s="53" t="str">
        <f aca="false">IF(ISNUMBER(C123),CHOOSE(WEEKDAY(C123),"Domingo","Segunda","Terça","Quarta","Quinta","Sexta","Sábado"),"")</f>
        <v/>
      </c>
      <c r="F123" s="53" t="str">
        <f aca="true">IF(NOT(ISNUMBER(C123)),"",IF(C123=TODAY(),"HOJE",IF(C123=TODAY()+1,"AMANHÃ",IF(C123&lt;TODAY(),"Realizada",IF(C123-TODAY()&lt;=7,"Em "&amp;(C123-TODAY())&amp;" dias","Agendada")))))</f>
        <v/>
      </c>
      <c r="G123" s="53" t="str">
        <f aca="false">IF(OR(A123="",NOT(ISNUMBER(C123))),"",IF(COUNTIFS($A$2:$A$301,A123,$C$2:$C$301,C123)&gt;1,"⚠ Folga duplicada",IF(COUNTIFS($B$2:$B$301,B123,$C$2:$C$301,C123)&gt;1,"⚠ "&amp;COUNTIFS($B$2:$B$301,B123,$C$2:$C$301,C123)&amp;" pessoas do setor de folga no dia","")))</f>
        <v/>
      </c>
      <c r="J123" s="0" t="str">
        <f aca="true">IF(AND(ISNUMBER(C123),C123=TODAY()),C123+ROW()/100000,"")</f>
        <v/>
      </c>
      <c r="K123" s="0" t="str">
        <f aca="true">IF(AND(ISNUMBER(C123),C123&gt;TODAY(),C123&lt;=TODAY()+7),C123+ROW()/100000,"")</f>
        <v/>
      </c>
      <c r="L123" s="0" t="str">
        <f aca="false">IF(AND(ISNUMBER(C123),C123=CALENDÁRIO!$L$4),ROW(),"")</f>
        <v/>
      </c>
    </row>
    <row r="124" customFormat="false" ht="15" hidden="false" customHeight="true" outlineLevel="0" collapsed="false">
      <c r="A124" s="52"/>
      <c r="B124" s="52"/>
      <c r="C124" s="51"/>
      <c r="D124" s="52"/>
      <c r="E124" s="53" t="str">
        <f aca="false">IF(ISNUMBER(C124),CHOOSE(WEEKDAY(C124),"Domingo","Segunda","Terça","Quarta","Quinta","Sexta","Sábado"),"")</f>
        <v/>
      </c>
      <c r="F124" s="53" t="str">
        <f aca="true">IF(NOT(ISNUMBER(C124)),"",IF(C124=TODAY(),"HOJE",IF(C124=TODAY()+1,"AMANHÃ",IF(C124&lt;TODAY(),"Realizada",IF(C124-TODAY()&lt;=7,"Em "&amp;(C124-TODAY())&amp;" dias","Agendada")))))</f>
        <v/>
      </c>
      <c r="G124" s="53" t="str">
        <f aca="false">IF(OR(A124="",NOT(ISNUMBER(C124))),"",IF(COUNTIFS($A$2:$A$301,A124,$C$2:$C$301,C124)&gt;1,"⚠ Folga duplicada",IF(COUNTIFS($B$2:$B$301,B124,$C$2:$C$301,C124)&gt;1,"⚠ "&amp;COUNTIFS($B$2:$B$301,B124,$C$2:$C$301,C124)&amp;" pessoas do setor de folga no dia","")))</f>
        <v/>
      </c>
      <c r="J124" s="0" t="str">
        <f aca="true">IF(AND(ISNUMBER(C124),C124=TODAY()),C124+ROW()/100000,"")</f>
        <v/>
      </c>
      <c r="K124" s="0" t="str">
        <f aca="true">IF(AND(ISNUMBER(C124),C124&gt;TODAY(),C124&lt;=TODAY()+7),C124+ROW()/100000,"")</f>
        <v/>
      </c>
      <c r="L124" s="0" t="str">
        <f aca="false">IF(AND(ISNUMBER(C124),C124=CALENDÁRIO!$L$4),ROW(),"")</f>
        <v/>
      </c>
    </row>
    <row r="125" customFormat="false" ht="15" hidden="false" customHeight="true" outlineLevel="0" collapsed="false">
      <c r="A125" s="52"/>
      <c r="B125" s="52"/>
      <c r="C125" s="51"/>
      <c r="D125" s="52"/>
      <c r="E125" s="53" t="str">
        <f aca="false">IF(ISNUMBER(C125),CHOOSE(WEEKDAY(C125),"Domingo","Segunda","Terça","Quarta","Quinta","Sexta","Sábado"),"")</f>
        <v/>
      </c>
      <c r="F125" s="53" t="str">
        <f aca="true">IF(NOT(ISNUMBER(C125)),"",IF(C125=TODAY(),"HOJE",IF(C125=TODAY()+1,"AMANHÃ",IF(C125&lt;TODAY(),"Realizada",IF(C125-TODAY()&lt;=7,"Em "&amp;(C125-TODAY())&amp;" dias","Agendada")))))</f>
        <v/>
      </c>
      <c r="G125" s="53" t="str">
        <f aca="false">IF(OR(A125="",NOT(ISNUMBER(C125))),"",IF(COUNTIFS($A$2:$A$301,A125,$C$2:$C$301,C125)&gt;1,"⚠ Folga duplicada",IF(COUNTIFS($B$2:$B$301,B125,$C$2:$C$301,C125)&gt;1,"⚠ "&amp;COUNTIFS($B$2:$B$301,B125,$C$2:$C$301,C125)&amp;" pessoas do setor de folga no dia","")))</f>
        <v/>
      </c>
      <c r="J125" s="0" t="str">
        <f aca="true">IF(AND(ISNUMBER(C125),C125=TODAY()),C125+ROW()/100000,"")</f>
        <v/>
      </c>
      <c r="K125" s="0" t="str">
        <f aca="true">IF(AND(ISNUMBER(C125),C125&gt;TODAY(),C125&lt;=TODAY()+7),C125+ROW()/100000,"")</f>
        <v/>
      </c>
      <c r="L125" s="0" t="str">
        <f aca="false">IF(AND(ISNUMBER(C125),C125=CALENDÁRIO!$L$4),ROW(),"")</f>
        <v/>
      </c>
    </row>
    <row r="126" customFormat="false" ht="15" hidden="false" customHeight="true" outlineLevel="0" collapsed="false">
      <c r="A126" s="52"/>
      <c r="B126" s="52"/>
      <c r="C126" s="51"/>
      <c r="D126" s="52"/>
      <c r="E126" s="53" t="str">
        <f aca="false">IF(ISNUMBER(C126),CHOOSE(WEEKDAY(C126),"Domingo","Segunda","Terça","Quarta","Quinta","Sexta","Sábado"),"")</f>
        <v/>
      </c>
      <c r="F126" s="53" t="str">
        <f aca="true">IF(NOT(ISNUMBER(C126)),"",IF(C126=TODAY(),"HOJE",IF(C126=TODAY()+1,"AMANHÃ",IF(C126&lt;TODAY(),"Realizada",IF(C126-TODAY()&lt;=7,"Em "&amp;(C126-TODAY())&amp;" dias","Agendada")))))</f>
        <v/>
      </c>
      <c r="G126" s="53" t="str">
        <f aca="false">IF(OR(A126="",NOT(ISNUMBER(C126))),"",IF(COUNTIFS($A$2:$A$301,A126,$C$2:$C$301,C126)&gt;1,"⚠ Folga duplicada",IF(COUNTIFS($B$2:$B$301,B126,$C$2:$C$301,C126)&gt;1,"⚠ "&amp;COUNTIFS($B$2:$B$301,B126,$C$2:$C$301,C126)&amp;" pessoas do setor de folga no dia","")))</f>
        <v/>
      </c>
      <c r="J126" s="0" t="str">
        <f aca="true">IF(AND(ISNUMBER(C126),C126=TODAY()),C126+ROW()/100000,"")</f>
        <v/>
      </c>
      <c r="K126" s="0" t="str">
        <f aca="true">IF(AND(ISNUMBER(C126),C126&gt;TODAY(),C126&lt;=TODAY()+7),C126+ROW()/100000,"")</f>
        <v/>
      </c>
      <c r="L126" s="0" t="str">
        <f aca="false">IF(AND(ISNUMBER(C126),C126=CALENDÁRIO!$L$4),ROW(),"")</f>
        <v/>
      </c>
    </row>
    <row r="127" customFormat="false" ht="15" hidden="false" customHeight="true" outlineLevel="0" collapsed="false">
      <c r="A127" s="52"/>
      <c r="B127" s="52"/>
      <c r="C127" s="51"/>
      <c r="D127" s="52"/>
      <c r="E127" s="53" t="str">
        <f aca="false">IF(ISNUMBER(C127),CHOOSE(WEEKDAY(C127),"Domingo","Segunda","Terça","Quarta","Quinta","Sexta","Sábado"),"")</f>
        <v/>
      </c>
      <c r="F127" s="53" t="str">
        <f aca="true">IF(NOT(ISNUMBER(C127)),"",IF(C127=TODAY(),"HOJE",IF(C127=TODAY()+1,"AMANHÃ",IF(C127&lt;TODAY(),"Realizada",IF(C127-TODAY()&lt;=7,"Em "&amp;(C127-TODAY())&amp;" dias","Agendada")))))</f>
        <v/>
      </c>
      <c r="G127" s="53" t="str">
        <f aca="false">IF(OR(A127="",NOT(ISNUMBER(C127))),"",IF(COUNTIFS($A$2:$A$301,A127,$C$2:$C$301,C127)&gt;1,"⚠ Folga duplicada",IF(COUNTIFS($B$2:$B$301,B127,$C$2:$C$301,C127)&gt;1,"⚠ "&amp;COUNTIFS($B$2:$B$301,B127,$C$2:$C$301,C127)&amp;" pessoas do setor de folga no dia","")))</f>
        <v/>
      </c>
      <c r="J127" s="0" t="str">
        <f aca="true">IF(AND(ISNUMBER(C127),C127=TODAY()),C127+ROW()/100000,"")</f>
        <v/>
      </c>
      <c r="K127" s="0" t="str">
        <f aca="true">IF(AND(ISNUMBER(C127),C127&gt;TODAY(),C127&lt;=TODAY()+7),C127+ROW()/100000,"")</f>
        <v/>
      </c>
      <c r="L127" s="0" t="str">
        <f aca="false">IF(AND(ISNUMBER(C127),C127=CALENDÁRIO!$L$4),ROW(),"")</f>
        <v/>
      </c>
    </row>
    <row r="128" customFormat="false" ht="15" hidden="false" customHeight="true" outlineLevel="0" collapsed="false">
      <c r="A128" s="52"/>
      <c r="B128" s="52"/>
      <c r="C128" s="51"/>
      <c r="D128" s="52"/>
      <c r="E128" s="53" t="str">
        <f aca="false">IF(ISNUMBER(C128),CHOOSE(WEEKDAY(C128),"Domingo","Segunda","Terça","Quarta","Quinta","Sexta","Sábado"),"")</f>
        <v/>
      </c>
      <c r="F128" s="53" t="str">
        <f aca="true">IF(NOT(ISNUMBER(C128)),"",IF(C128=TODAY(),"HOJE",IF(C128=TODAY()+1,"AMANHÃ",IF(C128&lt;TODAY(),"Realizada",IF(C128-TODAY()&lt;=7,"Em "&amp;(C128-TODAY())&amp;" dias","Agendada")))))</f>
        <v/>
      </c>
      <c r="G128" s="53" t="str">
        <f aca="false">IF(OR(A128="",NOT(ISNUMBER(C128))),"",IF(COUNTIFS($A$2:$A$301,A128,$C$2:$C$301,C128)&gt;1,"⚠ Folga duplicada",IF(COUNTIFS($B$2:$B$301,B128,$C$2:$C$301,C128)&gt;1,"⚠ "&amp;COUNTIFS($B$2:$B$301,B128,$C$2:$C$301,C128)&amp;" pessoas do setor de folga no dia","")))</f>
        <v/>
      </c>
      <c r="J128" s="0" t="str">
        <f aca="true">IF(AND(ISNUMBER(C128),C128=TODAY()),C128+ROW()/100000,"")</f>
        <v/>
      </c>
      <c r="K128" s="0" t="str">
        <f aca="true">IF(AND(ISNUMBER(C128),C128&gt;TODAY(),C128&lt;=TODAY()+7),C128+ROW()/100000,"")</f>
        <v/>
      </c>
      <c r="L128" s="0" t="str">
        <f aca="false">IF(AND(ISNUMBER(C128),C128=CALENDÁRIO!$L$4),ROW(),"")</f>
        <v/>
      </c>
    </row>
    <row r="129" customFormat="false" ht="15" hidden="false" customHeight="true" outlineLevel="0" collapsed="false">
      <c r="A129" s="52"/>
      <c r="B129" s="52"/>
      <c r="C129" s="51"/>
      <c r="D129" s="52"/>
      <c r="E129" s="53" t="str">
        <f aca="false">IF(ISNUMBER(C129),CHOOSE(WEEKDAY(C129),"Domingo","Segunda","Terça","Quarta","Quinta","Sexta","Sábado"),"")</f>
        <v/>
      </c>
      <c r="F129" s="53" t="str">
        <f aca="true">IF(NOT(ISNUMBER(C129)),"",IF(C129=TODAY(),"HOJE",IF(C129=TODAY()+1,"AMANHÃ",IF(C129&lt;TODAY(),"Realizada",IF(C129-TODAY()&lt;=7,"Em "&amp;(C129-TODAY())&amp;" dias","Agendada")))))</f>
        <v/>
      </c>
      <c r="G129" s="53" t="str">
        <f aca="false">IF(OR(A129="",NOT(ISNUMBER(C129))),"",IF(COUNTIFS($A$2:$A$301,A129,$C$2:$C$301,C129)&gt;1,"⚠ Folga duplicada",IF(COUNTIFS($B$2:$B$301,B129,$C$2:$C$301,C129)&gt;1,"⚠ "&amp;COUNTIFS($B$2:$B$301,B129,$C$2:$C$301,C129)&amp;" pessoas do setor de folga no dia","")))</f>
        <v/>
      </c>
      <c r="J129" s="0" t="str">
        <f aca="true">IF(AND(ISNUMBER(C129),C129=TODAY()),C129+ROW()/100000,"")</f>
        <v/>
      </c>
      <c r="K129" s="0" t="str">
        <f aca="true">IF(AND(ISNUMBER(C129),C129&gt;TODAY(),C129&lt;=TODAY()+7),C129+ROW()/100000,"")</f>
        <v/>
      </c>
      <c r="L129" s="0" t="str">
        <f aca="false">IF(AND(ISNUMBER(C129),C129=CALENDÁRIO!$L$4),ROW(),"")</f>
        <v/>
      </c>
    </row>
    <row r="130" customFormat="false" ht="15" hidden="false" customHeight="true" outlineLevel="0" collapsed="false">
      <c r="A130" s="52"/>
      <c r="B130" s="52"/>
      <c r="C130" s="51"/>
      <c r="D130" s="52"/>
      <c r="E130" s="53" t="str">
        <f aca="false">IF(ISNUMBER(C130),CHOOSE(WEEKDAY(C130),"Domingo","Segunda","Terça","Quarta","Quinta","Sexta","Sábado"),"")</f>
        <v/>
      </c>
      <c r="F130" s="53" t="str">
        <f aca="true">IF(NOT(ISNUMBER(C130)),"",IF(C130=TODAY(),"HOJE",IF(C130=TODAY()+1,"AMANHÃ",IF(C130&lt;TODAY(),"Realizada",IF(C130-TODAY()&lt;=7,"Em "&amp;(C130-TODAY())&amp;" dias","Agendada")))))</f>
        <v/>
      </c>
      <c r="G130" s="53" t="str">
        <f aca="false">IF(OR(A130="",NOT(ISNUMBER(C130))),"",IF(COUNTIFS($A$2:$A$301,A130,$C$2:$C$301,C130)&gt;1,"⚠ Folga duplicada",IF(COUNTIFS($B$2:$B$301,B130,$C$2:$C$301,C130)&gt;1,"⚠ "&amp;COUNTIFS($B$2:$B$301,B130,$C$2:$C$301,C130)&amp;" pessoas do setor de folga no dia","")))</f>
        <v/>
      </c>
      <c r="J130" s="0" t="str">
        <f aca="true">IF(AND(ISNUMBER(C130),C130=TODAY()),C130+ROW()/100000,"")</f>
        <v/>
      </c>
      <c r="K130" s="0" t="str">
        <f aca="true">IF(AND(ISNUMBER(C130),C130&gt;TODAY(),C130&lt;=TODAY()+7),C130+ROW()/100000,"")</f>
        <v/>
      </c>
      <c r="L130" s="0" t="str">
        <f aca="false">IF(AND(ISNUMBER(C130),C130=CALENDÁRIO!$L$4),ROW(),"")</f>
        <v/>
      </c>
    </row>
    <row r="131" customFormat="false" ht="15" hidden="false" customHeight="true" outlineLevel="0" collapsed="false">
      <c r="A131" s="52"/>
      <c r="B131" s="52"/>
      <c r="C131" s="51"/>
      <c r="D131" s="52"/>
      <c r="E131" s="53" t="str">
        <f aca="false">IF(ISNUMBER(C131),CHOOSE(WEEKDAY(C131),"Domingo","Segunda","Terça","Quarta","Quinta","Sexta","Sábado"),"")</f>
        <v/>
      </c>
      <c r="F131" s="53" t="str">
        <f aca="true">IF(NOT(ISNUMBER(C131)),"",IF(C131=TODAY(),"HOJE",IF(C131=TODAY()+1,"AMANHÃ",IF(C131&lt;TODAY(),"Realizada",IF(C131-TODAY()&lt;=7,"Em "&amp;(C131-TODAY())&amp;" dias","Agendada")))))</f>
        <v/>
      </c>
      <c r="G131" s="53" t="str">
        <f aca="false">IF(OR(A131="",NOT(ISNUMBER(C131))),"",IF(COUNTIFS($A$2:$A$301,A131,$C$2:$C$301,C131)&gt;1,"⚠ Folga duplicada",IF(COUNTIFS($B$2:$B$301,B131,$C$2:$C$301,C131)&gt;1,"⚠ "&amp;COUNTIFS($B$2:$B$301,B131,$C$2:$C$301,C131)&amp;" pessoas do setor de folga no dia","")))</f>
        <v/>
      </c>
      <c r="J131" s="0" t="str">
        <f aca="true">IF(AND(ISNUMBER(C131),C131=TODAY()),C131+ROW()/100000,"")</f>
        <v/>
      </c>
      <c r="K131" s="0" t="str">
        <f aca="true">IF(AND(ISNUMBER(C131),C131&gt;TODAY(),C131&lt;=TODAY()+7),C131+ROW()/100000,"")</f>
        <v/>
      </c>
      <c r="L131" s="0" t="str">
        <f aca="false">IF(AND(ISNUMBER(C131),C131=CALENDÁRIO!$L$4),ROW(),"")</f>
        <v/>
      </c>
    </row>
    <row r="132" customFormat="false" ht="15" hidden="false" customHeight="true" outlineLevel="0" collapsed="false">
      <c r="A132" s="52"/>
      <c r="B132" s="52"/>
      <c r="C132" s="51"/>
      <c r="D132" s="52"/>
      <c r="E132" s="53" t="str">
        <f aca="false">IF(ISNUMBER(C132),CHOOSE(WEEKDAY(C132),"Domingo","Segunda","Terça","Quarta","Quinta","Sexta","Sábado"),"")</f>
        <v/>
      </c>
      <c r="F132" s="53" t="str">
        <f aca="true">IF(NOT(ISNUMBER(C132)),"",IF(C132=TODAY(),"HOJE",IF(C132=TODAY()+1,"AMANHÃ",IF(C132&lt;TODAY(),"Realizada",IF(C132-TODAY()&lt;=7,"Em "&amp;(C132-TODAY())&amp;" dias","Agendada")))))</f>
        <v/>
      </c>
      <c r="G132" s="53" t="str">
        <f aca="false">IF(OR(A132="",NOT(ISNUMBER(C132))),"",IF(COUNTIFS($A$2:$A$301,A132,$C$2:$C$301,C132)&gt;1,"⚠ Folga duplicada",IF(COUNTIFS($B$2:$B$301,B132,$C$2:$C$301,C132)&gt;1,"⚠ "&amp;COUNTIFS($B$2:$B$301,B132,$C$2:$C$301,C132)&amp;" pessoas do setor de folga no dia","")))</f>
        <v/>
      </c>
      <c r="J132" s="0" t="str">
        <f aca="true">IF(AND(ISNUMBER(C132),C132=TODAY()),C132+ROW()/100000,"")</f>
        <v/>
      </c>
      <c r="K132" s="0" t="str">
        <f aca="true">IF(AND(ISNUMBER(C132),C132&gt;TODAY(),C132&lt;=TODAY()+7),C132+ROW()/100000,"")</f>
        <v/>
      </c>
      <c r="L132" s="0" t="str">
        <f aca="false">IF(AND(ISNUMBER(C132),C132=CALENDÁRIO!$L$4),ROW(),"")</f>
        <v/>
      </c>
    </row>
    <row r="133" customFormat="false" ht="15" hidden="false" customHeight="true" outlineLevel="0" collapsed="false">
      <c r="A133" s="52"/>
      <c r="B133" s="52"/>
      <c r="C133" s="51"/>
      <c r="D133" s="52"/>
      <c r="E133" s="53" t="str">
        <f aca="false">IF(ISNUMBER(C133),CHOOSE(WEEKDAY(C133),"Domingo","Segunda","Terça","Quarta","Quinta","Sexta","Sábado"),"")</f>
        <v/>
      </c>
      <c r="F133" s="53" t="str">
        <f aca="true">IF(NOT(ISNUMBER(C133)),"",IF(C133=TODAY(),"HOJE",IF(C133=TODAY()+1,"AMANHÃ",IF(C133&lt;TODAY(),"Realizada",IF(C133-TODAY()&lt;=7,"Em "&amp;(C133-TODAY())&amp;" dias","Agendada")))))</f>
        <v/>
      </c>
      <c r="G133" s="53" t="str">
        <f aca="false">IF(OR(A133="",NOT(ISNUMBER(C133))),"",IF(COUNTIFS($A$2:$A$301,A133,$C$2:$C$301,C133)&gt;1,"⚠ Folga duplicada",IF(COUNTIFS($B$2:$B$301,B133,$C$2:$C$301,C133)&gt;1,"⚠ "&amp;COUNTIFS($B$2:$B$301,B133,$C$2:$C$301,C133)&amp;" pessoas do setor de folga no dia","")))</f>
        <v/>
      </c>
      <c r="J133" s="0" t="str">
        <f aca="true">IF(AND(ISNUMBER(C133),C133=TODAY()),C133+ROW()/100000,"")</f>
        <v/>
      </c>
      <c r="K133" s="0" t="str">
        <f aca="true">IF(AND(ISNUMBER(C133),C133&gt;TODAY(),C133&lt;=TODAY()+7),C133+ROW()/100000,"")</f>
        <v/>
      </c>
      <c r="L133" s="0" t="str">
        <f aca="false">IF(AND(ISNUMBER(C133),C133=CALENDÁRIO!$L$4),ROW(),"")</f>
        <v/>
      </c>
    </row>
    <row r="134" customFormat="false" ht="15" hidden="false" customHeight="true" outlineLevel="0" collapsed="false">
      <c r="A134" s="52"/>
      <c r="B134" s="52"/>
      <c r="C134" s="51"/>
      <c r="D134" s="52"/>
      <c r="E134" s="53" t="str">
        <f aca="false">IF(ISNUMBER(C134),CHOOSE(WEEKDAY(C134),"Domingo","Segunda","Terça","Quarta","Quinta","Sexta","Sábado"),"")</f>
        <v/>
      </c>
      <c r="F134" s="53" t="str">
        <f aca="true">IF(NOT(ISNUMBER(C134)),"",IF(C134=TODAY(),"HOJE",IF(C134=TODAY()+1,"AMANHÃ",IF(C134&lt;TODAY(),"Realizada",IF(C134-TODAY()&lt;=7,"Em "&amp;(C134-TODAY())&amp;" dias","Agendada")))))</f>
        <v/>
      </c>
      <c r="G134" s="53" t="str">
        <f aca="false">IF(OR(A134="",NOT(ISNUMBER(C134))),"",IF(COUNTIFS($A$2:$A$301,A134,$C$2:$C$301,C134)&gt;1,"⚠ Folga duplicada",IF(COUNTIFS($B$2:$B$301,B134,$C$2:$C$301,C134)&gt;1,"⚠ "&amp;COUNTIFS($B$2:$B$301,B134,$C$2:$C$301,C134)&amp;" pessoas do setor de folga no dia","")))</f>
        <v/>
      </c>
      <c r="J134" s="0" t="str">
        <f aca="true">IF(AND(ISNUMBER(C134),C134=TODAY()),C134+ROW()/100000,"")</f>
        <v/>
      </c>
      <c r="K134" s="0" t="str">
        <f aca="true">IF(AND(ISNUMBER(C134),C134&gt;TODAY(),C134&lt;=TODAY()+7),C134+ROW()/100000,"")</f>
        <v/>
      </c>
      <c r="L134" s="0" t="str">
        <f aca="false">IF(AND(ISNUMBER(C134),C134=CALENDÁRIO!$L$4),ROW(),"")</f>
        <v/>
      </c>
    </row>
    <row r="135" customFormat="false" ht="15" hidden="false" customHeight="true" outlineLevel="0" collapsed="false">
      <c r="A135" s="52"/>
      <c r="B135" s="52"/>
      <c r="C135" s="51"/>
      <c r="D135" s="52"/>
      <c r="E135" s="53" t="str">
        <f aca="false">IF(ISNUMBER(C135),CHOOSE(WEEKDAY(C135),"Domingo","Segunda","Terça","Quarta","Quinta","Sexta","Sábado"),"")</f>
        <v/>
      </c>
      <c r="F135" s="53" t="str">
        <f aca="true">IF(NOT(ISNUMBER(C135)),"",IF(C135=TODAY(),"HOJE",IF(C135=TODAY()+1,"AMANHÃ",IF(C135&lt;TODAY(),"Realizada",IF(C135-TODAY()&lt;=7,"Em "&amp;(C135-TODAY())&amp;" dias","Agendada")))))</f>
        <v/>
      </c>
      <c r="G135" s="53" t="str">
        <f aca="false">IF(OR(A135="",NOT(ISNUMBER(C135))),"",IF(COUNTIFS($A$2:$A$301,A135,$C$2:$C$301,C135)&gt;1,"⚠ Folga duplicada",IF(COUNTIFS($B$2:$B$301,B135,$C$2:$C$301,C135)&gt;1,"⚠ "&amp;COUNTIFS($B$2:$B$301,B135,$C$2:$C$301,C135)&amp;" pessoas do setor de folga no dia","")))</f>
        <v/>
      </c>
      <c r="J135" s="0" t="str">
        <f aca="true">IF(AND(ISNUMBER(C135),C135=TODAY()),C135+ROW()/100000,"")</f>
        <v/>
      </c>
      <c r="K135" s="0" t="str">
        <f aca="true">IF(AND(ISNUMBER(C135),C135&gt;TODAY(),C135&lt;=TODAY()+7),C135+ROW()/100000,"")</f>
        <v/>
      </c>
      <c r="L135" s="0" t="str">
        <f aca="false">IF(AND(ISNUMBER(C135),C135=CALENDÁRIO!$L$4),ROW(),"")</f>
        <v/>
      </c>
    </row>
    <row r="136" customFormat="false" ht="15" hidden="false" customHeight="true" outlineLevel="0" collapsed="false">
      <c r="A136" s="52"/>
      <c r="B136" s="52"/>
      <c r="C136" s="51"/>
      <c r="D136" s="52"/>
      <c r="E136" s="53" t="str">
        <f aca="false">IF(ISNUMBER(C136),CHOOSE(WEEKDAY(C136),"Domingo","Segunda","Terça","Quarta","Quinta","Sexta","Sábado"),"")</f>
        <v/>
      </c>
      <c r="F136" s="53" t="str">
        <f aca="true">IF(NOT(ISNUMBER(C136)),"",IF(C136=TODAY(),"HOJE",IF(C136=TODAY()+1,"AMANHÃ",IF(C136&lt;TODAY(),"Realizada",IF(C136-TODAY()&lt;=7,"Em "&amp;(C136-TODAY())&amp;" dias","Agendada")))))</f>
        <v/>
      </c>
      <c r="G136" s="53" t="str">
        <f aca="false">IF(OR(A136="",NOT(ISNUMBER(C136))),"",IF(COUNTIFS($A$2:$A$301,A136,$C$2:$C$301,C136)&gt;1,"⚠ Folga duplicada",IF(COUNTIFS($B$2:$B$301,B136,$C$2:$C$301,C136)&gt;1,"⚠ "&amp;COUNTIFS($B$2:$B$301,B136,$C$2:$C$301,C136)&amp;" pessoas do setor de folga no dia","")))</f>
        <v/>
      </c>
      <c r="J136" s="0" t="str">
        <f aca="true">IF(AND(ISNUMBER(C136),C136=TODAY()),C136+ROW()/100000,"")</f>
        <v/>
      </c>
      <c r="K136" s="0" t="str">
        <f aca="true">IF(AND(ISNUMBER(C136),C136&gt;TODAY(),C136&lt;=TODAY()+7),C136+ROW()/100000,"")</f>
        <v/>
      </c>
      <c r="L136" s="0" t="str">
        <f aca="false">IF(AND(ISNUMBER(C136),C136=CALENDÁRIO!$L$4),ROW(),"")</f>
        <v/>
      </c>
    </row>
    <row r="137" customFormat="false" ht="15" hidden="false" customHeight="true" outlineLevel="0" collapsed="false">
      <c r="A137" s="52"/>
      <c r="B137" s="52"/>
      <c r="C137" s="51"/>
      <c r="D137" s="52"/>
      <c r="E137" s="53" t="str">
        <f aca="false">IF(ISNUMBER(C137),CHOOSE(WEEKDAY(C137),"Domingo","Segunda","Terça","Quarta","Quinta","Sexta","Sábado"),"")</f>
        <v/>
      </c>
      <c r="F137" s="53" t="str">
        <f aca="true">IF(NOT(ISNUMBER(C137)),"",IF(C137=TODAY(),"HOJE",IF(C137=TODAY()+1,"AMANHÃ",IF(C137&lt;TODAY(),"Realizada",IF(C137-TODAY()&lt;=7,"Em "&amp;(C137-TODAY())&amp;" dias","Agendada")))))</f>
        <v/>
      </c>
      <c r="G137" s="53" t="str">
        <f aca="false">IF(OR(A137="",NOT(ISNUMBER(C137))),"",IF(COUNTIFS($A$2:$A$301,A137,$C$2:$C$301,C137)&gt;1,"⚠ Folga duplicada",IF(COUNTIFS($B$2:$B$301,B137,$C$2:$C$301,C137)&gt;1,"⚠ "&amp;COUNTIFS($B$2:$B$301,B137,$C$2:$C$301,C137)&amp;" pessoas do setor de folga no dia","")))</f>
        <v/>
      </c>
      <c r="J137" s="0" t="str">
        <f aca="true">IF(AND(ISNUMBER(C137),C137=TODAY()),C137+ROW()/100000,"")</f>
        <v/>
      </c>
      <c r="K137" s="0" t="str">
        <f aca="true">IF(AND(ISNUMBER(C137),C137&gt;TODAY(),C137&lt;=TODAY()+7),C137+ROW()/100000,"")</f>
        <v/>
      </c>
      <c r="L137" s="0" t="str">
        <f aca="false">IF(AND(ISNUMBER(C137),C137=CALENDÁRIO!$L$4),ROW(),"")</f>
        <v/>
      </c>
    </row>
    <row r="138" customFormat="false" ht="15" hidden="false" customHeight="true" outlineLevel="0" collapsed="false">
      <c r="A138" s="52"/>
      <c r="B138" s="52"/>
      <c r="C138" s="51"/>
      <c r="D138" s="52"/>
      <c r="E138" s="53" t="str">
        <f aca="false">IF(ISNUMBER(C138),CHOOSE(WEEKDAY(C138),"Domingo","Segunda","Terça","Quarta","Quinta","Sexta","Sábado"),"")</f>
        <v/>
      </c>
      <c r="F138" s="53" t="str">
        <f aca="true">IF(NOT(ISNUMBER(C138)),"",IF(C138=TODAY(),"HOJE",IF(C138=TODAY()+1,"AMANHÃ",IF(C138&lt;TODAY(),"Realizada",IF(C138-TODAY()&lt;=7,"Em "&amp;(C138-TODAY())&amp;" dias","Agendada")))))</f>
        <v/>
      </c>
      <c r="G138" s="53" t="str">
        <f aca="false">IF(OR(A138="",NOT(ISNUMBER(C138))),"",IF(COUNTIFS($A$2:$A$301,A138,$C$2:$C$301,C138)&gt;1,"⚠ Folga duplicada",IF(COUNTIFS($B$2:$B$301,B138,$C$2:$C$301,C138)&gt;1,"⚠ "&amp;COUNTIFS($B$2:$B$301,B138,$C$2:$C$301,C138)&amp;" pessoas do setor de folga no dia","")))</f>
        <v/>
      </c>
      <c r="J138" s="0" t="str">
        <f aca="true">IF(AND(ISNUMBER(C138),C138=TODAY()),C138+ROW()/100000,"")</f>
        <v/>
      </c>
      <c r="K138" s="0" t="str">
        <f aca="true">IF(AND(ISNUMBER(C138),C138&gt;TODAY(),C138&lt;=TODAY()+7),C138+ROW()/100000,"")</f>
        <v/>
      </c>
      <c r="L138" s="0" t="str">
        <f aca="false">IF(AND(ISNUMBER(C138),C138=CALENDÁRIO!$L$4),ROW(),"")</f>
        <v/>
      </c>
    </row>
    <row r="139" customFormat="false" ht="15" hidden="false" customHeight="true" outlineLevel="0" collapsed="false">
      <c r="A139" s="52"/>
      <c r="B139" s="52"/>
      <c r="C139" s="51"/>
      <c r="D139" s="52"/>
      <c r="E139" s="53" t="str">
        <f aca="false">IF(ISNUMBER(C139),CHOOSE(WEEKDAY(C139),"Domingo","Segunda","Terça","Quarta","Quinta","Sexta","Sábado"),"")</f>
        <v/>
      </c>
      <c r="F139" s="53" t="str">
        <f aca="true">IF(NOT(ISNUMBER(C139)),"",IF(C139=TODAY(),"HOJE",IF(C139=TODAY()+1,"AMANHÃ",IF(C139&lt;TODAY(),"Realizada",IF(C139-TODAY()&lt;=7,"Em "&amp;(C139-TODAY())&amp;" dias","Agendada")))))</f>
        <v/>
      </c>
      <c r="G139" s="53" t="str">
        <f aca="false">IF(OR(A139="",NOT(ISNUMBER(C139))),"",IF(COUNTIFS($A$2:$A$301,A139,$C$2:$C$301,C139)&gt;1,"⚠ Folga duplicada",IF(COUNTIFS($B$2:$B$301,B139,$C$2:$C$301,C139)&gt;1,"⚠ "&amp;COUNTIFS($B$2:$B$301,B139,$C$2:$C$301,C139)&amp;" pessoas do setor de folga no dia","")))</f>
        <v/>
      </c>
      <c r="J139" s="0" t="str">
        <f aca="true">IF(AND(ISNUMBER(C139),C139=TODAY()),C139+ROW()/100000,"")</f>
        <v/>
      </c>
      <c r="K139" s="0" t="str">
        <f aca="true">IF(AND(ISNUMBER(C139),C139&gt;TODAY(),C139&lt;=TODAY()+7),C139+ROW()/100000,"")</f>
        <v/>
      </c>
      <c r="L139" s="0" t="str">
        <f aca="false">IF(AND(ISNUMBER(C139),C139=CALENDÁRIO!$L$4),ROW(),"")</f>
        <v/>
      </c>
    </row>
    <row r="140" customFormat="false" ht="15" hidden="false" customHeight="true" outlineLevel="0" collapsed="false">
      <c r="A140" s="52"/>
      <c r="B140" s="52"/>
      <c r="C140" s="51"/>
      <c r="D140" s="52"/>
      <c r="E140" s="53" t="str">
        <f aca="false">IF(ISNUMBER(C140),CHOOSE(WEEKDAY(C140),"Domingo","Segunda","Terça","Quarta","Quinta","Sexta","Sábado"),"")</f>
        <v/>
      </c>
      <c r="F140" s="53" t="str">
        <f aca="true">IF(NOT(ISNUMBER(C140)),"",IF(C140=TODAY(),"HOJE",IF(C140=TODAY()+1,"AMANHÃ",IF(C140&lt;TODAY(),"Realizada",IF(C140-TODAY()&lt;=7,"Em "&amp;(C140-TODAY())&amp;" dias","Agendada")))))</f>
        <v/>
      </c>
      <c r="G140" s="53" t="str">
        <f aca="false">IF(OR(A140="",NOT(ISNUMBER(C140))),"",IF(COUNTIFS($A$2:$A$301,A140,$C$2:$C$301,C140)&gt;1,"⚠ Folga duplicada",IF(COUNTIFS($B$2:$B$301,B140,$C$2:$C$301,C140)&gt;1,"⚠ "&amp;COUNTIFS($B$2:$B$301,B140,$C$2:$C$301,C140)&amp;" pessoas do setor de folga no dia","")))</f>
        <v/>
      </c>
      <c r="J140" s="0" t="str">
        <f aca="true">IF(AND(ISNUMBER(C140),C140=TODAY()),C140+ROW()/100000,"")</f>
        <v/>
      </c>
      <c r="K140" s="0" t="str">
        <f aca="true">IF(AND(ISNUMBER(C140),C140&gt;TODAY(),C140&lt;=TODAY()+7),C140+ROW()/100000,"")</f>
        <v/>
      </c>
      <c r="L140" s="0" t="str">
        <f aca="false">IF(AND(ISNUMBER(C140),C140=CALENDÁRIO!$L$4),ROW(),"")</f>
        <v/>
      </c>
    </row>
    <row r="141" customFormat="false" ht="15" hidden="false" customHeight="true" outlineLevel="0" collapsed="false">
      <c r="A141" s="52"/>
      <c r="B141" s="52"/>
      <c r="C141" s="51"/>
      <c r="D141" s="52"/>
      <c r="E141" s="53" t="str">
        <f aca="false">IF(ISNUMBER(C141),CHOOSE(WEEKDAY(C141),"Domingo","Segunda","Terça","Quarta","Quinta","Sexta","Sábado"),"")</f>
        <v/>
      </c>
      <c r="F141" s="53" t="str">
        <f aca="true">IF(NOT(ISNUMBER(C141)),"",IF(C141=TODAY(),"HOJE",IF(C141=TODAY()+1,"AMANHÃ",IF(C141&lt;TODAY(),"Realizada",IF(C141-TODAY()&lt;=7,"Em "&amp;(C141-TODAY())&amp;" dias","Agendada")))))</f>
        <v/>
      </c>
      <c r="G141" s="53" t="str">
        <f aca="false">IF(OR(A141="",NOT(ISNUMBER(C141))),"",IF(COUNTIFS($A$2:$A$301,A141,$C$2:$C$301,C141)&gt;1,"⚠ Folga duplicada",IF(COUNTIFS($B$2:$B$301,B141,$C$2:$C$301,C141)&gt;1,"⚠ "&amp;COUNTIFS($B$2:$B$301,B141,$C$2:$C$301,C141)&amp;" pessoas do setor de folga no dia","")))</f>
        <v/>
      </c>
      <c r="J141" s="0" t="str">
        <f aca="true">IF(AND(ISNUMBER(C141),C141=TODAY()),C141+ROW()/100000,"")</f>
        <v/>
      </c>
      <c r="K141" s="0" t="str">
        <f aca="true">IF(AND(ISNUMBER(C141),C141&gt;TODAY(),C141&lt;=TODAY()+7),C141+ROW()/100000,"")</f>
        <v/>
      </c>
      <c r="L141" s="0" t="str">
        <f aca="false">IF(AND(ISNUMBER(C141),C141=CALENDÁRIO!$L$4),ROW(),"")</f>
        <v/>
      </c>
    </row>
    <row r="142" customFormat="false" ht="15" hidden="false" customHeight="true" outlineLevel="0" collapsed="false">
      <c r="A142" s="52"/>
      <c r="B142" s="52"/>
      <c r="C142" s="51"/>
      <c r="D142" s="52"/>
      <c r="E142" s="53" t="str">
        <f aca="false">IF(ISNUMBER(C142),CHOOSE(WEEKDAY(C142),"Domingo","Segunda","Terça","Quarta","Quinta","Sexta","Sábado"),"")</f>
        <v/>
      </c>
      <c r="F142" s="53" t="str">
        <f aca="true">IF(NOT(ISNUMBER(C142)),"",IF(C142=TODAY(),"HOJE",IF(C142=TODAY()+1,"AMANHÃ",IF(C142&lt;TODAY(),"Realizada",IF(C142-TODAY()&lt;=7,"Em "&amp;(C142-TODAY())&amp;" dias","Agendada")))))</f>
        <v/>
      </c>
      <c r="G142" s="53" t="str">
        <f aca="false">IF(OR(A142="",NOT(ISNUMBER(C142))),"",IF(COUNTIFS($A$2:$A$301,A142,$C$2:$C$301,C142)&gt;1,"⚠ Folga duplicada",IF(COUNTIFS($B$2:$B$301,B142,$C$2:$C$301,C142)&gt;1,"⚠ "&amp;COUNTIFS($B$2:$B$301,B142,$C$2:$C$301,C142)&amp;" pessoas do setor de folga no dia","")))</f>
        <v/>
      </c>
      <c r="J142" s="0" t="str">
        <f aca="true">IF(AND(ISNUMBER(C142),C142=TODAY()),C142+ROW()/100000,"")</f>
        <v/>
      </c>
      <c r="K142" s="0" t="str">
        <f aca="true">IF(AND(ISNUMBER(C142),C142&gt;TODAY(),C142&lt;=TODAY()+7),C142+ROW()/100000,"")</f>
        <v/>
      </c>
      <c r="L142" s="0" t="str">
        <f aca="false">IF(AND(ISNUMBER(C142),C142=CALENDÁRIO!$L$4),ROW(),"")</f>
        <v/>
      </c>
    </row>
    <row r="143" customFormat="false" ht="15" hidden="false" customHeight="true" outlineLevel="0" collapsed="false">
      <c r="A143" s="52"/>
      <c r="B143" s="52"/>
      <c r="C143" s="51"/>
      <c r="D143" s="52"/>
      <c r="E143" s="53" t="str">
        <f aca="false">IF(ISNUMBER(C143),CHOOSE(WEEKDAY(C143),"Domingo","Segunda","Terça","Quarta","Quinta","Sexta","Sábado"),"")</f>
        <v/>
      </c>
      <c r="F143" s="53" t="str">
        <f aca="true">IF(NOT(ISNUMBER(C143)),"",IF(C143=TODAY(),"HOJE",IF(C143=TODAY()+1,"AMANHÃ",IF(C143&lt;TODAY(),"Realizada",IF(C143-TODAY()&lt;=7,"Em "&amp;(C143-TODAY())&amp;" dias","Agendada")))))</f>
        <v/>
      </c>
      <c r="G143" s="53" t="str">
        <f aca="false">IF(OR(A143="",NOT(ISNUMBER(C143))),"",IF(COUNTIFS($A$2:$A$301,A143,$C$2:$C$301,C143)&gt;1,"⚠ Folga duplicada",IF(COUNTIFS($B$2:$B$301,B143,$C$2:$C$301,C143)&gt;1,"⚠ "&amp;COUNTIFS($B$2:$B$301,B143,$C$2:$C$301,C143)&amp;" pessoas do setor de folga no dia","")))</f>
        <v/>
      </c>
      <c r="J143" s="0" t="str">
        <f aca="true">IF(AND(ISNUMBER(C143),C143=TODAY()),C143+ROW()/100000,"")</f>
        <v/>
      </c>
      <c r="K143" s="0" t="str">
        <f aca="true">IF(AND(ISNUMBER(C143),C143&gt;TODAY(),C143&lt;=TODAY()+7),C143+ROW()/100000,"")</f>
        <v/>
      </c>
      <c r="L143" s="0" t="str">
        <f aca="false">IF(AND(ISNUMBER(C143),C143=CALENDÁRIO!$L$4),ROW(),"")</f>
        <v/>
      </c>
    </row>
    <row r="144" customFormat="false" ht="15" hidden="false" customHeight="true" outlineLevel="0" collapsed="false">
      <c r="A144" s="52"/>
      <c r="B144" s="52"/>
      <c r="C144" s="51"/>
      <c r="D144" s="52"/>
      <c r="E144" s="53" t="str">
        <f aca="false">IF(ISNUMBER(C144),CHOOSE(WEEKDAY(C144),"Domingo","Segunda","Terça","Quarta","Quinta","Sexta","Sábado"),"")</f>
        <v/>
      </c>
      <c r="F144" s="53" t="str">
        <f aca="true">IF(NOT(ISNUMBER(C144)),"",IF(C144=TODAY(),"HOJE",IF(C144=TODAY()+1,"AMANHÃ",IF(C144&lt;TODAY(),"Realizada",IF(C144-TODAY()&lt;=7,"Em "&amp;(C144-TODAY())&amp;" dias","Agendada")))))</f>
        <v/>
      </c>
      <c r="G144" s="53" t="str">
        <f aca="false">IF(OR(A144="",NOT(ISNUMBER(C144))),"",IF(COUNTIFS($A$2:$A$301,A144,$C$2:$C$301,C144)&gt;1,"⚠ Folga duplicada",IF(COUNTIFS($B$2:$B$301,B144,$C$2:$C$301,C144)&gt;1,"⚠ "&amp;COUNTIFS($B$2:$B$301,B144,$C$2:$C$301,C144)&amp;" pessoas do setor de folga no dia","")))</f>
        <v/>
      </c>
      <c r="J144" s="0" t="str">
        <f aca="true">IF(AND(ISNUMBER(C144),C144=TODAY()),C144+ROW()/100000,"")</f>
        <v/>
      </c>
      <c r="K144" s="0" t="str">
        <f aca="true">IF(AND(ISNUMBER(C144),C144&gt;TODAY(),C144&lt;=TODAY()+7),C144+ROW()/100000,"")</f>
        <v/>
      </c>
      <c r="L144" s="0" t="str">
        <f aca="false">IF(AND(ISNUMBER(C144),C144=CALENDÁRIO!$L$4),ROW(),"")</f>
        <v/>
      </c>
    </row>
    <row r="145" customFormat="false" ht="15" hidden="false" customHeight="true" outlineLevel="0" collapsed="false">
      <c r="A145" s="52"/>
      <c r="B145" s="52"/>
      <c r="C145" s="51"/>
      <c r="D145" s="52"/>
      <c r="E145" s="53" t="str">
        <f aca="false">IF(ISNUMBER(C145),CHOOSE(WEEKDAY(C145),"Domingo","Segunda","Terça","Quarta","Quinta","Sexta","Sábado"),"")</f>
        <v/>
      </c>
      <c r="F145" s="53" t="str">
        <f aca="true">IF(NOT(ISNUMBER(C145)),"",IF(C145=TODAY(),"HOJE",IF(C145=TODAY()+1,"AMANHÃ",IF(C145&lt;TODAY(),"Realizada",IF(C145-TODAY()&lt;=7,"Em "&amp;(C145-TODAY())&amp;" dias","Agendada")))))</f>
        <v/>
      </c>
      <c r="G145" s="53" t="str">
        <f aca="false">IF(OR(A145="",NOT(ISNUMBER(C145))),"",IF(COUNTIFS($A$2:$A$301,A145,$C$2:$C$301,C145)&gt;1,"⚠ Folga duplicada",IF(COUNTIFS($B$2:$B$301,B145,$C$2:$C$301,C145)&gt;1,"⚠ "&amp;COUNTIFS($B$2:$B$301,B145,$C$2:$C$301,C145)&amp;" pessoas do setor de folga no dia","")))</f>
        <v/>
      </c>
      <c r="J145" s="0" t="str">
        <f aca="true">IF(AND(ISNUMBER(C145),C145=TODAY()),C145+ROW()/100000,"")</f>
        <v/>
      </c>
      <c r="K145" s="0" t="str">
        <f aca="true">IF(AND(ISNUMBER(C145),C145&gt;TODAY(),C145&lt;=TODAY()+7),C145+ROW()/100000,"")</f>
        <v/>
      </c>
      <c r="L145" s="0" t="str">
        <f aca="false">IF(AND(ISNUMBER(C145),C145=CALENDÁRIO!$L$4),ROW(),"")</f>
        <v/>
      </c>
    </row>
    <row r="146" customFormat="false" ht="15" hidden="false" customHeight="true" outlineLevel="0" collapsed="false">
      <c r="A146" s="52"/>
      <c r="B146" s="52"/>
      <c r="C146" s="51"/>
      <c r="D146" s="52"/>
      <c r="E146" s="53" t="str">
        <f aca="false">IF(ISNUMBER(C146),CHOOSE(WEEKDAY(C146),"Domingo","Segunda","Terça","Quarta","Quinta","Sexta","Sábado"),"")</f>
        <v/>
      </c>
      <c r="F146" s="53" t="str">
        <f aca="true">IF(NOT(ISNUMBER(C146)),"",IF(C146=TODAY(),"HOJE",IF(C146=TODAY()+1,"AMANHÃ",IF(C146&lt;TODAY(),"Realizada",IF(C146-TODAY()&lt;=7,"Em "&amp;(C146-TODAY())&amp;" dias","Agendada")))))</f>
        <v/>
      </c>
      <c r="G146" s="53" t="str">
        <f aca="false">IF(OR(A146="",NOT(ISNUMBER(C146))),"",IF(COUNTIFS($A$2:$A$301,A146,$C$2:$C$301,C146)&gt;1,"⚠ Folga duplicada",IF(COUNTIFS($B$2:$B$301,B146,$C$2:$C$301,C146)&gt;1,"⚠ "&amp;COUNTIFS($B$2:$B$301,B146,$C$2:$C$301,C146)&amp;" pessoas do setor de folga no dia","")))</f>
        <v/>
      </c>
      <c r="J146" s="0" t="str">
        <f aca="true">IF(AND(ISNUMBER(C146),C146=TODAY()),C146+ROW()/100000,"")</f>
        <v/>
      </c>
      <c r="K146" s="0" t="str">
        <f aca="true">IF(AND(ISNUMBER(C146),C146&gt;TODAY(),C146&lt;=TODAY()+7),C146+ROW()/100000,"")</f>
        <v/>
      </c>
      <c r="L146" s="0" t="str">
        <f aca="false">IF(AND(ISNUMBER(C146),C146=CALENDÁRIO!$L$4),ROW(),"")</f>
        <v/>
      </c>
    </row>
    <row r="147" customFormat="false" ht="15" hidden="false" customHeight="true" outlineLevel="0" collapsed="false">
      <c r="A147" s="52"/>
      <c r="B147" s="52"/>
      <c r="C147" s="51"/>
      <c r="D147" s="52"/>
      <c r="E147" s="53" t="str">
        <f aca="false">IF(ISNUMBER(C147),CHOOSE(WEEKDAY(C147),"Domingo","Segunda","Terça","Quarta","Quinta","Sexta","Sábado"),"")</f>
        <v/>
      </c>
      <c r="F147" s="53" t="str">
        <f aca="true">IF(NOT(ISNUMBER(C147)),"",IF(C147=TODAY(),"HOJE",IF(C147=TODAY()+1,"AMANHÃ",IF(C147&lt;TODAY(),"Realizada",IF(C147-TODAY()&lt;=7,"Em "&amp;(C147-TODAY())&amp;" dias","Agendada")))))</f>
        <v/>
      </c>
      <c r="G147" s="53" t="str">
        <f aca="false">IF(OR(A147="",NOT(ISNUMBER(C147))),"",IF(COUNTIFS($A$2:$A$301,A147,$C$2:$C$301,C147)&gt;1,"⚠ Folga duplicada",IF(COUNTIFS($B$2:$B$301,B147,$C$2:$C$301,C147)&gt;1,"⚠ "&amp;COUNTIFS($B$2:$B$301,B147,$C$2:$C$301,C147)&amp;" pessoas do setor de folga no dia","")))</f>
        <v/>
      </c>
      <c r="J147" s="0" t="str">
        <f aca="true">IF(AND(ISNUMBER(C147),C147=TODAY()),C147+ROW()/100000,"")</f>
        <v/>
      </c>
      <c r="K147" s="0" t="str">
        <f aca="true">IF(AND(ISNUMBER(C147),C147&gt;TODAY(),C147&lt;=TODAY()+7),C147+ROW()/100000,"")</f>
        <v/>
      </c>
      <c r="L147" s="0" t="str">
        <f aca="false">IF(AND(ISNUMBER(C147),C147=CALENDÁRIO!$L$4),ROW(),"")</f>
        <v/>
      </c>
    </row>
    <row r="148" customFormat="false" ht="15" hidden="false" customHeight="true" outlineLevel="0" collapsed="false">
      <c r="A148" s="52"/>
      <c r="B148" s="52"/>
      <c r="C148" s="51"/>
      <c r="D148" s="52"/>
      <c r="E148" s="53" t="str">
        <f aca="false">IF(ISNUMBER(C148),CHOOSE(WEEKDAY(C148),"Domingo","Segunda","Terça","Quarta","Quinta","Sexta","Sábado"),"")</f>
        <v/>
      </c>
      <c r="F148" s="53" t="str">
        <f aca="true">IF(NOT(ISNUMBER(C148)),"",IF(C148=TODAY(),"HOJE",IF(C148=TODAY()+1,"AMANHÃ",IF(C148&lt;TODAY(),"Realizada",IF(C148-TODAY()&lt;=7,"Em "&amp;(C148-TODAY())&amp;" dias","Agendada")))))</f>
        <v/>
      </c>
      <c r="G148" s="53" t="str">
        <f aca="false">IF(OR(A148="",NOT(ISNUMBER(C148))),"",IF(COUNTIFS($A$2:$A$301,A148,$C$2:$C$301,C148)&gt;1,"⚠ Folga duplicada",IF(COUNTIFS($B$2:$B$301,B148,$C$2:$C$301,C148)&gt;1,"⚠ "&amp;COUNTIFS($B$2:$B$301,B148,$C$2:$C$301,C148)&amp;" pessoas do setor de folga no dia","")))</f>
        <v/>
      </c>
      <c r="J148" s="0" t="str">
        <f aca="true">IF(AND(ISNUMBER(C148),C148=TODAY()),C148+ROW()/100000,"")</f>
        <v/>
      </c>
      <c r="K148" s="0" t="str">
        <f aca="true">IF(AND(ISNUMBER(C148),C148&gt;TODAY(),C148&lt;=TODAY()+7),C148+ROW()/100000,"")</f>
        <v/>
      </c>
      <c r="L148" s="0" t="str">
        <f aca="false">IF(AND(ISNUMBER(C148),C148=CALENDÁRIO!$L$4),ROW(),"")</f>
        <v/>
      </c>
    </row>
    <row r="149" customFormat="false" ht="15" hidden="false" customHeight="true" outlineLevel="0" collapsed="false">
      <c r="A149" s="52"/>
      <c r="B149" s="52"/>
      <c r="C149" s="51"/>
      <c r="D149" s="52"/>
      <c r="E149" s="53" t="str">
        <f aca="false">IF(ISNUMBER(C149),CHOOSE(WEEKDAY(C149),"Domingo","Segunda","Terça","Quarta","Quinta","Sexta","Sábado"),"")</f>
        <v/>
      </c>
      <c r="F149" s="53" t="str">
        <f aca="true">IF(NOT(ISNUMBER(C149)),"",IF(C149=TODAY(),"HOJE",IF(C149=TODAY()+1,"AMANHÃ",IF(C149&lt;TODAY(),"Realizada",IF(C149-TODAY()&lt;=7,"Em "&amp;(C149-TODAY())&amp;" dias","Agendada")))))</f>
        <v/>
      </c>
      <c r="G149" s="53" t="str">
        <f aca="false">IF(OR(A149="",NOT(ISNUMBER(C149))),"",IF(COUNTIFS($A$2:$A$301,A149,$C$2:$C$301,C149)&gt;1,"⚠ Folga duplicada",IF(COUNTIFS($B$2:$B$301,B149,$C$2:$C$301,C149)&gt;1,"⚠ "&amp;COUNTIFS($B$2:$B$301,B149,$C$2:$C$301,C149)&amp;" pessoas do setor de folga no dia","")))</f>
        <v/>
      </c>
      <c r="J149" s="0" t="str">
        <f aca="true">IF(AND(ISNUMBER(C149),C149=TODAY()),C149+ROW()/100000,"")</f>
        <v/>
      </c>
      <c r="K149" s="0" t="str">
        <f aca="true">IF(AND(ISNUMBER(C149),C149&gt;TODAY(),C149&lt;=TODAY()+7),C149+ROW()/100000,"")</f>
        <v/>
      </c>
      <c r="L149" s="0" t="str">
        <f aca="false">IF(AND(ISNUMBER(C149),C149=CALENDÁRIO!$L$4),ROW(),"")</f>
        <v/>
      </c>
    </row>
    <row r="150" customFormat="false" ht="15" hidden="false" customHeight="true" outlineLevel="0" collapsed="false">
      <c r="A150" s="52"/>
      <c r="B150" s="52"/>
      <c r="C150" s="51"/>
      <c r="D150" s="52"/>
      <c r="E150" s="53" t="str">
        <f aca="false">IF(ISNUMBER(C150),CHOOSE(WEEKDAY(C150),"Domingo","Segunda","Terça","Quarta","Quinta","Sexta","Sábado"),"")</f>
        <v/>
      </c>
      <c r="F150" s="53" t="str">
        <f aca="true">IF(NOT(ISNUMBER(C150)),"",IF(C150=TODAY(),"HOJE",IF(C150=TODAY()+1,"AMANHÃ",IF(C150&lt;TODAY(),"Realizada",IF(C150-TODAY()&lt;=7,"Em "&amp;(C150-TODAY())&amp;" dias","Agendada")))))</f>
        <v/>
      </c>
      <c r="G150" s="53" t="str">
        <f aca="false">IF(OR(A150="",NOT(ISNUMBER(C150))),"",IF(COUNTIFS($A$2:$A$301,A150,$C$2:$C$301,C150)&gt;1,"⚠ Folga duplicada",IF(COUNTIFS($B$2:$B$301,B150,$C$2:$C$301,C150)&gt;1,"⚠ "&amp;COUNTIFS($B$2:$B$301,B150,$C$2:$C$301,C150)&amp;" pessoas do setor de folga no dia","")))</f>
        <v/>
      </c>
      <c r="J150" s="0" t="str">
        <f aca="true">IF(AND(ISNUMBER(C150),C150=TODAY()),C150+ROW()/100000,"")</f>
        <v/>
      </c>
      <c r="K150" s="0" t="str">
        <f aca="true">IF(AND(ISNUMBER(C150),C150&gt;TODAY(),C150&lt;=TODAY()+7),C150+ROW()/100000,"")</f>
        <v/>
      </c>
      <c r="L150" s="0" t="str">
        <f aca="false">IF(AND(ISNUMBER(C150),C150=CALENDÁRIO!$L$4),ROW(),"")</f>
        <v/>
      </c>
    </row>
    <row r="151" customFormat="false" ht="15" hidden="false" customHeight="true" outlineLevel="0" collapsed="false">
      <c r="A151" s="52"/>
      <c r="B151" s="52"/>
      <c r="C151" s="51"/>
      <c r="D151" s="52"/>
      <c r="E151" s="53" t="str">
        <f aca="false">IF(ISNUMBER(C151),CHOOSE(WEEKDAY(C151),"Domingo","Segunda","Terça","Quarta","Quinta","Sexta","Sábado"),"")</f>
        <v/>
      </c>
      <c r="F151" s="53" t="str">
        <f aca="true">IF(NOT(ISNUMBER(C151)),"",IF(C151=TODAY(),"HOJE",IF(C151=TODAY()+1,"AMANHÃ",IF(C151&lt;TODAY(),"Realizada",IF(C151-TODAY()&lt;=7,"Em "&amp;(C151-TODAY())&amp;" dias","Agendada")))))</f>
        <v/>
      </c>
      <c r="G151" s="53" t="str">
        <f aca="false">IF(OR(A151="",NOT(ISNUMBER(C151))),"",IF(COUNTIFS($A$2:$A$301,A151,$C$2:$C$301,C151)&gt;1,"⚠ Folga duplicada",IF(COUNTIFS($B$2:$B$301,B151,$C$2:$C$301,C151)&gt;1,"⚠ "&amp;COUNTIFS($B$2:$B$301,B151,$C$2:$C$301,C151)&amp;" pessoas do setor de folga no dia","")))</f>
        <v/>
      </c>
      <c r="J151" s="0" t="str">
        <f aca="true">IF(AND(ISNUMBER(C151),C151=TODAY()),C151+ROW()/100000,"")</f>
        <v/>
      </c>
      <c r="K151" s="0" t="str">
        <f aca="true">IF(AND(ISNUMBER(C151),C151&gt;TODAY(),C151&lt;=TODAY()+7),C151+ROW()/100000,"")</f>
        <v/>
      </c>
      <c r="L151" s="0" t="str">
        <f aca="false">IF(AND(ISNUMBER(C151),C151=CALENDÁRIO!$L$4),ROW(),"")</f>
        <v/>
      </c>
    </row>
    <row r="152" customFormat="false" ht="15" hidden="false" customHeight="true" outlineLevel="0" collapsed="false">
      <c r="A152" s="52"/>
      <c r="B152" s="52"/>
      <c r="C152" s="51"/>
      <c r="D152" s="52"/>
      <c r="E152" s="53" t="str">
        <f aca="false">IF(ISNUMBER(C152),CHOOSE(WEEKDAY(C152),"Domingo","Segunda","Terça","Quarta","Quinta","Sexta","Sábado"),"")</f>
        <v/>
      </c>
      <c r="F152" s="53" t="str">
        <f aca="true">IF(NOT(ISNUMBER(C152)),"",IF(C152=TODAY(),"HOJE",IF(C152=TODAY()+1,"AMANHÃ",IF(C152&lt;TODAY(),"Realizada",IF(C152-TODAY()&lt;=7,"Em "&amp;(C152-TODAY())&amp;" dias","Agendada")))))</f>
        <v/>
      </c>
      <c r="G152" s="53" t="str">
        <f aca="false">IF(OR(A152="",NOT(ISNUMBER(C152))),"",IF(COUNTIFS($A$2:$A$301,A152,$C$2:$C$301,C152)&gt;1,"⚠ Folga duplicada",IF(COUNTIFS($B$2:$B$301,B152,$C$2:$C$301,C152)&gt;1,"⚠ "&amp;COUNTIFS($B$2:$B$301,B152,$C$2:$C$301,C152)&amp;" pessoas do setor de folga no dia","")))</f>
        <v/>
      </c>
      <c r="J152" s="0" t="str">
        <f aca="true">IF(AND(ISNUMBER(C152),C152=TODAY()),C152+ROW()/100000,"")</f>
        <v/>
      </c>
      <c r="K152" s="0" t="str">
        <f aca="true">IF(AND(ISNUMBER(C152),C152&gt;TODAY(),C152&lt;=TODAY()+7),C152+ROW()/100000,"")</f>
        <v/>
      </c>
      <c r="L152" s="0" t="str">
        <f aca="false">IF(AND(ISNUMBER(C152),C152=CALENDÁRIO!$L$4),ROW(),"")</f>
        <v/>
      </c>
    </row>
    <row r="153" customFormat="false" ht="15" hidden="false" customHeight="true" outlineLevel="0" collapsed="false">
      <c r="A153" s="52"/>
      <c r="B153" s="52"/>
      <c r="C153" s="51"/>
      <c r="D153" s="52"/>
      <c r="E153" s="53" t="str">
        <f aca="false">IF(ISNUMBER(C153),CHOOSE(WEEKDAY(C153),"Domingo","Segunda","Terça","Quarta","Quinta","Sexta","Sábado"),"")</f>
        <v/>
      </c>
      <c r="F153" s="53" t="str">
        <f aca="true">IF(NOT(ISNUMBER(C153)),"",IF(C153=TODAY(),"HOJE",IF(C153=TODAY()+1,"AMANHÃ",IF(C153&lt;TODAY(),"Realizada",IF(C153-TODAY()&lt;=7,"Em "&amp;(C153-TODAY())&amp;" dias","Agendada")))))</f>
        <v/>
      </c>
      <c r="G153" s="53" t="str">
        <f aca="false">IF(OR(A153="",NOT(ISNUMBER(C153))),"",IF(COUNTIFS($A$2:$A$301,A153,$C$2:$C$301,C153)&gt;1,"⚠ Folga duplicada",IF(COUNTIFS($B$2:$B$301,B153,$C$2:$C$301,C153)&gt;1,"⚠ "&amp;COUNTIFS($B$2:$B$301,B153,$C$2:$C$301,C153)&amp;" pessoas do setor de folga no dia","")))</f>
        <v/>
      </c>
      <c r="J153" s="0" t="str">
        <f aca="true">IF(AND(ISNUMBER(C153),C153=TODAY()),C153+ROW()/100000,"")</f>
        <v/>
      </c>
      <c r="K153" s="0" t="str">
        <f aca="true">IF(AND(ISNUMBER(C153),C153&gt;TODAY(),C153&lt;=TODAY()+7),C153+ROW()/100000,"")</f>
        <v/>
      </c>
      <c r="L153" s="0" t="str">
        <f aca="false">IF(AND(ISNUMBER(C153),C153=CALENDÁRIO!$L$4),ROW(),"")</f>
        <v/>
      </c>
    </row>
    <row r="154" customFormat="false" ht="15" hidden="false" customHeight="true" outlineLevel="0" collapsed="false">
      <c r="A154" s="52"/>
      <c r="B154" s="52"/>
      <c r="C154" s="51"/>
      <c r="D154" s="52"/>
      <c r="E154" s="53" t="str">
        <f aca="false">IF(ISNUMBER(C154),CHOOSE(WEEKDAY(C154),"Domingo","Segunda","Terça","Quarta","Quinta","Sexta","Sábado"),"")</f>
        <v/>
      </c>
      <c r="F154" s="53" t="str">
        <f aca="true">IF(NOT(ISNUMBER(C154)),"",IF(C154=TODAY(),"HOJE",IF(C154=TODAY()+1,"AMANHÃ",IF(C154&lt;TODAY(),"Realizada",IF(C154-TODAY()&lt;=7,"Em "&amp;(C154-TODAY())&amp;" dias","Agendada")))))</f>
        <v/>
      </c>
      <c r="G154" s="53" t="str">
        <f aca="false">IF(OR(A154="",NOT(ISNUMBER(C154))),"",IF(COUNTIFS($A$2:$A$301,A154,$C$2:$C$301,C154)&gt;1,"⚠ Folga duplicada",IF(COUNTIFS($B$2:$B$301,B154,$C$2:$C$301,C154)&gt;1,"⚠ "&amp;COUNTIFS($B$2:$B$301,B154,$C$2:$C$301,C154)&amp;" pessoas do setor de folga no dia","")))</f>
        <v/>
      </c>
      <c r="J154" s="0" t="str">
        <f aca="true">IF(AND(ISNUMBER(C154),C154=TODAY()),C154+ROW()/100000,"")</f>
        <v/>
      </c>
      <c r="K154" s="0" t="str">
        <f aca="true">IF(AND(ISNUMBER(C154),C154&gt;TODAY(),C154&lt;=TODAY()+7),C154+ROW()/100000,"")</f>
        <v/>
      </c>
      <c r="L154" s="0" t="str">
        <f aca="false">IF(AND(ISNUMBER(C154),C154=CALENDÁRIO!$L$4),ROW(),"")</f>
        <v/>
      </c>
    </row>
    <row r="155" customFormat="false" ht="15" hidden="false" customHeight="true" outlineLevel="0" collapsed="false">
      <c r="A155" s="52"/>
      <c r="B155" s="52"/>
      <c r="C155" s="51"/>
      <c r="D155" s="52"/>
      <c r="E155" s="53" t="str">
        <f aca="false">IF(ISNUMBER(C155),CHOOSE(WEEKDAY(C155),"Domingo","Segunda","Terça","Quarta","Quinta","Sexta","Sábado"),"")</f>
        <v/>
      </c>
      <c r="F155" s="53" t="str">
        <f aca="true">IF(NOT(ISNUMBER(C155)),"",IF(C155=TODAY(),"HOJE",IF(C155=TODAY()+1,"AMANHÃ",IF(C155&lt;TODAY(),"Realizada",IF(C155-TODAY()&lt;=7,"Em "&amp;(C155-TODAY())&amp;" dias","Agendada")))))</f>
        <v/>
      </c>
      <c r="G155" s="53" t="str">
        <f aca="false">IF(OR(A155="",NOT(ISNUMBER(C155))),"",IF(COUNTIFS($A$2:$A$301,A155,$C$2:$C$301,C155)&gt;1,"⚠ Folga duplicada",IF(COUNTIFS($B$2:$B$301,B155,$C$2:$C$301,C155)&gt;1,"⚠ "&amp;COUNTIFS($B$2:$B$301,B155,$C$2:$C$301,C155)&amp;" pessoas do setor de folga no dia","")))</f>
        <v/>
      </c>
      <c r="J155" s="0" t="str">
        <f aca="true">IF(AND(ISNUMBER(C155),C155=TODAY()),C155+ROW()/100000,"")</f>
        <v/>
      </c>
      <c r="K155" s="0" t="str">
        <f aca="true">IF(AND(ISNUMBER(C155),C155&gt;TODAY(),C155&lt;=TODAY()+7),C155+ROW()/100000,"")</f>
        <v/>
      </c>
      <c r="L155" s="0" t="str">
        <f aca="false">IF(AND(ISNUMBER(C155),C155=CALENDÁRIO!$L$4),ROW(),"")</f>
        <v/>
      </c>
    </row>
    <row r="156" customFormat="false" ht="15" hidden="false" customHeight="true" outlineLevel="0" collapsed="false">
      <c r="A156" s="52"/>
      <c r="B156" s="52"/>
      <c r="C156" s="51"/>
      <c r="D156" s="52"/>
      <c r="E156" s="53" t="str">
        <f aca="false">IF(ISNUMBER(C156),CHOOSE(WEEKDAY(C156),"Domingo","Segunda","Terça","Quarta","Quinta","Sexta","Sábado"),"")</f>
        <v/>
      </c>
      <c r="F156" s="53" t="str">
        <f aca="true">IF(NOT(ISNUMBER(C156)),"",IF(C156=TODAY(),"HOJE",IF(C156=TODAY()+1,"AMANHÃ",IF(C156&lt;TODAY(),"Realizada",IF(C156-TODAY()&lt;=7,"Em "&amp;(C156-TODAY())&amp;" dias","Agendada")))))</f>
        <v/>
      </c>
      <c r="G156" s="53" t="str">
        <f aca="false">IF(OR(A156="",NOT(ISNUMBER(C156))),"",IF(COUNTIFS($A$2:$A$301,A156,$C$2:$C$301,C156)&gt;1,"⚠ Folga duplicada",IF(COUNTIFS($B$2:$B$301,B156,$C$2:$C$301,C156)&gt;1,"⚠ "&amp;COUNTIFS($B$2:$B$301,B156,$C$2:$C$301,C156)&amp;" pessoas do setor de folga no dia","")))</f>
        <v/>
      </c>
      <c r="J156" s="0" t="str">
        <f aca="true">IF(AND(ISNUMBER(C156),C156=TODAY()),C156+ROW()/100000,"")</f>
        <v/>
      </c>
      <c r="K156" s="0" t="str">
        <f aca="true">IF(AND(ISNUMBER(C156),C156&gt;TODAY(),C156&lt;=TODAY()+7),C156+ROW()/100000,"")</f>
        <v/>
      </c>
      <c r="L156" s="0" t="str">
        <f aca="false">IF(AND(ISNUMBER(C156),C156=CALENDÁRIO!$L$4),ROW(),"")</f>
        <v/>
      </c>
    </row>
    <row r="157" customFormat="false" ht="15" hidden="false" customHeight="true" outlineLevel="0" collapsed="false">
      <c r="A157" s="52"/>
      <c r="B157" s="52"/>
      <c r="C157" s="51"/>
      <c r="D157" s="52"/>
      <c r="E157" s="53" t="str">
        <f aca="false">IF(ISNUMBER(C157),CHOOSE(WEEKDAY(C157),"Domingo","Segunda","Terça","Quarta","Quinta","Sexta","Sábado"),"")</f>
        <v/>
      </c>
      <c r="F157" s="53" t="str">
        <f aca="true">IF(NOT(ISNUMBER(C157)),"",IF(C157=TODAY(),"HOJE",IF(C157=TODAY()+1,"AMANHÃ",IF(C157&lt;TODAY(),"Realizada",IF(C157-TODAY()&lt;=7,"Em "&amp;(C157-TODAY())&amp;" dias","Agendada")))))</f>
        <v/>
      </c>
      <c r="G157" s="53" t="str">
        <f aca="false">IF(OR(A157="",NOT(ISNUMBER(C157))),"",IF(COUNTIFS($A$2:$A$301,A157,$C$2:$C$301,C157)&gt;1,"⚠ Folga duplicada",IF(COUNTIFS($B$2:$B$301,B157,$C$2:$C$301,C157)&gt;1,"⚠ "&amp;COUNTIFS($B$2:$B$301,B157,$C$2:$C$301,C157)&amp;" pessoas do setor de folga no dia","")))</f>
        <v/>
      </c>
      <c r="J157" s="0" t="str">
        <f aca="true">IF(AND(ISNUMBER(C157),C157=TODAY()),C157+ROW()/100000,"")</f>
        <v/>
      </c>
      <c r="K157" s="0" t="str">
        <f aca="true">IF(AND(ISNUMBER(C157),C157&gt;TODAY(),C157&lt;=TODAY()+7),C157+ROW()/100000,"")</f>
        <v/>
      </c>
      <c r="L157" s="0" t="str">
        <f aca="false">IF(AND(ISNUMBER(C157),C157=CALENDÁRIO!$L$4),ROW(),"")</f>
        <v/>
      </c>
    </row>
    <row r="158" customFormat="false" ht="15" hidden="false" customHeight="true" outlineLevel="0" collapsed="false">
      <c r="A158" s="52"/>
      <c r="B158" s="52"/>
      <c r="C158" s="51"/>
      <c r="D158" s="52"/>
      <c r="E158" s="53" t="str">
        <f aca="false">IF(ISNUMBER(C158),CHOOSE(WEEKDAY(C158),"Domingo","Segunda","Terça","Quarta","Quinta","Sexta","Sábado"),"")</f>
        <v/>
      </c>
      <c r="F158" s="53" t="str">
        <f aca="true">IF(NOT(ISNUMBER(C158)),"",IF(C158=TODAY(),"HOJE",IF(C158=TODAY()+1,"AMANHÃ",IF(C158&lt;TODAY(),"Realizada",IF(C158-TODAY()&lt;=7,"Em "&amp;(C158-TODAY())&amp;" dias","Agendada")))))</f>
        <v/>
      </c>
      <c r="G158" s="53" t="str">
        <f aca="false">IF(OR(A158="",NOT(ISNUMBER(C158))),"",IF(COUNTIFS($A$2:$A$301,A158,$C$2:$C$301,C158)&gt;1,"⚠ Folga duplicada",IF(COUNTIFS($B$2:$B$301,B158,$C$2:$C$301,C158)&gt;1,"⚠ "&amp;COUNTIFS($B$2:$B$301,B158,$C$2:$C$301,C158)&amp;" pessoas do setor de folga no dia","")))</f>
        <v/>
      </c>
      <c r="J158" s="0" t="str">
        <f aca="true">IF(AND(ISNUMBER(C158),C158=TODAY()),C158+ROW()/100000,"")</f>
        <v/>
      </c>
      <c r="K158" s="0" t="str">
        <f aca="true">IF(AND(ISNUMBER(C158),C158&gt;TODAY(),C158&lt;=TODAY()+7),C158+ROW()/100000,"")</f>
        <v/>
      </c>
      <c r="L158" s="0" t="str">
        <f aca="false">IF(AND(ISNUMBER(C158),C158=CALENDÁRIO!$L$4),ROW(),"")</f>
        <v/>
      </c>
    </row>
    <row r="159" customFormat="false" ht="15" hidden="false" customHeight="true" outlineLevel="0" collapsed="false">
      <c r="A159" s="52"/>
      <c r="B159" s="52"/>
      <c r="C159" s="51"/>
      <c r="D159" s="52"/>
      <c r="E159" s="53" t="str">
        <f aca="false">IF(ISNUMBER(C159),CHOOSE(WEEKDAY(C159),"Domingo","Segunda","Terça","Quarta","Quinta","Sexta","Sábado"),"")</f>
        <v/>
      </c>
      <c r="F159" s="53" t="str">
        <f aca="true">IF(NOT(ISNUMBER(C159)),"",IF(C159=TODAY(),"HOJE",IF(C159=TODAY()+1,"AMANHÃ",IF(C159&lt;TODAY(),"Realizada",IF(C159-TODAY()&lt;=7,"Em "&amp;(C159-TODAY())&amp;" dias","Agendada")))))</f>
        <v/>
      </c>
      <c r="G159" s="53" t="str">
        <f aca="false">IF(OR(A159="",NOT(ISNUMBER(C159))),"",IF(COUNTIFS($A$2:$A$301,A159,$C$2:$C$301,C159)&gt;1,"⚠ Folga duplicada",IF(COUNTIFS($B$2:$B$301,B159,$C$2:$C$301,C159)&gt;1,"⚠ "&amp;COUNTIFS($B$2:$B$301,B159,$C$2:$C$301,C159)&amp;" pessoas do setor de folga no dia","")))</f>
        <v/>
      </c>
      <c r="J159" s="0" t="str">
        <f aca="true">IF(AND(ISNUMBER(C159),C159=TODAY()),C159+ROW()/100000,"")</f>
        <v/>
      </c>
      <c r="K159" s="0" t="str">
        <f aca="true">IF(AND(ISNUMBER(C159),C159&gt;TODAY(),C159&lt;=TODAY()+7),C159+ROW()/100000,"")</f>
        <v/>
      </c>
      <c r="L159" s="0" t="str">
        <f aca="false">IF(AND(ISNUMBER(C159),C159=CALENDÁRIO!$L$4),ROW(),"")</f>
        <v/>
      </c>
    </row>
    <row r="160" customFormat="false" ht="15" hidden="false" customHeight="true" outlineLevel="0" collapsed="false">
      <c r="A160" s="52"/>
      <c r="B160" s="52"/>
      <c r="C160" s="51"/>
      <c r="D160" s="52"/>
      <c r="E160" s="53" t="str">
        <f aca="false">IF(ISNUMBER(C160),CHOOSE(WEEKDAY(C160),"Domingo","Segunda","Terça","Quarta","Quinta","Sexta","Sábado"),"")</f>
        <v/>
      </c>
      <c r="F160" s="53" t="str">
        <f aca="true">IF(NOT(ISNUMBER(C160)),"",IF(C160=TODAY(),"HOJE",IF(C160=TODAY()+1,"AMANHÃ",IF(C160&lt;TODAY(),"Realizada",IF(C160-TODAY()&lt;=7,"Em "&amp;(C160-TODAY())&amp;" dias","Agendada")))))</f>
        <v/>
      </c>
      <c r="G160" s="53" t="str">
        <f aca="false">IF(OR(A160="",NOT(ISNUMBER(C160))),"",IF(COUNTIFS($A$2:$A$301,A160,$C$2:$C$301,C160)&gt;1,"⚠ Folga duplicada",IF(COUNTIFS($B$2:$B$301,B160,$C$2:$C$301,C160)&gt;1,"⚠ "&amp;COUNTIFS($B$2:$B$301,B160,$C$2:$C$301,C160)&amp;" pessoas do setor de folga no dia","")))</f>
        <v/>
      </c>
      <c r="J160" s="0" t="str">
        <f aca="true">IF(AND(ISNUMBER(C160),C160=TODAY()),C160+ROW()/100000,"")</f>
        <v/>
      </c>
      <c r="K160" s="0" t="str">
        <f aca="true">IF(AND(ISNUMBER(C160),C160&gt;TODAY(),C160&lt;=TODAY()+7),C160+ROW()/100000,"")</f>
        <v/>
      </c>
      <c r="L160" s="0" t="str">
        <f aca="false">IF(AND(ISNUMBER(C160),C160=CALENDÁRIO!$L$4),ROW(),"")</f>
        <v/>
      </c>
    </row>
    <row r="161" customFormat="false" ht="15" hidden="false" customHeight="true" outlineLevel="0" collapsed="false">
      <c r="A161" s="52"/>
      <c r="B161" s="52"/>
      <c r="C161" s="51"/>
      <c r="D161" s="52"/>
      <c r="E161" s="53" t="str">
        <f aca="false">IF(ISNUMBER(C161),CHOOSE(WEEKDAY(C161),"Domingo","Segunda","Terça","Quarta","Quinta","Sexta","Sábado"),"")</f>
        <v/>
      </c>
      <c r="F161" s="53" t="str">
        <f aca="true">IF(NOT(ISNUMBER(C161)),"",IF(C161=TODAY(),"HOJE",IF(C161=TODAY()+1,"AMANHÃ",IF(C161&lt;TODAY(),"Realizada",IF(C161-TODAY()&lt;=7,"Em "&amp;(C161-TODAY())&amp;" dias","Agendada")))))</f>
        <v/>
      </c>
      <c r="G161" s="53" t="str">
        <f aca="false">IF(OR(A161="",NOT(ISNUMBER(C161))),"",IF(COUNTIFS($A$2:$A$301,A161,$C$2:$C$301,C161)&gt;1,"⚠ Folga duplicada",IF(COUNTIFS($B$2:$B$301,B161,$C$2:$C$301,C161)&gt;1,"⚠ "&amp;COUNTIFS($B$2:$B$301,B161,$C$2:$C$301,C161)&amp;" pessoas do setor de folga no dia","")))</f>
        <v/>
      </c>
      <c r="J161" s="0" t="str">
        <f aca="true">IF(AND(ISNUMBER(C161),C161=TODAY()),C161+ROW()/100000,"")</f>
        <v/>
      </c>
      <c r="K161" s="0" t="str">
        <f aca="true">IF(AND(ISNUMBER(C161),C161&gt;TODAY(),C161&lt;=TODAY()+7),C161+ROW()/100000,"")</f>
        <v/>
      </c>
      <c r="L161" s="0" t="str">
        <f aca="false">IF(AND(ISNUMBER(C161),C161=CALENDÁRIO!$L$4),ROW(),"")</f>
        <v/>
      </c>
    </row>
    <row r="162" customFormat="false" ht="15" hidden="false" customHeight="true" outlineLevel="0" collapsed="false">
      <c r="A162" s="52"/>
      <c r="B162" s="52"/>
      <c r="C162" s="51"/>
      <c r="D162" s="52"/>
      <c r="E162" s="53" t="str">
        <f aca="false">IF(ISNUMBER(C162),CHOOSE(WEEKDAY(C162),"Domingo","Segunda","Terça","Quarta","Quinta","Sexta","Sábado"),"")</f>
        <v/>
      </c>
      <c r="F162" s="53" t="str">
        <f aca="true">IF(NOT(ISNUMBER(C162)),"",IF(C162=TODAY(),"HOJE",IF(C162=TODAY()+1,"AMANHÃ",IF(C162&lt;TODAY(),"Realizada",IF(C162-TODAY()&lt;=7,"Em "&amp;(C162-TODAY())&amp;" dias","Agendada")))))</f>
        <v/>
      </c>
      <c r="G162" s="53" t="str">
        <f aca="false">IF(OR(A162="",NOT(ISNUMBER(C162))),"",IF(COUNTIFS($A$2:$A$301,A162,$C$2:$C$301,C162)&gt;1,"⚠ Folga duplicada",IF(COUNTIFS($B$2:$B$301,B162,$C$2:$C$301,C162)&gt;1,"⚠ "&amp;COUNTIFS($B$2:$B$301,B162,$C$2:$C$301,C162)&amp;" pessoas do setor de folga no dia","")))</f>
        <v/>
      </c>
      <c r="J162" s="0" t="str">
        <f aca="true">IF(AND(ISNUMBER(C162),C162=TODAY()),C162+ROW()/100000,"")</f>
        <v/>
      </c>
      <c r="K162" s="0" t="str">
        <f aca="true">IF(AND(ISNUMBER(C162),C162&gt;TODAY(),C162&lt;=TODAY()+7),C162+ROW()/100000,"")</f>
        <v/>
      </c>
      <c r="L162" s="0" t="str">
        <f aca="false">IF(AND(ISNUMBER(C162),C162=CALENDÁRIO!$L$4),ROW(),"")</f>
        <v/>
      </c>
    </row>
    <row r="163" customFormat="false" ht="15" hidden="false" customHeight="true" outlineLevel="0" collapsed="false">
      <c r="A163" s="52"/>
      <c r="B163" s="52"/>
      <c r="C163" s="51"/>
      <c r="D163" s="52"/>
      <c r="E163" s="53" t="str">
        <f aca="false">IF(ISNUMBER(C163),CHOOSE(WEEKDAY(C163),"Domingo","Segunda","Terça","Quarta","Quinta","Sexta","Sábado"),"")</f>
        <v/>
      </c>
      <c r="F163" s="53" t="str">
        <f aca="true">IF(NOT(ISNUMBER(C163)),"",IF(C163=TODAY(),"HOJE",IF(C163=TODAY()+1,"AMANHÃ",IF(C163&lt;TODAY(),"Realizada",IF(C163-TODAY()&lt;=7,"Em "&amp;(C163-TODAY())&amp;" dias","Agendada")))))</f>
        <v/>
      </c>
      <c r="G163" s="53" t="str">
        <f aca="false">IF(OR(A163="",NOT(ISNUMBER(C163))),"",IF(COUNTIFS($A$2:$A$301,A163,$C$2:$C$301,C163)&gt;1,"⚠ Folga duplicada",IF(COUNTIFS($B$2:$B$301,B163,$C$2:$C$301,C163)&gt;1,"⚠ "&amp;COUNTIFS($B$2:$B$301,B163,$C$2:$C$301,C163)&amp;" pessoas do setor de folga no dia","")))</f>
        <v/>
      </c>
      <c r="J163" s="0" t="str">
        <f aca="true">IF(AND(ISNUMBER(C163),C163=TODAY()),C163+ROW()/100000,"")</f>
        <v/>
      </c>
      <c r="K163" s="0" t="str">
        <f aca="true">IF(AND(ISNUMBER(C163),C163&gt;TODAY(),C163&lt;=TODAY()+7),C163+ROW()/100000,"")</f>
        <v/>
      </c>
      <c r="L163" s="0" t="str">
        <f aca="false">IF(AND(ISNUMBER(C163),C163=CALENDÁRIO!$L$4),ROW(),"")</f>
        <v/>
      </c>
    </row>
    <row r="164" customFormat="false" ht="15" hidden="false" customHeight="true" outlineLevel="0" collapsed="false">
      <c r="A164" s="52"/>
      <c r="B164" s="52"/>
      <c r="C164" s="51"/>
      <c r="D164" s="52"/>
      <c r="E164" s="53" t="str">
        <f aca="false">IF(ISNUMBER(C164),CHOOSE(WEEKDAY(C164),"Domingo","Segunda","Terça","Quarta","Quinta","Sexta","Sábado"),"")</f>
        <v/>
      </c>
      <c r="F164" s="53" t="str">
        <f aca="true">IF(NOT(ISNUMBER(C164)),"",IF(C164=TODAY(),"HOJE",IF(C164=TODAY()+1,"AMANHÃ",IF(C164&lt;TODAY(),"Realizada",IF(C164-TODAY()&lt;=7,"Em "&amp;(C164-TODAY())&amp;" dias","Agendada")))))</f>
        <v/>
      </c>
      <c r="G164" s="53" t="str">
        <f aca="false">IF(OR(A164="",NOT(ISNUMBER(C164))),"",IF(COUNTIFS($A$2:$A$301,A164,$C$2:$C$301,C164)&gt;1,"⚠ Folga duplicada",IF(COUNTIFS($B$2:$B$301,B164,$C$2:$C$301,C164)&gt;1,"⚠ "&amp;COUNTIFS($B$2:$B$301,B164,$C$2:$C$301,C164)&amp;" pessoas do setor de folga no dia","")))</f>
        <v/>
      </c>
      <c r="J164" s="0" t="str">
        <f aca="true">IF(AND(ISNUMBER(C164),C164=TODAY()),C164+ROW()/100000,"")</f>
        <v/>
      </c>
      <c r="K164" s="0" t="str">
        <f aca="true">IF(AND(ISNUMBER(C164),C164&gt;TODAY(),C164&lt;=TODAY()+7),C164+ROW()/100000,"")</f>
        <v/>
      </c>
      <c r="L164" s="0" t="str">
        <f aca="false">IF(AND(ISNUMBER(C164),C164=CALENDÁRIO!$L$4),ROW(),"")</f>
        <v/>
      </c>
    </row>
    <row r="165" customFormat="false" ht="15" hidden="false" customHeight="true" outlineLevel="0" collapsed="false">
      <c r="A165" s="52"/>
      <c r="B165" s="52"/>
      <c r="C165" s="51"/>
      <c r="D165" s="52"/>
      <c r="E165" s="53" t="str">
        <f aca="false">IF(ISNUMBER(C165),CHOOSE(WEEKDAY(C165),"Domingo","Segunda","Terça","Quarta","Quinta","Sexta","Sábado"),"")</f>
        <v/>
      </c>
      <c r="F165" s="53" t="str">
        <f aca="true">IF(NOT(ISNUMBER(C165)),"",IF(C165=TODAY(),"HOJE",IF(C165=TODAY()+1,"AMANHÃ",IF(C165&lt;TODAY(),"Realizada",IF(C165-TODAY()&lt;=7,"Em "&amp;(C165-TODAY())&amp;" dias","Agendada")))))</f>
        <v/>
      </c>
      <c r="G165" s="53" t="str">
        <f aca="false">IF(OR(A165="",NOT(ISNUMBER(C165))),"",IF(COUNTIFS($A$2:$A$301,A165,$C$2:$C$301,C165)&gt;1,"⚠ Folga duplicada",IF(COUNTIFS($B$2:$B$301,B165,$C$2:$C$301,C165)&gt;1,"⚠ "&amp;COUNTIFS($B$2:$B$301,B165,$C$2:$C$301,C165)&amp;" pessoas do setor de folga no dia","")))</f>
        <v/>
      </c>
      <c r="J165" s="0" t="str">
        <f aca="true">IF(AND(ISNUMBER(C165),C165=TODAY()),C165+ROW()/100000,"")</f>
        <v/>
      </c>
      <c r="K165" s="0" t="str">
        <f aca="true">IF(AND(ISNUMBER(C165),C165&gt;TODAY(),C165&lt;=TODAY()+7),C165+ROW()/100000,"")</f>
        <v/>
      </c>
      <c r="L165" s="0" t="str">
        <f aca="false">IF(AND(ISNUMBER(C165),C165=CALENDÁRIO!$L$4),ROW(),"")</f>
        <v/>
      </c>
    </row>
    <row r="166" customFormat="false" ht="15" hidden="false" customHeight="true" outlineLevel="0" collapsed="false">
      <c r="A166" s="52"/>
      <c r="B166" s="52"/>
      <c r="C166" s="51"/>
      <c r="D166" s="52"/>
      <c r="E166" s="53" t="str">
        <f aca="false">IF(ISNUMBER(C166),CHOOSE(WEEKDAY(C166),"Domingo","Segunda","Terça","Quarta","Quinta","Sexta","Sábado"),"")</f>
        <v/>
      </c>
      <c r="F166" s="53" t="str">
        <f aca="true">IF(NOT(ISNUMBER(C166)),"",IF(C166=TODAY(),"HOJE",IF(C166=TODAY()+1,"AMANHÃ",IF(C166&lt;TODAY(),"Realizada",IF(C166-TODAY()&lt;=7,"Em "&amp;(C166-TODAY())&amp;" dias","Agendada")))))</f>
        <v/>
      </c>
      <c r="G166" s="53" t="str">
        <f aca="false">IF(OR(A166="",NOT(ISNUMBER(C166))),"",IF(COUNTIFS($A$2:$A$301,A166,$C$2:$C$301,C166)&gt;1,"⚠ Folga duplicada",IF(COUNTIFS($B$2:$B$301,B166,$C$2:$C$301,C166)&gt;1,"⚠ "&amp;COUNTIFS($B$2:$B$301,B166,$C$2:$C$301,C166)&amp;" pessoas do setor de folga no dia","")))</f>
        <v/>
      </c>
      <c r="J166" s="0" t="str">
        <f aca="true">IF(AND(ISNUMBER(C166),C166=TODAY()),C166+ROW()/100000,"")</f>
        <v/>
      </c>
      <c r="K166" s="0" t="str">
        <f aca="true">IF(AND(ISNUMBER(C166),C166&gt;TODAY(),C166&lt;=TODAY()+7),C166+ROW()/100000,"")</f>
        <v/>
      </c>
      <c r="L166" s="0" t="str">
        <f aca="false">IF(AND(ISNUMBER(C166),C166=CALENDÁRIO!$L$4),ROW(),"")</f>
        <v/>
      </c>
    </row>
    <row r="167" customFormat="false" ht="15" hidden="false" customHeight="true" outlineLevel="0" collapsed="false">
      <c r="A167" s="52"/>
      <c r="B167" s="52"/>
      <c r="C167" s="51"/>
      <c r="D167" s="52"/>
      <c r="E167" s="53" t="str">
        <f aca="false">IF(ISNUMBER(C167),CHOOSE(WEEKDAY(C167),"Domingo","Segunda","Terça","Quarta","Quinta","Sexta","Sábado"),"")</f>
        <v/>
      </c>
      <c r="F167" s="53" t="str">
        <f aca="true">IF(NOT(ISNUMBER(C167)),"",IF(C167=TODAY(),"HOJE",IF(C167=TODAY()+1,"AMANHÃ",IF(C167&lt;TODAY(),"Realizada",IF(C167-TODAY()&lt;=7,"Em "&amp;(C167-TODAY())&amp;" dias","Agendada")))))</f>
        <v/>
      </c>
      <c r="G167" s="53" t="str">
        <f aca="false">IF(OR(A167="",NOT(ISNUMBER(C167))),"",IF(COUNTIFS($A$2:$A$301,A167,$C$2:$C$301,C167)&gt;1,"⚠ Folga duplicada",IF(COUNTIFS($B$2:$B$301,B167,$C$2:$C$301,C167)&gt;1,"⚠ "&amp;COUNTIFS($B$2:$B$301,B167,$C$2:$C$301,C167)&amp;" pessoas do setor de folga no dia","")))</f>
        <v/>
      </c>
      <c r="J167" s="0" t="str">
        <f aca="true">IF(AND(ISNUMBER(C167),C167=TODAY()),C167+ROW()/100000,"")</f>
        <v/>
      </c>
      <c r="K167" s="0" t="str">
        <f aca="true">IF(AND(ISNUMBER(C167),C167&gt;TODAY(),C167&lt;=TODAY()+7),C167+ROW()/100000,"")</f>
        <v/>
      </c>
      <c r="L167" s="0" t="str">
        <f aca="false">IF(AND(ISNUMBER(C167),C167=CALENDÁRIO!$L$4),ROW(),"")</f>
        <v/>
      </c>
    </row>
    <row r="168" customFormat="false" ht="15" hidden="false" customHeight="true" outlineLevel="0" collapsed="false">
      <c r="A168" s="52"/>
      <c r="B168" s="52"/>
      <c r="C168" s="51"/>
      <c r="D168" s="52"/>
      <c r="E168" s="53" t="str">
        <f aca="false">IF(ISNUMBER(C168),CHOOSE(WEEKDAY(C168),"Domingo","Segunda","Terça","Quarta","Quinta","Sexta","Sábado"),"")</f>
        <v/>
      </c>
      <c r="F168" s="53" t="str">
        <f aca="true">IF(NOT(ISNUMBER(C168)),"",IF(C168=TODAY(),"HOJE",IF(C168=TODAY()+1,"AMANHÃ",IF(C168&lt;TODAY(),"Realizada",IF(C168-TODAY()&lt;=7,"Em "&amp;(C168-TODAY())&amp;" dias","Agendada")))))</f>
        <v/>
      </c>
      <c r="G168" s="53" t="str">
        <f aca="false">IF(OR(A168="",NOT(ISNUMBER(C168))),"",IF(COUNTIFS($A$2:$A$301,A168,$C$2:$C$301,C168)&gt;1,"⚠ Folga duplicada",IF(COUNTIFS($B$2:$B$301,B168,$C$2:$C$301,C168)&gt;1,"⚠ "&amp;COUNTIFS($B$2:$B$301,B168,$C$2:$C$301,C168)&amp;" pessoas do setor de folga no dia","")))</f>
        <v/>
      </c>
      <c r="J168" s="0" t="str">
        <f aca="true">IF(AND(ISNUMBER(C168),C168=TODAY()),C168+ROW()/100000,"")</f>
        <v/>
      </c>
      <c r="K168" s="0" t="str">
        <f aca="true">IF(AND(ISNUMBER(C168),C168&gt;TODAY(),C168&lt;=TODAY()+7),C168+ROW()/100000,"")</f>
        <v/>
      </c>
      <c r="L168" s="0" t="str">
        <f aca="false">IF(AND(ISNUMBER(C168),C168=CALENDÁRIO!$L$4),ROW(),"")</f>
        <v/>
      </c>
    </row>
    <row r="169" customFormat="false" ht="15" hidden="false" customHeight="true" outlineLevel="0" collapsed="false">
      <c r="A169" s="52"/>
      <c r="B169" s="52"/>
      <c r="C169" s="51"/>
      <c r="D169" s="52"/>
      <c r="E169" s="53" t="str">
        <f aca="false">IF(ISNUMBER(C169),CHOOSE(WEEKDAY(C169),"Domingo","Segunda","Terça","Quarta","Quinta","Sexta","Sábado"),"")</f>
        <v/>
      </c>
      <c r="F169" s="53" t="str">
        <f aca="true">IF(NOT(ISNUMBER(C169)),"",IF(C169=TODAY(),"HOJE",IF(C169=TODAY()+1,"AMANHÃ",IF(C169&lt;TODAY(),"Realizada",IF(C169-TODAY()&lt;=7,"Em "&amp;(C169-TODAY())&amp;" dias","Agendada")))))</f>
        <v/>
      </c>
      <c r="G169" s="53" t="str">
        <f aca="false">IF(OR(A169="",NOT(ISNUMBER(C169))),"",IF(COUNTIFS($A$2:$A$301,A169,$C$2:$C$301,C169)&gt;1,"⚠ Folga duplicada",IF(COUNTIFS($B$2:$B$301,B169,$C$2:$C$301,C169)&gt;1,"⚠ "&amp;COUNTIFS($B$2:$B$301,B169,$C$2:$C$301,C169)&amp;" pessoas do setor de folga no dia","")))</f>
        <v/>
      </c>
      <c r="J169" s="0" t="str">
        <f aca="true">IF(AND(ISNUMBER(C169),C169=TODAY()),C169+ROW()/100000,"")</f>
        <v/>
      </c>
      <c r="K169" s="0" t="str">
        <f aca="true">IF(AND(ISNUMBER(C169),C169&gt;TODAY(),C169&lt;=TODAY()+7),C169+ROW()/100000,"")</f>
        <v/>
      </c>
      <c r="L169" s="0" t="str">
        <f aca="false">IF(AND(ISNUMBER(C169),C169=CALENDÁRIO!$L$4),ROW(),"")</f>
        <v/>
      </c>
    </row>
    <row r="170" customFormat="false" ht="15" hidden="false" customHeight="true" outlineLevel="0" collapsed="false">
      <c r="A170" s="52"/>
      <c r="B170" s="52"/>
      <c r="C170" s="51"/>
      <c r="D170" s="52"/>
      <c r="E170" s="53" t="str">
        <f aca="false">IF(ISNUMBER(C170),CHOOSE(WEEKDAY(C170),"Domingo","Segunda","Terça","Quarta","Quinta","Sexta","Sábado"),"")</f>
        <v/>
      </c>
      <c r="F170" s="53" t="str">
        <f aca="true">IF(NOT(ISNUMBER(C170)),"",IF(C170=TODAY(),"HOJE",IF(C170=TODAY()+1,"AMANHÃ",IF(C170&lt;TODAY(),"Realizada",IF(C170-TODAY()&lt;=7,"Em "&amp;(C170-TODAY())&amp;" dias","Agendada")))))</f>
        <v/>
      </c>
      <c r="G170" s="53" t="str">
        <f aca="false">IF(OR(A170="",NOT(ISNUMBER(C170))),"",IF(COUNTIFS($A$2:$A$301,A170,$C$2:$C$301,C170)&gt;1,"⚠ Folga duplicada",IF(COUNTIFS($B$2:$B$301,B170,$C$2:$C$301,C170)&gt;1,"⚠ "&amp;COUNTIFS($B$2:$B$301,B170,$C$2:$C$301,C170)&amp;" pessoas do setor de folga no dia","")))</f>
        <v/>
      </c>
      <c r="J170" s="0" t="str">
        <f aca="true">IF(AND(ISNUMBER(C170),C170=TODAY()),C170+ROW()/100000,"")</f>
        <v/>
      </c>
      <c r="K170" s="0" t="str">
        <f aca="true">IF(AND(ISNUMBER(C170),C170&gt;TODAY(),C170&lt;=TODAY()+7),C170+ROW()/100000,"")</f>
        <v/>
      </c>
      <c r="L170" s="0" t="str">
        <f aca="false">IF(AND(ISNUMBER(C170),C170=CALENDÁRIO!$L$4),ROW(),"")</f>
        <v/>
      </c>
    </row>
    <row r="171" customFormat="false" ht="15" hidden="false" customHeight="true" outlineLevel="0" collapsed="false">
      <c r="A171" s="52"/>
      <c r="B171" s="52"/>
      <c r="C171" s="51"/>
      <c r="D171" s="52"/>
      <c r="E171" s="53" t="str">
        <f aca="false">IF(ISNUMBER(C171),CHOOSE(WEEKDAY(C171),"Domingo","Segunda","Terça","Quarta","Quinta","Sexta","Sábado"),"")</f>
        <v/>
      </c>
      <c r="F171" s="53" t="str">
        <f aca="true">IF(NOT(ISNUMBER(C171)),"",IF(C171=TODAY(),"HOJE",IF(C171=TODAY()+1,"AMANHÃ",IF(C171&lt;TODAY(),"Realizada",IF(C171-TODAY()&lt;=7,"Em "&amp;(C171-TODAY())&amp;" dias","Agendada")))))</f>
        <v/>
      </c>
      <c r="G171" s="53" t="str">
        <f aca="false">IF(OR(A171="",NOT(ISNUMBER(C171))),"",IF(COUNTIFS($A$2:$A$301,A171,$C$2:$C$301,C171)&gt;1,"⚠ Folga duplicada",IF(COUNTIFS($B$2:$B$301,B171,$C$2:$C$301,C171)&gt;1,"⚠ "&amp;COUNTIFS($B$2:$B$301,B171,$C$2:$C$301,C171)&amp;" pessoas do setor de folga no dia","")))</f>
        <v/>
      </c>
      <c r="J171" s="0" t="str">
        <f aca="true">IF(AND(ISNUMBER(C171),C171=TODAY()),C171+ROW()/100000,"")</f>
        <v/>
      </c>
      <c r="K171" s="0" t="str">
        <f aca="true">IF(AND(ISNUMBER(C171),C171&gt;TODAY(),C171&lt;=TODAY()+7),C171+ROW()/100000,"")</f>
        <v/>
      </c>
      <c r="L171" s="0" t="str">
        <f aca="false">IF(AND(ISNUMBER(C171),C171=CALENDÁRIO!$L$4),ROW(),"")</f>
        <v/>
      </c>
    </row>
    <row r="172" customFormat="false" ht="15" hidden="false" customHeight="true" outlineLevel="0" collapsed="false">
      <c r="A172" s="52"/>
      <c r="B172" s="52"/>
      <c r="C172" s="51"/>
      <c r="D172" s="52"/>
      <c r="E172" s="53" t="str">
        <f aca="false">IF(ISNUMBER(C172),CHOOSE(WEEKDAY(C172),"Domingo","Segunda","Terça","Quarta","Quinta","Sexta","Sábado"),"")</f>
        <v/>
      </c>
      <c r="F172" s="53" t="str">
        <f aca="true">IF(NOT(ISNUMBER(C172)),"",IF(C172=TODAY(),"HOJE",IF(C172=TODAY()+1,"AMANHÃ",IF(C172&lt;TODAY(),"Realizada",IF(C172-TODAY()&lt;=7,"Em "&amp;(C172-TODAY())&amp;" dias","Agendada")))))</f>
        <v/>
      </c>
      <c r="G172" s="53" t="str">
        <f aca="false">IF(OR(A172="",NOT(ISNUMBER(C172))),"",IF(COUNTIFS($A$2:$A$301,A172,$C$2:$C$301,C172)&gt;1,"⚠ Folga duplicada",IF(COUNTIFS($B$2:$B$301,B172,$C$2:$C$301,C172)&gt;1,"⚠ "&amp;COUNTIFS($B$2:$B$301,B172,$C$2:$C$301,C172)&amp;" pessoas do setor de folga no dia","")))</f>
        <v/>
      </c>
      <c r="J172" s="0" t="str">
        <f aca="true">IF(AND(ISNUMBER(C172),C172=TODAY()),C172+ROW()/100000,"")</f>
        <v/>
      </c>
      <c r="K172" s="0" t="str">
        <f aca="true">IF(AND(ISNUMBER(C172),C172&gt;TODAY(),C172&lt;=TODAY()+7),C172+ROW()/100000,"")</f>
        <v/>
      </c>
      <c r="L172" s="0" t="str">
        <f aca="false">IF(AND(ISNUMBER(C172),C172=CALENDÁRIO!$L$4),ROW(),"")</f>
        <v/>
      </c>
    </row>
    <row r="173" customFormat="false" ht="15" hidden="false" customHeight="true" outlineLevel="0" collapsed="false">
      <c r="A173" s="52"/>
      <c r="B173" s="52"/>
      <c r="C173" s="51"/>
      <c r="D173" s="52"/>
      <c r="E173" s="53" t="str">
        <f aca="false">IF(ISNUMBER(C173),CHOOSE(WEEKDAY(C173),"Domingo","Segunda","Terça","Quarta","Quinta","Sexta","Sábado"),"")</f>
        <v/>
      </c>
      <c r="F173" s="53" t="str">
        <f aca="true">IF(NOT(ISNUMBER(C173)),"",IF(C173=TODAY(),"HOJE",IF(C173=TODAY()+1,"AMANHÃ",IF(C173&lt;TODAY(),"Realizada",IF(C173-TODAY()&lt;=7,"Em "&amp;(C173-TODAY())&amp;" dias","Agendada")))))</f>
        <v/>
      </c>
      <c r="G173" s="53" t="str">
        <f aca="false">IF(OR(A173="",NOT(ISNUMBER(C173))),"",IF(COUNTIFS($A$2:$A$301,A173,$C$2:$C$301,C173)&gt;1,"⚠ Folga duplicada",IF(COUNTIFS($B$2:$B$301,B173,$C$2:$C$301,C173)&gt;1,"⚠ "&amp;COUNTIFS($B$2:$B$301,B173,$C$2:$C$301,C173)&amp;" pessoas do setor de folga no dia","")))</f>
        <v/>
      </c>
      <c r="J173" s="0" t="str">
        <f aca="true">IF(AND(ISNUMBER(C173),C173=TODAY()),C173+ROW()/100000,"")</f>
        <v/>
      </c>
      <c r="K173" s="0" t="str">
        <f aca="true">IF(AND(ISNUMBER(C173),C173&gt;TODAY(),C173&lt;=TODAY()+7),C173+ROW()/100000,"")</f>
        <v/>
      </c>
      <c r="L173" s="0" t="str">
        <f aca="false">IF(AND(ISNUMBER(C173),C173=CALENDÁRIO!$L$4),ROW(),"")</f>
        <v/>
      </c>
    </row>
    <row r="174" customFormat="false" ht="15" hidden="false" customHeight="true" outlineLevel="0" collapsed="false">
      <c r="A174" s="52"/>
      <c r="B174" s="52"/>
      <c r="C174" s="51"/>
      <c r="D174" s="52"/>
      <c r="E174" s="53" t="str">
        <f aca="false">IF(ISNUMBER(C174),CHOOSE(WEEKDAY(C174),"Domingo","Segunda","Terça","Quarta","Quinta","Sexta","Sábado"),"")</f>
        <v/>
      </c>
      <c r="F174" s="53" t="str">
        <f aca="true">IF(NOT(ISNUMBER(C174)),"",IF(C174=TODAY(),"HOJE",IF(C174=TODAY()+1,"AMANHÃ",IF(C174&lt;TODAY(),"Realizada",IF(C174-TODAY()&lt;=7,"Em "&amp;(C174-TODAY())&amp;" dias","Agendada")))))</f>
        <v/>
      </c>
      <c r="G174" s="53" t="str">
        <f aca="false">IF(OR(A174="",NOT(ISNUMBER(C174))),"",IF(COUNTIFS($A$2:$A$301,A174,$C$2:$C$301,C174)&gt;1,"⚠ Folga duplicada",IF(COUNTIFS($B$2:$B$301,B174,$C$2:$C$301,C174)&gt;1,"⚠ "&amp;COUNTIFS($B$2:$B$301,B174,$C$2:$C$301,C174)&amp;" pessoas do setor de folga no dia","")))</f>
        <v/>
      </c>
      <c r="J174" s="0" t="str">
        <f aca="true">IF(AND(ISNUMBER(C174),C174=TODAY()),C174+ROW()/100000,"")</f>
        <v/>
      </c>
      <c r="K174" s="0" t="str">
        <f aca="true">IF(AND(ISNUMBER(C174),C174&gt;TODAY(),C174&lt;=TODAY()+7),C174+ROW()/100000,"")</f>
        <v/>
      </c>
      <c r="L174" s="0" t="str">
        <f aca="false">IF(AND(ISNUMBER(C174),C174=CALENDÁRIO!$L$4),ROW(),"")</f>
        <v/>
      </c>
    </row>
    <row r="175" customFormat="false" ht="15" hidden="false" customHeight="true" outlineLevel="0" collapsed="false">
      <c r="A175" s="52"/>
      <c r="B175" s="52"/>
      <c r="C175" s="51"/>
      <c r="D175" s="52"/>
      <c r="E175" s="53" t="str">
        <f aca="false">IF(ISNUMBER(C175),CHOOSE(WEEKDAY(C175),"Domingo","Segunda","Terça","Quarta","Quinta","Sexta","Sábado"),"")</f>
        <v/>
      </c>
      <c r="F175" s="53" t="str">
        <f aca="true">IF(NOT(ISNUMBER(C175)),"",IF(C175=TODAY(),"HOJE",IF(C175=TODAY()+1,"AMANHÃ",IF(C175&lt;TODAY(),"Realizada",IF(C175-TODAY()&lt;=7,"Em "&amp;(C175-TODAY())&amp;" dias","Agendada")))))</f>
        <v/>
      </c>
      <c r="G175" s="53" t="str">
        <f aca="false">IF(OR(A175="",NOT(ISNUMBER(C175))),"",IF(COUNTIFS($A$2:$A$301,A175,$C$2:$C$301,C175)&gt;1,"⚠ Folga duplicada",IF(COUNTIFS($B$2:$B$301,B175,$C$2:$C$301,C175)&gt;1,"⚠ "&amp;COUNTIFS($B$2:$B$301,B175,$C$2:$C$301,C175)&amp;" pessoas do setor de folga no dia","")))</f>
        <v/>
      </c>
      <c r="J175" s="0" t="str">
        <f aca="true">IF(AND(ISNUMBER(C175),C175=TODAY()),C175+ROW()/100000,"")</f>
        <v/>
      </c>
      <c r="K175" s="0" t="str">
        <f aca="true">IF(AND(ISNUMBER(C175),C175&gt;TODAY(),C175&lt;=TODAY()+7),C175+ROW()/100000,"")</f>
        <v/>
      </c>
      <c r="L175" s="0" t="str">
        <f aca="false">IF(AND(ISNUMBER(C175),C175=CALENDÁRIO!$L$4),ROW(),"")</f>
        <v/>
      </c>
    </row>
    <row r="176" customFormat="false" ht="15" hidden="false" customHeight="true" outlineLevel="0" collapsed="false">
      <c r="A176" s="52"/>
      <c r="B176" s="52"/>
      <c r="C176" s="51"/>
      <c r="D176" s="52"/>
      <c r="E176" s="53" t="str">
        <f aca="false">IF(ISNUMBER(C176),CHOOSE(WEEKDAY(C176),"Domingo","Segunda","Terça","Quarta","Quinta","Sexta","Sábado"),"")</f>
        <v/>
      </c>
      <c r="F176" s="53" t="str">
        <f aca="true">IF(NOT(ISNUMBER(C176)),"",IF(C176=TODAY(),"HOJE",IF(C176=TODAY()+1,"AMANHÃ",IF(C176&lt;TODAY(),"Realizada",IF(C176-TODAY()&lt;=7,"Em "&amp;(C176-TODAY())&amp;" dias","Agendada")))))</f>
        <v/>
      </c>
      <c r="G176" s="53" t="str">
        <f aca="false">IF(OR(A176="",NOT(ISNUMBER(C176))),"",IF(COUNTIFS($A$2:$A$301,A176,$C$2:$C$301,C176)&gt;1,"⚠ Folga duplicada",IF(COUNTIFS($B$2:$B$301,B176,$C$2:$C$301,C176)&gt;1,"⚠ "&amp;COUNTIFS($B$2:$B$301,B176,$C$2:$C$301,C176)&amp;" pessoas do setor de folga no dia","")))</f>
        <v/>
      </c>
      <c r="J176" s="0" t="str">
        <f aca="true">IF(AND(ISNUMBER(C176),C176=TODAY()),C176+ROW()/100000,"")</f>
        <v/>
      </c>
      <c r="K176" s="0" t="str">
        <f aca="true">IF(AND(ISNUMBER(C176),C176&gt;TODAY(),C176&lt;=TODAY()+7),C176+ROW()/100000,"")</f>
        <v/>
      </c>
      <c r="L176" s="0" t="str">
        <f aca="false">IF(AND(ISNUMBER(C176),C176=CALENDÁRIO!$L$4),ROW(),"")</f>
        <v/>
      </c>
    </row>
    <row r="177" customFormat="false" ht="15" hidden="false" customHeight="true" outlineLevel="0" collapsed="false">
      <c r="A177" s="52"/>
      <c r="B177" s="52"/>
      <c r="C177" s="51"/>
      <c r="D177" s="52"/>
      <c r="E177" s="53" t="str">
        <f aca="false">IF(ISNUMBER(C177),CHOOSE(WEEKDAY(C177),"Domingo","Segunda","Terça","Quarta","Quinta","Sexta","Sábado"),"")</f>
        <v/>
      </c>
      <c r="F177" s="53" t="str">
        <f aca="true">IF(NOT(ISNUMBER(C177)),"",IF(C177=TODAY(),"HOJE",IF(C177=TODAY()+1,"AMANHÃ",IF(C177&lt;TODAY(),"Realizada",IF(C177-TODAY()&lt;=7,"Em "&amp;(C177-TODAY())&amp;" dias","Agendada")))))</f>
        <v/>
      </c>
      <c r="G177" s="53" t="str">
        <f aca="false">IF(OR(A177="",NOT(ISNUMBER(C177))),"",IF(COUNTIFS($A$2:$A$301,A177,$C$2:$C$301,C177)&gt;1,"⚠ Folga duplicada",IF(COUNTIFS($B$2:$B$301,B177,$C$2:$C$301,C177)&gt;1,"⚠ "&amp;COUNTIFS($B$2:$B$301,B177,$C$2:$C$301,C177)&amp;" pessoas do setor de folga no dia","")))</f>
        <v/>
      </c>
      <c r="J177" s="0" t="str">
        <f aca="true">IF(AND(ISNUMBER(C177),C177=TODAY()),C177+ROW()/100000,"")</f>
        <v/>
      </c>
      <c r="K177" s="0" t="str">
        <f aca="true">IF(AND(ISNUMBER(C177),C177&gt;TODAY(),C177&lt;=TODAY()+7),C177+ROW()/100000,"")</f>
        <v/>
      </c>
      <c r="L177" s="0" t="str">
        <f aca="false">IF(AND(ISNUMBER(C177),C177=CALENDÁRIO!$L$4),ROW(),"")</f>
        <v/>
      </c>
    </row>
    <row r="178" customFormat="false" ht="15" hidden="false" customHeight="true" outlineLevel="0" collapsed="false">
      <c r="A178" s="52"/>
      <c r="B178" s="52"/>
      <c r="C178" s="51"/>
      <c r="D178" s="52"/>
      <c r="E178" s="53" t="str">
        <f aca="false">IF(ISNUMBER(C178),CHOOSE(WEEKDAY(C178),"Domingo","Segunda","Terça","Quarta","Quinta","Sexta","Sábado"),"")</f>
        <v/>
      </c>
      <c r="F178" s="53" t="str">
        <f aca="true">IF(NOT(ISNUMBER(C178)),"",IF(C178=TODAY(),"HOJE",IF(C178=TODAY()+1,"AMANHÃ",IF(C178&lt;TODAY(),"Realizada",IF(C178-TODAY()&lt;=7,"Em "&amp;(C178-TODAY())&amp;" dias","Agendada")))))</f>
        <v/>
      </c>
      <c r="G178" s="53" t="str">
        <f aca="false">IF(OR(A178="",NOT(ISNUMBER(C178))),"",IF(COUNTIFS($A$2:$A$301,A178,$C$2:$C$301,C178)&gt;1,"⚠ Folga duplicada",IF(COUNTIFS($B$2:$B$301,B178,$C$2:$C$301,C178)&gt;1,"⚠ "&amp;COUNTIFS($B$2:$B$301,B178,$C$2:$C$301,C178)&amp;" pessoas do setor de folga no dia","")))</f>
        <v/>
      </c>
      <c r="J178" s="0" t="str">
        <f aca="true">IF(AND(ISNUMBER(C178),C178=TODAY()),C178+ROW()/100000,"")</f>
        <v/>
      </c>
      <c r="K178" s="0" t="str">
        <f aca="true">IF(AND(ISNUMBER(C178),C178&gt;TODAY(),C178&lt;=TODAY()+7),C178+ROW()/100000,"")</f>
        <v/>
      </c>
      <c r="L178" s="0" t="str">
        <f aca="false">IF(AND(ISNUMBER(C178),C178=CALENDÁRIO!$L$4),ROW(),"")</f>
        <v/>
      </c>
    </row>
    <row r="179" customFormat="false" ht="15" hidden="false" customHeight="true" outlineLevel="0" collapsed="false">
      <c r="A179" s="52"/>
      <c r="B179" s="52"/>
      <c r="C179" s="51"/>
      <c r="D179" s="52"/>
      <c r="E179" s="53" t="str">
        <f aca="false">IF(ISNUMBER(C179),CHOOSE(WEEKDAY(C179),"Domingo","Segunda","Terça","Quarta","Quinta","Sexta","Sábado"),"")</f>
        <v/>
      </c>
      <c r="F179" s="53" t="str">
        <f aca="true">IF(NOT(ISNUMBER(C179)),"",IF(C179=TODAY(),"HOJE",IF(C179=TODAY()+1,"AMANHÃ",IF(C179&lt;TODAY(),"Realizada",IF(C179-TODAY()&lt;=7,"Em "&amp;(C179-TODAY())&amp;" dias","Agendada")))))</f>
        <v/>
      </c>
      <c r="G179" s="53" t="str">
        <f aca="false">IF(OR(A179="",NOT(ISNUMBER(C179))),"",IF(COUNTIFS($A$2:$A$301,A179,$C$2:$C$301,C179)&gt;1,"⚠ Folga duplicada",IF(COUNTIFS($B$2:$B$301,B179,$C$2:$C$301,C179)&gt;1,"⚠ "&amp;COUNTIFS($B$2:$B$301,B179,$C$2:$C$301,C179)&amp;" pessoas do setor de folga no dia","")))</f>
        <v/>
      </c>
      <c r="J179" s="0" t="str">
        <f aca="true">IF(AND(ISNUMBER(C179),C179=TODAY()),C179+ROW()/100000,"")</f>
        <v/>
      </c>
      <c r="K179" s="0" t="str">
        <f aca="true">IF(AND(ISNUMBER(C179),C179&gt;TODAY(),C179&lt;=TODAY()+7),C179+ROW()/100000,"")</f>
        <v/>
      </c>
      <c r="L179" s="0" t="str">
        <f aca="false">IF(AND(ISNUMBER(C179),C179=CALENDÁRIO!$L$4),ROW(),"")</f>
        <v/>
      </c>
    </row>
    <row r="180" customFormat="false" ht="15" hidden="false" customHeight="true" outlineLevel="0" collapsed="false">
      <c r="A180" s="52"/>
      <c r="B180" s="52"/>
      <c r="C180" s="51"/>
      <c r="D180" s="52"/>
      <c r="E180" s="53" t="str">
        <f aca="false">IF(ISNUMBER(C180),CHOOSE(WEEKDAY(C180),"Domingo","Segunda","Terça","Quarta","Quinta","Sexta","Sábado"),"")</f>
        <v/>
      </c>
      <c r="F180" s="53" t="str">
        <f aca="true">IF(NOT(ISNUMBER(C180)),"",IF(C180=TODAY(),"HOJE",IF(C180=TODAY()+1,"AMANHÃ",IF(C180&lt;TODAY(),"Realizada",IF(C180-TODAY()&lt;=7,"Em "&amp;(C180-TODAY())&amp;" dias","Agendada")))))</f>
        <v/>
      </c>
      <c r="G180" s="53" t="str">
        <f aca="false">IF(OR(A180="",NOT(ISNUMBER(C180))),"",IF(COUNTIFS($A$2:$A$301,A180,$C$2:$C$301,C180)&gt;1,"⚠ Folga duplicada",IF(COUNTIFS($B$2:$B$301,B180,$C$2:$C$301,C180)&gt;1,"⚠ "&amp;COUNTIFS($B$2:$B$301,B180,$C$2:$C$301,C180)&amp;" pessoas do setor de folga no dia","")))</f>
        <v/>
      </c>
      <c r="J180" s="0" t="str">
        <f aca="true">IF(AND(ISNUMBER(C180),C180=TODAY()),C180+ROW()/100000,"")</f>
        <v/>
      </c>
      <c r="K180" s="0" t="str">
        <f aca="true">IF(AND(ISNUMBER(C180),C180&gt;TODAY(),C180&lt;=TODAY()+7),C180+ROW()/100000,"")</f>
        <v/>
      </c>
      <c r="L180" s="0" t="str">
        <f aca="false">IF(AND(ISNUMBER(C180),C180=CALENDÁRIO!$L$4),ROW(),"")</f>
        <v/>
      </c>
    </row>
    <row r="181" customFormat="false" ht="15" hidden="false" customHeight="true" outlineLevel="0" collapsed="false">
      <c r="A181" s="52"/>
      <c r="B181" s="52"/>
      <c r="C181" s="51"/>
      <c r="D181" s="52"/>
      <c r="E181" s="53" t="str">
        <f aca="false">IF(ISNUMBER(C181),CHOOSE(WEEKDAY(C181),"Domingo","Segunda","Terça","Quarta","Quinta","Sexta","Sábado"),"")</f>
        <v/>
      </c>
      <c r="F181" s="53" t="str">
        <f aca="true">IF(NOT(ISNUMBER(C181)),"",IF(C181=TODAY(),"HOJE",IF(C181=TODAY()+1,"AMANHÃ",IF(C181&lt;TODAY(),"Realizada",IF(C181-TODAY()&lt;=7,"Em "&amp;(C181-TODAY())&amp;" dias","Agendada")))))</f>
        <v/>
      </c>
      <c r="G181" s="53" t="str">
        <f aca="false">IF(OR(A181="",NOT(ISNUMBER(C181))),"",IF(COUNTIFS($A$2:$A$301,A181,$C$2:$C$301,C181)&gt;1,"⚠ Folga duplicada",IF(COUNTIFS($B$2:$B$301,B181,$C$2:$C$301,C181)&gt;1,"⚠ "&amp;COUNTIFS($B$2:$B$301,B181,$C$2:$C$301,C181)&amp;" pessoas do setor de folga no dia","")))</f>
        <v/>
      </c>
      <c r="J181" s="0" t="str">
        <f aca="true">IF(AND(ISNUMBER(C181),C181=TODAY()),C181+ROW()/100000,"")</f>
        <v/>
      </c>
      <c r="K181" s="0" t="str">
        <f aca="true">IF(AND(ISNUMBER(C181),C181&gt;TODAY(),C181&lt;=TODAY()+7),C181+ROW()/100000,"")</f>
        <v/>
      </c>
      <c r="L181" s="0" t="str">
        <f aca="false">IF(AND(ISNUMBER(C181),C181=CALENDÁRIO!$L$4),ROW(),"")</f>
        <v/>
      </c>
    </row>
    <row r="182" customFormat="false" ht="15" hidden="false" customHeight="true" outlineLevel="0" collapsed="false">
      <c r="A182" s="52"/>
      <c r="B182" s="52"/>
      <c r="C182" s="51"/>
      <c r="D182" s="52"/>
      <c r="E182" s="53" t="str">
        <f aca="false">IF(ISNUMBER(C182),CHOOSE(WEEKDAY(C182),"Domingo","Segunda","Terça","Quarta","Quinta","Sexta","Sábado"),"")</f>
        <v/>
      </c>
      <c r="F182" s="53" t="str">
        <f aca="true">IF(NOT(ISNUMBER(C182)),"",IF(C182=TODAY(),"HOJE",IF(C182=TODAY()+1,"AMANHÃ",IF(C182&lt;TODAY(),"Realizada",IF(C182-TODAY()&lt;=7,"Em "&amp;(C182-TODAY())&amp;" dias","Agendada")))))</f>
        <v/>
      </c>
      <c r="G182" s="53" t="str">
        <f aca="false">IF(OR(A182="",NOT(ISNUMBER(C182))),"",IF(COUNTIFS($A$2:$A$301,A182,$C$2:$C$301,C182)&gt;1,"⚠ Folga duplicada",IF(COUNTIFS($B$2:$B$301,B182,$C$2:$C$301,C182)&gt;1,"⚠ "&amp;COUNTIFS($B$2:$B$301,B182,$C$2:$C$301,C182)&amp;" pessoas do setor de folga no dia","")))</f>
        <v/>
      </c>
      <c r="J182" s="0" t="str">
        <f aca="true">IF(AND(ISNUMBER(C182),C182=TODAY()),C182+ROW()/100000,"")</f>
        <v/>
      </c>
      <c r="K182" s="0" t="str">
        <f aca="true">IF(AND(ISNUMBER(C182),C182&gt;TODAY(),C182&lt;=TODAY()+7),C182+ROW()/100000,"")</f>
        <v/>
      </c>
      <c r="L182" s="0" t="str">
        <f aca="false">IF(AND(ISNUMBER(C182),C182=CALENDÁRIO!$L$4),ROW(),"")</f>
        <v/>
      </c>
    </row>
    <row r="183" customFormat="false" ht="15" hidden="false" customHeight="true" outlineLevel="0" collapsed="false">
      <c r="A183" s="52"/>
      <c r="B183" s="52"/>
      <c r="C183" s="51"/>
      <c r="D183" s="52"/>
      <c r="E183" s="53" t="str">
        <f aca="false">IF(ISNUMBER(C183),CHOOSE(WEEKDAY(C183),"Domingo","Segunda","Terça","Quarta","Quinta","Sexta","Sábado"),"")</f>
        <v/>
      </c>
      <c r="F183" s="53" t="str">
        <f aca="true">IF(NOT(ISNUMBER(C183)),"",IF(C183=TODAY(),"HOJE",IF(C183=TODAY()+1,"AMANHÃ",IF(C183&lt;TODAY(),"Realizada",IF(C183-TODAY()&lt;=7,"Em "&amp;(C183-TODAY())&amp;" dias","Agendada")))))</f>
        <v/>
      </c>
      <c r="G183" s="53" t="str">
        <f aca="false">IF(OR(A183="",NOT(ISNUMBER(C183))),"",IF(COUNTIFS($A$2:$A$301,A183,$C$2:$C$301,C183)&gt;1,"⚠ Folga duplicada",IF(COUNTIFS($B$2:$B$301,B183,$C$2:$C$301,C183)&gt;1,"⚠ "&amp;COUNTIFS($B$2:$B$301,B183,$C$2:$C$301,C183)&amp;" pessoas do setor de folga no dia","")))</f>
        <v/>
      </c>
      <c r="J183" s="0" t="str">
        <f aca="true">IF(AND(ISNUMBER(C183),C183=TODAY()),C183+ROW()/100000,"")</f>
        <v/>
      </c>
      <c r="K183" s="0" t="str">
        <f aca="true">IF(AND(ISNUMBER(C183),C183&gt;TODAY(),C183&lt;=TODAY()+7),C183+ROW()/100000,"")</f>
        <v/>
      </c>
      <c r="L183" s="0" t="str">
        <f aca="false">IF(AND(ISNUMBER(C183),C183=CALENDÁRIO!$L$4),ROW(),"")</f>
        <v/>
      </c>
    </row>
    <row r="184" customFormat="false" ht="15" hidden="false" customHeight="true" outlineLevel="0" collapsed="false">
      <c r="A184" s="52"/>
      <c r="B184" s="52"/>
      <c r="C184" s="51"/>
      <c r="D184" s="52"/>
      <c r="E184" s="53" t="str">
        <f aca="false">IF(ISNUMBER(C184),CHOOSE(WEEKDAY(C184),"Domingo","Segunda","Terça","Quarta","Quinta","Sexta","Sábado"),"")</f>
        <v/>
      </c>
      <c r="F184" s="53" t="str">
        <f aca="true">IF(NOT(ISNUMBER(C184)),"",IF(C184=TODAY(),"HOJE",IF(C184=TODAY()+1,"AMANHÃ",IF(C184&lt;TODAY(),"Realizada",IF(C184-TODAY()&lt;=7,"Em "&amp;(C184-TODAY())&amp;" dias","Agendada")))))</f>
        <v/>
      </c>
      <c r="G184" s="53" t="str">
        <f aca="false">IF(OR(A184="",NOT(ISNUMBER(C184))),"",IF(COUNTIFS($A$2:$A$301,A184,$C$2:$C$301,C184)&gt;1,"⚠ Folga duplicada",IF(COUNTIFS($B$2:$B$301,B184,$C$2:$C$301,C184)&gt;1,"⚠ "&amp;COUNTIFS($B$2:$B$301,B184,$C$2:$C$301,C184)&amp;" pessoas do setor de folga no dia","")))</f>
        <v/>
      </c>
      <c r="J184" s="0" t="str">
        <f aca="true">IF(AND(ISNUMBER(C184),C184=TODAY()),C184+ROW()/100000,"")</f>
        <v/>
      </c>
      <c r="K184" s="0" t="str">
        <f aca="true">IF(AND(ISNUMBER(C184),C184&gt;TODAY(),C184&lt;=TODAY()+7),C184+ROW()/100000,"")</f>
        <v/>
      </c>
      <c r="L184" s="0" t="str">
        <f aca="false">IF(AND(ISNUMBER(C184),C184=CALENDÁRIO!$L$4),ROW(),"")</f>
        <v/>
      </c>
    </row>
    <row r="185" customFormat="false" ht="15" hidden="false" customHeight="true" outlineLevel="0" collapsed="false">
      <c r="A185" s="52"/>
      <c r="B185" s="52"/>
      <c r="C185" s="51"/>
      <c r="D185" s="52"/>
      <c r="E185" s="53" t="str">
        <f aca="false">IF(ISNUMBER(C185),CHOOSE(WEEKDAY(C185),"Domingo","Segunda","Terça","Quarta","Quinta","Sexta","Sábado"),"")</f>
        <v/>
      </c>
      <c r="F185" s="53" t="str">
        <f aca="true">IF(NOT(ISNUMBER(C185)),"",IF(C185=TODAY(),"HOJE",IF(C185=TODAY()+1,"AMANHÃ",IF(C185&lt;TODAY(),"Realizada",IF(C185-TODAY()&lt;=7,"Em "&amp;(C185-TODAY())&amp;" dias","Agendada")))))</f>
        <v/>
      </c>
      <c r="G185" s="53" t="str">
        <f aca="false">IF(OR(A185="",NOT(ISNUMBER(C185))),"",IF(COUNTIFS($A$2:$A$301,A185,$C$2:$C$301,C185)&gt;1,"⚠ Folga duplicada",IF(COUNTIFS($B$2:$B$301,B185,$C$2:$C$301,C185)&gt;1,"⚠ "&amp;COUNTIFS($B$2:$B$301,B185,$C$2:$C$301,C185)&amp;" pessoas do setor de folga no dia","")))</f>
        <v/>
      </c>
      <c r="J185" s="0" t="str">
        <f aca="true">IF(AND(ISNUMBER(C185),C185=TODAY()),C185+ROW()/100000,"")</f>
        <v/>
      </c>
      <c r="K185" s="0" t="str">
        <f aca="true">IF(AND(ISNUMBER(C185),C185&gt;TODAY(),C185&lt;=TODAY()+7),C185+ROW()/100000,"")</f>
        <v/>
      </c>
      <c r="L185" s="0" t="str">
        <f aca="false">IF(AND(ISNUMBER(C185),C185=CALENDÁRIO!$L$4),ROW(),"")</f>
        <v/>
      </c>
    </row>
    <row r="186" customFormat="false" ht="15" hidden="false" customHeight="true" outlineLevel="0" collapsed="false">
      <c r="A186" s="52"/>
      <c r="B186" s="52"/>
      <c r="C186" s="51"/>
      <c r="D186" s="52"/>
      <c r="E186" s="53" t="str">
        <f aca="false">IF(ISNUMBER(C186),CHOOSE(WEEKDAY(C186),"Domingo","Segunda","Terça","Quarta","Quinta","Sexta","Sábado"),"")</f>
        <v/>
      </c>
      <c r="F186" s="53" t="str">
        <f aca="true">IF(NOT(ISNUMBER(C186)),"",IF(C186=TODAY(),"HOJE",IF(C186=TODAY()+1,"AMANHÃ",IF(C186&lt;TODAY(),"Realizada",IF(C186-TODAY()&lt;=7,"Em "&amp;(C186-TODAY())&amp;" dias","Agendada")))))</f>
        <v/>
      </c>
      <c r="G186" s="53" t="str">
        <f aca="false">IF(OR(A186="",NOT(ISNUMBER(C186))),"",IF(COUNTIFS($A$2:$A$301,A186,$C$2:$C$301,C186)&gt;1,"⚠ Folga duplicada",IF(COUNTIFS($B$2:$B$301,B186,$C$2:$C$301,C186)&gt;1,"⚠ "&amp;COUNTIFS($B$2:$B$301,B186,$C$2:$C$301,C186)&amp;" pessoas do setor de folga no dia","")))</f>
        <v/>
      </c>
      <c r="J186" s="0" t="str">
        <f aca="true">IF(AND(ISNUMBER(C186),C186=TODAY()),C186+ROW()/100000,"")</f>
        <v/>
      </c>
      <c r="K186" s="0" t="str">
        <f aca="true">IF(AND(ISNUMBER(C186),C186&gt;TODAY(),C186&lt;=TODAY()+7),C186+ROW()/100000,"")</f>
        <v/>
      </c>
      <c r="L186" s="0" t="str">
        <f aca="false">IF(AND(ISNUMBER(C186),C186=CALENDÁRIO!$L$4),ROW(),"")</f>
        <v/>
      </c>
    </row>
    <row r="187" customFormat="false" ht="15" hidden="false" customHeight="true" outlineLevel="0" collapsed="false">
      <c r="A187" s="52"/>
      <c r="B187" s="52"/>
      <c r="C187" s="51"/>
      <c r="D187" s="52"/>
      <c r="E187" s="53" t="str">
        <f aca="false">IF(ISNUMBER(C187),CHOOSE(WEEKDAY(C187),"Domingo","Segunda","Terça","Quarta","Quinta","Sexta","Sábado"),"")</f>
        <v/>
      </c>
      <c r="F187" s="53" t="str">
        <f aca="true">IF(NOT(ISNUMBER(C187)),"",IF(C187=TODAY(),"HOJE",IF(C187=TODAY()+1,"AMANHÃ",IF(C187&lt;TODAY(),"Realizada",IF(C187-TODAY()&lt;=7,"Em "&amp;(C187-TODAY())&amp;" dias","Agendada")))))</f>
        <v/>
      </c>
      <c r="G187" s="53" t="str">
        <f aca="false">IF(OR(A187="",NOT(ISNUMBER(C187))),"",IF(COUNTIFS($A$2:$A$301,A187,$C$2:$C$301,C187)&gt;1,"⚠ Folga duplicada",IF(COUNTIFS($B$2:$B$301,B187,$C$2:$C$301,C187)&gt;1,"⚠ "&amp;COUNTIFS($B$2:$B$301,B187,$C$2:$C$301,C187)&amp;" pessoas do setor de folga no dia","")))</f>
        <v/>
      </c>
      <c r="J187" s="0" t="str">
        <f aca="true">IF(AND(ISNUMBER(C187),C187=TODAY()),C187+ROW()/100000,"")</f>
        <v/>
      </c>
      <c r="K187" s="0" t="str">
        <f aca="true">IF(AND(ISNUMBER(C187),C187&gt;TODAY(),C187&lt;=TODAY()+7),C187+ROW()/100000,"")</f>
        <v/>
      </c>
      <c r="L187" s="0" t="str">
        <f aca="false">IF(AND(ISNUMBER(C187),C187=CALENDÁRIO!$L$4),ROW(),"")</f>
        <v/>
      </c>
    </row>
    <row r="188" customFormat="false" ht="15" hidden="false" customHeight="true" outlineLevel="0" collapsed="false">
      <c r="A188" s="52"/>
      <c r="B188" s="52"/>
      <c r="C188" s="51"/>
      <c r="D188" s="52"/>
      <c r="E188" s="53" t="str">
        <f aca="false">IF(ISNUMBER(C188),CHOOSE(WEEKDAY(C188),"Domingo","Segunda","Terça","Quarta","Quinta","Sexta","Sábado"),"")</f>
        <v/>
      </c>
      <c r="F188" s="53" t="str">
        <f aca="true">IF(NOT(ISNUMBER(C188)),"",IF(C188=TODAY(),"HOJE",IF(C188=TODAY()+1,"AMANHÃ",IF(C188&lt;TODAY(),"Realizada",IF(C188-TODAY()&lt;=7,"Em "&amp;(C188-TODAY())&amp;" dias","Agendada")))))</f>
        <v/>
      </c>
      <c r="G188" s="53" t="str">
        <f aca="false">IF(OR(A188="",NOT(ISNUMBER(C188))),"",IF(COUNTIFS($A$2:$A$301,A188,$C$2:$C$301,C188)&gt;1,"⚠ Folga duplicada",IF(COUNTIFS($B$2:$B$301,B188,$C$2:$C$301,C188)&gt;1,"⚠ "&amp;COUNTIFS($B$2:$B$301,B188,$C$2:$C$301,C188)&amp;" pessoas do setor de folga no dia","")))</f>
        <v/>
      </c>
      <c r="J188" s="0" t="str">
        <f aca="true">IF(AND(ISNUMBER(C188),C188=TODAY()),C188+ROW()/100000,"")</f>
        <v/>
      </c>
      <c r="K188" s="0" t="str">
        <f aca="true">IF(AND(ISNUMBER(C188),C188&gt;TODAY(),C188&lt;=TODAY()+7),C188+ROW()/100000,"")</f>
        <v/>
      </c>
      <c r="L188" s="0" t="str">
        <f aca="false">IF(AND(ISNUMBER(C188),C188=CALENDÁRIO!$L$4),ROW(),"")</f>
        <v/>
      </c>
    </row>
    <row r="189" customFormat="false" ht="15" hidden="false" customHeight="true" outlineLevel="0" collapsed="false">
      <c r="A189" s="52"/>
      <c r="B189" s="52"/>
      <c r="C189" s="51"/>
      <c r="D189" s="52"/>
      <c r="E189" s="53" t="str">
        <f aca="false">IF(ISNUMBER(C189),CHOOSE(WEEKDAY(C189),"Domingo","Segunda","Terça","Quarta","Quinta","Sexta","Sábado"),"")</f>
        <v/>
      </c>
      <c r="F189" s="53" t="str">
        <f aca="true">IF(NOT(ISNUMBER(C189)),"",IF(C189=TODAY(),"HOJE",IF(C189=TODAY()+1,"AMANHÃ",IF(C189&lt;TODAY(),"Realizada",IF(C189-TODAY()&lt;=7,"Em "&amp;(C189-TODAY())&amp;" dias","Agendada")))))</f>
        <v/>
      </c>
      <c r="G189" s="53" t="str">
        <f aca="false">IF(OR(A189="",NOT(ISNUMBER(C189))),"",IF(COUNTIFS($A$2:$A$301,A189,$C$2:$C$301,C189)&gt;1,"⚠ Folga duplicada",IF(COUNTIFS($B$2:$B$301,B189,$C$2:$C$301,C189)&gt;1,"⚠ "&amp;COUNTIFS($B$2:$B$301,B189,$C$2:$C$301,C189)&amp;" pessoas do setor de folga no dia","")))</f>
        <v/>
      </c>
      <c r="J189" s="0" t="str">
        <f aca="true">IF(AND(ISNUMBER(C189),C189=TODAY()),C189+ROW()/100000,"")</f>
        <v/>
      </c>
      <c r="K189" s="0" t="str">
        <f aca="true">IF(AND(ISNUMBER(C189),C189&gt;TODAY(),C189&lt;=TODAY()+7),C189+ROW()/100000,"")</f>
        <v/>
      </c>
      <c r="L189" s="0" t="str">
        <f aca="false">IF(AND(ISNUMBER(C189),C189=CALENDÁRIO!$L$4),ROW(),"")</f>
        <v/>
      </c>
    </row>
    <row r="190" customFormat="false" ht="15" hidden="false" customHeight="true" outlineLevel="0" collapsed="false">
      <c r="A190" s="52"/>
      <c r="B190" s="52"/>
      <c r="C190" s="51"/>
      <c r="D190" s="52"/>
      <c r="E190" s="53" t="str">
        <f aca="false">IF(ISNUMBER(C190),CHOOSE(WEEKDAY(C190),"Domingo","Segunda","Terça","Quarta","Quinta","Sexta","Sábado"),"")</f>
        <v/>
      </c>
      <c r="F190" s="53" t="str">
        <f aca="true">IF(NOT(ISNUMBER(C190)),"",IF(C190=TODAY(),"HOJE",IF(C190=TODAY()+1,"AMANHÃ",IF(C190&lt;TODAY(),"Realizada",IF(C190-TODAY()&lt;=7,"Em "&amp;(C190-TODAY())&amp;" dias","Agendada")))))</f>
        <v/>
      </c>
      <c r="G190" s="53" t="str">
        <f aca="false">IF(OR(A190="",NOT(ISNUMBER(C190))),"",IF(COUNTIFS($A$2:$A$301,A190,$C$2:$C$301,C190)&gt;1,"⚠ Folga duplicada",IF(COUNTIFS($B$2:$B$301,B190,$C$2:$C$301,C190)&gt;1,"⚠ "&amp;COUNTIFS($B$2:$B$301,B190,$C$2:$C$301,C190)&amp;" pessoas do setor de folga no dia","")))</f>
        <v/>
      </c>
      <c r="J190" s="0" t="str">
        <f aca="true">IF(AND(ISNUMBER(C190),C190=TODAY()),C190+ROW()/100000,"")</f>
        <v/>
      </c>
      <c r="K190" s="0" t="str">
        <f aca="true">IF(AND(ISNUMBER(C190),C190&gt;TODAY(),C190&lt;=TODAY()+7),C190+ROW()/100000,"")</f>
        <v/>
      </c>
      <c r="L190" s="0" t="str">
        <f aca="false">IF(AND(ISNUMBER(C190),C190=CALENDÁRIO!$L$4),ROW(),"")</f>
        <v/>
      </c>
    </row>
    <row r="191" customFormat="false" ht="15" hidden="false" customHeight="true" outlineLevel="0" collapsed="false">
      <c r="A191" s="52"/>
      <c r="B191" s="52"/>
      <c r="C191" s="51"/>
      <c r="D191" s="52"/>
      <c r="E191" s="53" t="str">
        <f aca="false">IF(ISNUMBER(C191),CHOOSE(WEEKDAY(C191),"Domingo","Segunda","Terça","Quarta","Quinta","Sexta","Sábado"),"")</f>
        <v/>
      </c>
      <c r="F191" s="53" t="str">
        <f aca="true">IF(NOT(ISNUMBER(C191)),"",IF(C191=TODAY(),"HOJE",IF(C191=TODAY()+1,"AMANHÃ",IF(C191&lt;TODAY(),"Realizada",IF(C191-TODAY()&lt;=7,"Em "&amp;(C191-TODAY())&amp;" dias","Agendada")))))</f>
        <v/>
      </c>
      <c r="G191" s="53" t="str">
        <f aca="false">IF(OR(A191="",NOT(ISNUMBER(C191))),"",IF(COUNTIFS($A$2:$A$301,A191,$C$2:$C$301,C191)&gt;1,"⚠ Folga duplicada",IF(COUNTIFS($B$2:$B$301,B191,$C$2:$C$301,C191)&gt;1,"⚠ "&amp;COUNTIFS($B$2:$B$301,B191,$C$2:$C$301,C191)&amp;" pessoas do setor de folga no dia","")))</f>
        <v/>
      </c>
      <c r="J191" s="0" t="str">
        <f aca="true">IF(AND(ISNUMBER(C191),C191=TODAY()),C191+ROW()/100000,"")</f>
        <v/>
      </c>
      <c r="K191" s="0" t="str">
        <f aca="true">IF(AND(ISNUMBER(C191),C191&gt;TODAY(),C191&lt;=TODAY()+7),C191+ROW()/100000,"")</f>
        <v/>
      </c>
      <c r="L191" s="0" t="str">
        <f aca="false">IF(AND(ISNUMBER(C191),C191=CALENDÁRIO!$L$4),ROW(),"")</f>
        <v/>
      </c>
    </row>
    <row r="192" customFormat="false" ht="15" hidden="false" customHeight="true" outlineLevel="0" collapsed="false">
      <c r="A192" s="52"/>
      <c r="B192" s="52"/>
      <c r="C192" s="51"/>
      <c r="D192" s="52"/>
      <c r="E192" s="53" t="str">
        <f aca="false">IF(ISNUMBER(C192),CHOOSE(WEEKDAY(C192),"Domingo","Segunda","Terça","Quarta","Quinta","Sexta","Sábado"),"")</f>
        <v/>
      </c>
      <c r="F192" s="53" t="str">
        <f aca="true">IF(NOT(ISNUMBER(C192)),"",IF(C192=TODAY(),"HOJE",IF(C192=TODAY()+1,"AMANHÃ",IF(C192&lt;TODAY(),"Realizada",IF(C192-TODAY()&lt;=7,"Em "&amp;(C192-TODAY())&amp;" dias","Agendada")))))</f>
        <v/>
      </c>
      <c r="G192" s="53" t="str">
        <f aca="false">IF(OR(A192="",NOT(ISNUMBER(C192))),"",IF(COUNTIFS($A$2:$A$301,A192,$C$2:$C$301,C192)&gt;1,"⚠ Folga duplicada",IF(COUNTIFS($B$2:$B$301,B192,$C$2:$C$301,C192)&gt;1,"⚠ "&amp;COUNTIFS($B$2:$B$301,B192,$C$2:$C$301,C192)&amp;" pessoas do setor de folga no dia","")))</f>
        <v/>
      </c>
      <c r="J192" s="0" t="str">
        <f aca="true">IF(AND(ISNUMBER(C192),C192=TODAY()),C192+ROW()/100000,"")</f>
        <v/>
      </c>
      <c r="K192" s="0" t="str">
        <f aca="true">IF(AND(ISNUMBER(C192),C192&gt;TODAY(),C192&lt;=TODAY()+7),C192+ROW()/100000,"")</f>
        <v/>
      </c>
      <c r="L192" s="0" t="str">
        <f aca="false">IF(AND(ISNUMBER(C192),C192=CALENDÁRIO!$L$4),ROW(),"")</f>
        <v/>
      </c>
    </row>
    <row r="193" customFormat="false" ht="15" hidden="false" customHeight="true" outlineLevel="0" collapsed="false">
      <c r="A193" s="52"/>
      <c r="B193" s="52"/>
      <c r="C193" s="51"/>
      <c r="D193" s="52"/>
      <c r="E193" s="53" t="str">
        <f aca="false">IF(ISNUMBER(C193),CHOOSE(WEEKDAY(C193),"Domingo","Segunda","Terça","Quarta","Quinta","Sexta","Sábado"),"")</f>
        <v/>
      </c>
      <c r="F193" s="53" t="str">
        <f aca="true">IF(NOT(ISNUMBER(C193)),"",IF(C193=TODAY(),"HOJE",IF(C193=TODAY()+1,"AMANHÃ",IF(C193&lt;TODAY(),"Realizada",IF(C193-TODAY()&lt;=7,"Em "&amp;(C193-TODAY())&amp;" dias","Agendada")))))</f>
        <v/>
      </c>
      <c r="G193" s="53" t="str">
        <f aca="false">IF(OR(A193="",NOT(ISNUMBER(C193))),"",IF(COUNTIFS($A$2:$A$301,A193,$C$2:$C$301,C193)&gt;1,"⚠ Folga duplicada",IF(COUNTIFS($B$2:$B$301,B193,$C$2:$C$301,C193)&gt;1,"⚠ "&amp;COUNTIFS($B$2:$B$301,B193,$C$2:$C$301,C193)&amp;" pessoas do setor de folga no dia","")))</f>
        <v/>
      </c>
      <c r="J193" s="0" t="str">
        <f aca="true">IF(AND(ISNUMBER(C193),C193=TODAY()),C193+ROW()/100000,"")</f>
        <v/>
      </c>
      <c r="K193" s="0" t="str">
        <f aca="true">IF(AND(ISNUMBER(C193),C193&gt;TODAY(),C193&lt;=TODAY()+7),C193+ROW()/100000,"")</f>
        <v/>
      </c>
      <c r="L193" s="0" t="str">
        <f aca="false">IF(AND(ISNUMBER(C193),C193=CALENDÁRIO!$L$4),ROW(),"")</f>
        <v/>
      </c>
    </row>
    <row r="194" customFormat="false" ht="15" hidden="false" customHeight="true" outlineLevel="0" collapsed="false">
      <c r="A194" s="52"/>
      <c r="B194" s="52"/>
      <c r="C194" s="51"/>
      <c r="D194" s="52"/>
      <c r="E194" s="53" t="str">
        <f aca="false">IF(ISNUMBER(C194),CHOOSE(WEEKDAY(C194),"Domingo","Segunda","Terça","Quarta","Quinta","Sexta","Sábado"),"")</f>
        <v/>
      </c>
      <c r="F194" s="53" t="str">
        <f aca="true">IF(NOT(ISNUMBER(C194)),"",IF(C194=TODAY(),"HOJE",IF(C194=TODAY()+1,"AMANHÃ",IF(C194&lt;TODAY(),"Realizada",IF(C194-TODAY()&lt;=7,"Em "&amp;(C194-TODAY())&amp;" dias","Agendada")))))</f>
        <v/>
      </c>
      <c r="G194" s="53" t="str">
        <f aca="false">IF(OR(A194="",NOT(ISNUMBER(C194))),"",IF(COUNTIFS($A$2:$A$301,A194,$C$2:$C$301,C194)&gt;1,"⚠ Folga duplicada",IF(COUNTIFS($B$2:$B$301,B194,$C$2:$C$301,C194)&gt;1,"⚠ "&amp;COUNTIFS($B$2:$B$301,B194,$C$2:$C$301,C194)&amp;" pessoas do setor de folga no dia","")))</f>
        <v/>
      </c>
      <c r="J194" s="0" t="str">
        <f aca="true">IF(AND(ISNUMBER(C194),C194=TODAY()),C194+ROW()/100000,"")</f>
        <v/>
      </c>
      <c r="K194" s="0" t="str">
        <f aca="true">IF(AND(ISNUMBER(C194),C194&gt;TODAY(),C194&lt;=TODAY()+7),C194+ROW()/100000,"")</f>
        <v/>
      </c>
      <c r="L194" s="0" t="str">
        <f aca="false">IF(AND(ISNUMBER(C194),C194=CALENDÁRIO!$L$4),ROW(),"")</f>
        <v/>
      </c>
    </row>
    <row r="195" customFormat="false" ht="15" hidden="false" customHeight="true" outlineLevel="0" collapsed="false">
      <c r="A195" s="52"/>
      <c r="B195" s="52"/>
      <c r="C195" s="51"/>
      <c r="D195" s="52"/>
      <c r="E195" s="53" t="str">
        <f aca="false">IF(ISNUMBER(C195),CHOOSE(WEEKDAY(C195),"Domingo","Segunda","Terça","Quarta","Quinta","Sexta","Sábado"),"")</f>
        <v/>
      </c>
      <c r="F195" s="53" t="str">
        <f aca="true">IF(NOT(ISNUMBER(C195)),"",IF(C195=TODAY(),"HOJE",IF(C195=TODAY()+1,"AMANHÃ",IF(C195&lt;TODAY(),"Realizada",IF(C195-TODAY()&lt;=7,"Em "&amp;(C195-TODAY())&amp;" dias","Agendada")))))</f>
        <v/>
      </c>
      <c r="G195" s="53" t="str">
        <f aca="false">IF(OR(A195="",NOT(ISNUMBER(C195))),"",IF(COUNTIFS($A$2:$A$301,A195,$C$2:$C$301,C195)&gt;1,"⚠ Folga duplicada",IF(COUNTIFS($B$2:$B$301,B195,$C$2:$C$301,C195)&gt;1,"⚠ "&amp;COUNTIFS($B$2:$B$301,B195,$C$2:$C$301,C195)&amp;" pessoas do setor de folga no dia","")))</f>
        <v/>
      </c>
      <c r="J195" s="0" t="str">
        <f aca="true">IF(AND(ISNUMBER(C195),C195=TODAY()),C195+ROW()/100000,"")</f>
        <v/>
      </c>
      <c r="K195" s="0" t="str">
        <f aca="true">IF(AND(ISNUMBER(C195),C195&gt;TODAY(),C195&lt;=TODAY()+7),C195+ROW()/100000,"")</f>
        <v/>
      </c>
      <c r="L195" s="0" t="str">
        <f aca="false">IF(AND(ISNUMBER(C195),C195=CALENDÁRIO!$L$4),ROW(),"")</f>
        <v/>
      </c>
    </row>
    <row r="196" customFormat="false" ht="15" hidden="false" customHeight="true" outlineLevel="0" collapsed="false">
      <c r="A196" s="52"/>
      <c r="B196" s="52"/>
      <c r="C196" s="51"/>
      <c r="D196" s="52"/>
      <c r="E196" s="53" t="str">
        <f aca="false">IF(ISNUMBER(C196),CHOOSE(WEEKDAY(C196),"Domingo","Segunda","Terça","Quarta","Quinta","Sexta","Sábado"),"")</f>
        <v/>
      </c>
      <c r="F196" s="53" t="str">
        <f aca="true">IF(NOT(ISNUMBER(C196)),"",IF(C196=TODAY(),"HOJE",IF(C196=TODAY()+1,"AMANHÃ",IF(C196&lt;TODAY(),"Realizada",IF(C196-TODAY()&lt;=7,"Em "&amp;(C196-TODAY())&amp;" dias","Agendada")))))</f>
        <v/>
      </c>
      <c r="G196" s="53" t="str">
        <f aca="false">IF(OR(A196="",NOT(ISNUMBER(C196))),"",IF(COUNTIFS($A$2:$A$301,A196,$C$2:$C$301,C196)&gt;1,"⚠ Folga duplicada",IF(COUNTIFS($B$2:$B$301,B196,$C$2:$C$301,C196)&gt;1,"⚠ "&amp;COUNTIFS($B$2:$B$301,B196,$C$2:$C$301,C196)&amp;" pessoas do setor de folga no dia","")))</f>
        <v/>
      </c>
      <c r="J196" s="0" t="str">
        <f aca="true">IF(AND(ISNUMBER(C196),C196=TODAY()),C196+ROW()/100000,"")</f>
        <v/>
      </c>
      <c r="K196" s="0" t="str">
        <f aca="true">IF(AND(ISNUMBER(C196),C196&gt;TODAY(),C196&lt;=TODAY()+7),C196+ROW()/100000,"")</f>
        <v/>
      </c>
      <c r="L196" s="0" t="str">
        <f aca="false">IF(AND(ISNUMBER(C196),C196=CALENDÁRIO!$L$4),ROW(),"")</f>
        <v/>
      </c>
    </row>
    <row r="197" customFormat="false" ht="15" hidden="false" customHeight="true" outlineLevel="0" collapsed="false">
      <c r="A197" s="52"/>
      <c r="B197" s="52"/>
      <c r="C197" s="51"/>
      <c r="D197" s="52"/>
      <c r="E197" s="53" t="str">
        <f aca="false">IF(ISNUMBER(C197),CHOOSE(WEEKDAY(C197),"Domingo","Segunda","Terça","Quarta","Quinta","Sexta","Sábado"),"")</f>
        <v/>
      </c>
      <c r="F197" s="53" t="str">
        <f aca="true">IF(NOT(ISNUMBER(C197)),"",IF(C197=TODAY(),"HOJE",IF(C197=TODAY()+1,"AMANHÃ",IF(C197&lt;TODAY(),"Realizada",IF(C197-TODAY()&lt;=7,"Em "&amp;(C197-TODAY())&amp;" dias","Agendada")))))</f>
        <v/>
      </c>
      <c r="G197" s="53" t="str">
        <f aca="false">IF(OR(A197="",NOT(ISNUMBER(C197))),"",IF(COUNTIFS($A$2:$A$301,A197,$C$2:$C$301,C197)&gt;1,"⚠ Folga duplicada",IF(COUNTIFS($B$2:$B$301,B197,$C$2:$C$301,C197)&gt;1,"⚠ "&amp;COUNTIFS($B$2:$B$301,B197,$C$2:$C$301,C197)&amp;" pessoas do setor de folga no dia","")))</f>
        <v/>
      </c>
      <c r="J197" s="0" t="str">
        <f aca="true">IF(AND(ISNUMBER(C197),C197=TODAY()),C197+ROW()/100000,"")</f>
        <v/>
      </c>
      <c r="K197" s="0" t="str">
        <f aca="true">IF(AND(ISNUMBER(C197),C197&gt;TODAY(),C197&lt;=TODAY()+7),C197+ROW()/100000,"")</f>
        <v/>
      </c>
      <c r="L197" s="0" t="str">
        <f aca="false">IF(AND(ISNUMBER(C197),C197=CALENDÁRIO!$L$4),ROW(),"")</f>
        <v/>
      </c>
    </row>
    <row r="198" customFormat="false" ht="15" hidden="false" customHeight="true" outlineLevel="0" collapsed="false">
      <c r="A198" s="52"/>
      <c r="B198" s="52"/>
      <c r="C198" s="51"/>
      <c r="D198" s="52"/>
      <c r="E198" s="53" t="str">
        <f aca="false">IF(ISNUMBER(C198),CHOOSE(WEEKDAY(C198),"Domingo","Segunda","Terça","Quarta","Quinta","Sexta","Sábado"),"")</f>
        <v/>
      </c>
      <c r="F198" s="53" t="str">
        <f aca="true">IF(NOT(ISNUMBER(C198)),"",IF(C198=TODAY(),"HOJE",IF(C198=TODAY()+1,"AMANHÃ",IF(C198&lt;TODAY(),"Realizada",IF(C198-TODAY()&lt;=7,"Em "&amp;(C198-TODAY())&amp;" dias","Agendada")))))</f>
        <v/>
      </c>
      <c r="G198" s="53" t="str">
        <f aca="false">IF(OR(A198="",NOT(ISNUMBER(C198))),"",IF(COUNTIFS($A$2:$A$301,A198,$C$2:$C$301,C198)&gt;1,"⚠ Folga duplicada",IF(COUNTIFS($B$2:$B$301,B198,$C$2:$C$301,C198)&gt;1,"⚠ "&amp;COUNTIFS($B$2:$B$301,B198,$C$2:$C$301,C198)&amp;" pessoas do setor de folga no dia","")))</f>
        <v/>
      </c>
      <c r="J198" s="0" t="str">
        <f aca="true">IF(AND(ISNUMBER(C198),C198=TODAY()),C198+ROW()/100000,"")</f>
        <v/>
      </c>
      <c r="K198" s="0" t="str">
        <f aca="true">IF(AND(ISNUMBER(C198),C198&gt;TODAY(),C198&lt;=TODAY()+7),C198+ROW()/100000,"")</f>
        <v/>
      </c>
      <c r="L198" s="0" t="str">
        <f aca="false">IF(AND(ISNUMBER(C198),C198=CALENDÁRIO!$L$4),ROW(),"")</f>
        <v/>
      </c>
    </row>
    <row r="199" customFormat="false" ht="15" hidden="false" customHeight="true" outlineLevel="0" collapsed="false">
      <c r="A199" s="52"/>
      <c r="B199" s="52"/>
      <c r="C199" s="51"/>
      <c r="D199" s="52"/>
      <c r="E199" s="53" t="str">
        <f aca="false">IF(ISNUMBER(C199),CHOOSE(WEEKDAY(C199),"Domingo","Segunda","Terça","Quarta","Quinta","Sexta","Sábado"),"")</f>
        <v/>
      </c>
      <c r="F199" s="53" t="str">
        <f aca="true">IF(NOT(ISNUMBER(C199)),"",IF(C199=TODAY(),"HOJE",IF(C199=TODAY()+1,"AMANHÃ",IF(C199&lt;TODAY(),"Realizada",IF(C199-TODAY()&lt;=7,"Em "&amp;(C199-TODAY())&amp;" dias","Agendada")))))</f>
        <v/>
      </c>
      <c r="G199" s="53" t="str">
        <f aca="false">IF(OR(A199="",NOT(ISNUMBER(C199))),"",IF(COUNTIFS($A$2:$A$301,A199,$C$2:$C$301,C199)&gt;1,"⚠ Folga duplicada",IF(COUNTIFS($B$2:$B$301,B199,$C$2:$C$301,C199)&gt;1,"⚠ "&amp;COUNTIFS($B$2:$B$301,B199,$C$2:$C$301,C199)&amp;" pessoas do setor de folga no dia","")))</f>
        <v/>
      </c>
      <c r="J199" s="0" t="str">
        <f aca="true">IF(AND(ISNUMBER(C199),C199=TODAY()),C199+ROW()/100000,"")</f>
        <v/>
      </c>
      <c r="K199" s="0" t="str">
        <f aca="true">IF(AND(ISNUMBER(C199),C199&gt;TODAY(),C199&lt;=TODAY()+7),C199+ROW()/100000,"")</f>
        <v/>
      </c>
      <c r="L199" s="0" t="str">
        <f aca="false">IF(AND(ISNUMBER(C199),C199=CALENDÁRIO!$L$4),ROW(),"")</f>
        <v/>
      </c>
    </row>
    <row r="200" customFormat="false" ht="15" hidden="false" customHeight="true" outlineLevel="0" collapsed="false">
      <c r="A200" s="52"/>
      <c r="B200" s="52"/>
      <c r="C200" s="51"/>
      <c r="D200" s="52"/>
      <c r="E200" s="53" t="str">
        <f aca="false">IF(ISNUMBER(C200),CHOOSE(WEEKDAY(C200),"Domingo","Segunda","Terça","Quarta","Quinta","Sexta","Sábado"),"")</f>
        <v/>
      </c>
      <c r="F200" s="53" t="str">
        <f aca="true">IF(NOT(ISNUMBER(C200)),"",IF(C200=TODAY(),"HOJE",IF(C200=TODAY()+1,"AMANHÃ",IF(C200&lt;TODAY(),"Realizada",IF(C200-TODAY()&lt;=7,"Em "&amp;(C200-TODAY())&amp;" dias","Agendada")))))</f>
        <v/>
      </c>
      <c r="G200" s="53" t="str">
        <f aca="false">IF(OR(A200="",NOT(ISNUMBER(C200))),"",IF(COUNTIFS($A$2:$A$301,A200,$C$2:$C$301,C200)&gt;1,"⚠ Folga duplicada",IF(COUNTIFS($B$2:$B$301,B200,$C$2:$C$301,C200)&gt;1,"⚠ "&amp;COUNTIFS($B$2:$B$301,B200,$C$2:$C$301,C200)&amp;" pessoas do setor de folga no dia","")))</f>
        <v/>
      </c>
      <c r="J200" s="0" t="str">
        <f aca="true">IF(AND(ISNUMBER(C200),C200=TODAY()),C200+ROW()/100000,"")</f>
        <v/>
      </c>
      <c r="K200" s="0" t="str">
        <f aca="true">IF(AND(ISNUMBER(C200),C200&gt;TODAY(),C200&lt;=TODAY()+7),C200+ROW()/100000,"")</f>
        <v/>
      </c>
      <c r="L200" s="0" t="str">
        <f aca="false">IF(AND(ISNUMBER(C200),C200=CALENDÁRIO!$L$4),ROW(),"")</f>
        <v/>
      </c>
    </row>
    <row r="201" customFormat="false" ht="15" hidden="false" customHeight="true" outlineLevel="0" collapsed="false">
      <c r="A201" s="52"/>
      <c r="B201" s="52"/>
      <c r="C201" s="51"/>
      <c r="D201" s="52"/>
      <c r="E201" s="53" t="str">
        <f aca="false">IF(ISNUMBER(C201),CHOOSE(WEEKDAY(C201),"Domingo","Segunda","Terça","Quarta","Quinta","Sexta","Sábado"),"")</f>
        <v/>
      </c>
      <c r="F201" s="53" t="str">
        <f aca="true">IF(NOT(ISNUMBER(C201)),"",IF(C201=TODAY(),"HOJE",IF(C201=TODAY()+1,"AMANHÃ",IF(C201&lt;TODAY(),"Realizada",IF(C201-TODAY()&lt;=7,"Em "&amp;(C201-TODAY())&amp;" dias","Agendada")))))</f>
        <v/>
      </c>
      <c r="G201" s="53" t="str">
        <f aca="false">IF(OR(A201="",NOT(ISNUMBER(C201))),"",IF(COUNTIFS($A$2:$A$301,A201,$C$2:$C$301,C201)&gt;1,"⚠ Folga duplicada",IF(COUNTIFS($B$2:$B$301,B201,$C$2:$C$301,C201)&gt;1,"⚠ "&amp;COUNTIFS($B$2:$B$301,B201,$C$2:$C$301,C201)&amp;" pessoas do setor de folga no dia","")))</f>
        <v/>
      </c>
      <c r="J201" s="0" t="str">
        <f aca="true">IF(AND(ISNUMBER(C201),C201=TODAY()),C201+ROW()/100000,"")</f>
        <v/>
      </c>
      <c r="K201" s="0" t="str">
        <f aca="true">IF(AND(ISNUMBER(C201),C201&gt;TODAY(),C201&lt;=TODAY()+7),C201+ROW()/100000,"")</f>
        <v/>
      </c>
      <c r="L201" s="0" t="str">
        <f aca="false">IF(AND(ISNUMBER(C201),C201=CALENDÁRIO!$L$4),ROW(),"")</f>
        <v/>
      </c>
    </row>
    <row r="202" customFormat="false" ht="15" hidden="false" customHeight="true" outlineLevel="0" collapsed="false">
      <c r="A202" s="52"/>
      <c r="B202" s="52"/>
      <c r="C202" s="51"/>
      <c r="D202" s="52"/>
      <c r="E202" s="53" t="str">
        <f aca="false">IF(ISNUMBER(C202),CHOOSE(WEEKDAY(C202),"Domingo","Segunda","Terça","Quarta","Quinta","Sexta","Sábado"),"")</f>
        <v/>
      </c>
      <c r="F202" s="53" t="str">
        <f aca="true">IF(NOT(ISNUMBER(C202)),"",IF(C202=TODAY(),"HOJE",IF(C202=TODAY()+1,"AMANHÃ",IF(C202&lt;TODAY(),"Realizada",IF(C202-TODAY()&lt;=7,"Em "&amp;(C202-TODAY())&amp;" dias","Agendada")))))</f>
        <v/>
      </c>
      <c r="G202" s="53" t="str">
        <f aca="false">IF(OR(A202="",NOT(ISNUMBER(C202))),"",IF(COUNTIFS($A$2:$A$301,A202,$C$2:$C$301,C202)&gt;1,"⚠ Folga duplicada",IF(COUNTIFS($B$2:$B$301,B202,$C$2:$C$301,C202)&gt;1,"⚠ "&amp;COUNTIFS($B$2:$B$301,B202,$C$2:$C$301,C202)&amp;" pessoas do setor de folga no dia","")))</f>
        <v/>
      </c>
      <c r="J202" s="0" t="str">
        <f aca="true">IF(AND(ISNUMBER(C202),C202=TODAY()),C202+ROW()/100000,"")</f>
        <v/>
      </c>
      <c r="K202" s="0" t="str">
        <f aca="true">IF(AND(ISNUMBER(C202),C202&gt;TODAY(),C202&lt;=TODAY()+7),C202+ROW()/100000,"")</f>
        <v/>
      </c>
      <c r="L202" s="0" t="str">
        <f aca="false">IF(AND(ISNUMBER(C202),C202=CALENDÁRIO!$L$4),ROW(),"")</f>
        <v/>
      </c>
    </row>
    <row r="203" customFormat="false" ht="15" hidden="false" customHeight="true" outlineLevel="0" collapsed="false">
      <c r="A203" s="52"/>
      <c r="B203" s="52"/>
      <c r="C203" s="51"/>
      <c r="D203" s="52"/>
      <c r="E203" s="53" t="str">
        <f aca="false">IF(ISNUMBER(C203),CHOOSE(WEEKDAY(C203),"Domingo","Segunda","Terça","Quarta","Quinta","Sexta","Sábado"),"")</f>
        <v/>
      </c>
      <c r="F203" s="53" t="str">
        <f aca="true">IF(NOT(ISNUMBER(C203)),"",IF(C203=TODAY(),"HOJE",IF(C203=TODAY()+1,"AMANHÃ",IF(C203&lt;TODAY(),"Realizada",IF(C203-TODAY()&lt;=7,"Em "&amp;(C203-TODAY())&amp;" dias","Agendada")))))</f>
        <v/>
      </c>
      <c r="G203" s="53" t="str">
        <f aca="false">IF(OR(A203="",NOT(ISNUMBER(C203))),"",IF(COUNTIFS($A$2:$A$301,A203,$C$2:$C$301,C203)&gt;1,"⚠ Folga duplicada",IF(COUNTIFS($B$2:$B$301,B203,$C$2:$C$301,C203)&gt;1,"⚠ "&amp;COUNTIFS($B$2:$B$301,B203,$C$2:$C$301,C203)&amp;" pessoas do setor de folga no dia","")))</f>
        <v/>
      </c>
      <c r="J203" s="0" t="str">
        <f aca="true">IF(AND(ISNUMBER(C203),C203=TODAY()),C203+ROW()/100000,"")</f>
        <v/>
      </c>
      <c r="K203" s="0" t="str">
        <f aca="true">IF(AND(ISNUMBER(C203),C203&gt;TODAY(),C203&lt;=TODAY()+7),C203+ROW()/100000,"")</f>
        <v/>
      </c>
      <c r="L203" s="0" t="str">
        <f aca="false">IF(AND(ISNUMBER(C203),C203=CALENDÁRIO!$L$4),ROW(),"")</f>
        <v/>
      </c>
    </row>
    <row r="204" customFormat="false" ht="15" hidden="false" customHeight="true" outlineLevel="0" collapsed="false">
      <c r="A204" s="52"/>
      <c r="B204" s="52"/>
      <c r="C204" s="51"/>
      <c r="D204" s="52"/>
      <c r="E204" s="53" t="str">
        <f aca="false">IF(ISNUMBER(C204),CHOOSE(WEEKDAY(C204),"Domingo","Segunda","Terça","Quarta","Quinta","Sexta","Sábado"),"")</f>
        <v/>
      </c>
      <c r="F204" s="53" t="str">
        <f aca="true">IF(NOT(ISNUMBER(C204)),"",IF(C204=TODAY(),"HOJE",IF(C204=TODAY()+1,"AMANHÃ",IF(C204&lt;TODAY(),"Realizada",IF(C204-TODAY()&lt;=7,"Em "&amp;(C204-TODAY())&amp;" dias","Agendada")))))</f>
        <v/>
      </c>
      <c r="G204" s="53" t="str">
        <f aca="false">IF(OR(A204="",NOT(ISNUMBER(C204))),"",IF(COUNTIFS($A$2:$A$301,A204,$C$2:$C$301,C204)&gt;1,"⚠ Folga duplicada",IF(COUNTIFS($B$2:$B$301,B204,$C$2:$C$301,C204)&gt;1,"⚠ "&amp;COUNTIFS($B$2:$B$301,B204,$C$2:$C$301,C204)&amp;" pessoas do setor de folga no dia","")))</f>
        <v/>
      </c>
      <c r="J204" s="0" t="str">
        <f aca="true">IF(AND(ISNUMBER(C204),C204=TODAY()),C204+ROW()/100000,"")</f>
        <v/>
      </c>
      <c r="K204" s="0" t="str">
        <f aca="true">IF(AND(ISNUMBER(C204),C204&gt;TODAY(),C204&lt;=TODAY()+7),C204+ROW()/100000,"")</f>
        <v/>
      </c>
      <c r="L204" s="0" t="str">
        <f aca="false">IF(AND(ISNUMBER(C204),C204=CALENDÁRIO!$L$4),ROW(),"")</f>
        <v/>
      </c>
    </row>
    <row r="205" customFormat="false" ht="15" hidden="false" customHeight="true" outlineLevel="0" collapsed="false">
      <c r="A205" s="52"/>
      <c r="B205" s="52"/>
      <c r="C205" s="51"/>
      <c r="D205" s="52"/>
      <c r="E205" s="53" t="str">
        <f aca="false">IF(ISNUMBER(C205),CHOOSE(WEEKDAY(C205),"Domingo","Segunda","Terça","Quarta","Quinta","Sexta","Sábado"),"")</f>
        <v/>
      </c>
      <c r="F205" s="53" t="str">
        <f aca="true">IF(NOT(ISNUMBER(C205)),"",IF(C205=TODAY(),"HOJE",IF(C205=TODAY()+1,"AMANHÃ",IF(C205&lt;TODAY(),"Realizada",IF(C205-TODAY()&lt;=7,"Em "&amp;(C205-TODAY())&amp;" dias","Agendada")))))</f>
        <v/>
      </c>
      <c r="G205" s="53" t="str">
        <f aca="false">IF(OR(A205="",NOT(ISNUMBER(C205))),"",IF(COUNTIFS($A$2:$A$301,A205,$C$2:$C$301,C205)&gt;1,"⚠ Folga duplicada",IF(COUNTIFS($B$2:$B$301,B205,$C$2:$C$301,C205)&gt;1,"⚠ "&amp;COUNTIFS($B$2:$B$301,B205,$C$2:$C$301,C205)&amp;" pessoas do setor de folga no dia","")))</f>
        <v/>
      </c>
      <c r="J205" s="0" t="str">
        <f aca="true">IF(AND(ISNUMBER(C205),C205=TODAY()),C205+ROW()/100000,"")</f>
        <v/>
      </c>
      <c r="K205" s="0" t="str">
        <f aca="true">IF(AND(ISNUMBER(C205),C205&gt;TODAY(),C205&lt;=TODAY()+7),C205+ROW()/100000,"")</f>
        <v/>
      </c>
      <c r="L205" s="0" t="str">
        <f aca="false">IF(AND(ISNUMBER(C205),C205=CALENDÁRIO!$L$4),ROW(),"")</f>
        <v/>
      </c>
    </row>
    <row r="206" customFormat="false" ht="15" hidden="false" customHeight="true" outlineLevel="0" collapsed="false">
      <c r="A206" s="52"/>
      <c r="B206" s="52"/>
      <c r="C206" s="51"/>
      <c r="D206" s="52"/>
      <c r="E206" s="53" t="str">
        <f aca="false">IF(ISNUMBER(C206),CHOOSE(WEEKDAY(C206),"Domingo","Segunda","Terça","Quarta","Quinta","Sexta","Sábado"),"")</f>
        <v/>
      </c>
      <c r="F206" s="53" t="str">
        <f aca="true">IF(NOT(ISNUMBER(C206)),"",IF(C206=TODAY(),"HOJE",IF(C206=TODAY()+1,"AMANHÃ",IF(C206&lt;TODAY(),"Realizada",IF(C206-TODAY()&lt;=7,"Em "&amp;(C206-TODAY())&amp;" dias","Agendada")))))</f>
        <v/>
      </c>
      <c r="G206" s="53" t="str">
        <f aca="false">IF(OR(A206="",NOT(ISNUMBER(C206))),"",IF(COUNTIFS($A$2:$A$301,A206,$C$2:$C$301,C206)&gt;1,"⚠ Folga duplicada",IF(COUNTIFS($B$2:$B$301,B206,$C$2:$C$301,C206)&gt;1,"⚠ "&amp;COUNTIFS($B$2:$B$301,B206,$C$2:$C$301,C206)&amp;" pessoas do setor de folga no dia","")))</f>
        <v/>
      </c>
      <c r="J206" s="0" t="str">
        <f aca="true">IF(AND(ISNUMBER(C206),C206=TODAY()),C206+ROW()/100000,"")</f>
        <v/>
      </c>
      <c r="K206" s="0" t="str">
        <f aca="true">IF(AND(ISNUMBER(C206),C206&gt;TODAY(),C206&lt;=TODAY()+7),C206+ROW()/100000,"")</f>
        <v/>
      </c>
      <c r="L206" s="0" t="str">
        <f aca="false">IF(AND(ISNUMBER(C206),C206=CALENDÁRIO!$L$4),ROW(),"")</f>
        <v/>
      </c>
    </row>
    <row r="207" customFormat="false" ht="15" hidden="false" customHeight="true" outlineLevel="0" collapsed="false">
      <c r="A207" s="52"/>
      <c r="B207" s="52"/>
      <c r="C207" s="51"/>
      <c r="D207" s="52"/>
      <c r="E207" s="53" t="str">
        <f aca="false">IF(ISNUMBER(C207),CHOOSE(WEEKDAY(C207),"Domingo","Segunda","Terça","Quarta","Quinta","Sexta","Sábado"),"")</f>
        <v/>
      </c>
      <c r="F207" s="53" t="str">
        <f aca="true">IF(NOT(ISNUMBER(C207)),"",IF(C207=TODAY(),"HOJE",IF(C207=TODAY()+1,"AMANHÃ",IF(C207&lt;TODAY(),"Realizada",IF(C207-TODAY()&lt;=7,"Em "&amp;(C207-TODAY())&amp;" dias","Agendada")))))</f>
        <v/>
      </c>
      <c r="G207" s="53" t="str">
        <f aca="false">IF(OR(A207="",NOT(ISNUMBER(C207))),"",IF(COUNTIFS($A$2:$A$301,A207,$C$2:$C$301,C207)&gt;1,"⚠ Folga duplicada",IF(COUNTIFS($B$2:$B$301,B207,$C$2:$C$301,C207)&gt;1,"⚠ "&amp;COUNTIFS($B$2:$B$301,B207,$C$2:$C$301,C207)&amp;" pessoas do setor de folga no dia","")))</f>
        <v/>
      </c>
      <c r="J207" s="0" t="str">
        <f aca="true">IF(AND(ISNUMBER(C207),C207=TODAY()),C207+ROW()/100000,"")</f>
        <v/>
      </c>
      <c r="K207" s="0" t="str">
        <f aca="true">IF(AND(ISNUMBER(C207),C207&gt;TODAY(),C207&lt;=TODAY()+7),C207+ROW()/100000,"")</f>
        <v/>
      </c>
      <c r="L207" s="0" t="str">
        <f aca="false">IF(AND(ISNUMBER(C207),C207=CALENDÁRIO!$L$4),ROW(),"")</f>
        <v/>
      </c>
    </row>
    <row r="208" customFormat="false" ht="15" hidden="false" customHeight="true" outlineLevel="0" collapsed="false">
      <c r="A208" s="52"/>
      <c r="B208" s="52"/>
      <c r="C208" s="51"/>
      <c r="D208" s="52"/>
      <c r="E208" s="53" t="str">
        <f aca="false">IF(ISNUMBER(C208),CHOOSE(WEEKDAY(C208),"Domingo","Segunda","Terça","Quarta","Quinta","Sexta","Sábado"),"")</f>
        <v/>
      </c>
      <c r="F208" s="53" t="str">
        <f aca="true">IF(NOT(ISNUMBER(C208)),"",IF(C208=TODAY(),"HOJE",IF(C208=TODAY()+1,"AMANHÃ",IF(C208&lt;TODAY(),"Realizada",IF(C208-TODAY()&lt;=7,"Em "&amp;(C208-TODAY())&amp;" dias","Agendada")))))</f>
        <v/>
      </c>
      <c r="G208" s="53" t="str">
        <f aca="false">IF(OR(A208="",NOT(ISNUMBER(C208))),"",IF(COUNTIFS($A$2:$A$301,A208,$C$2:$C$301,C208)&gt;1,"⚠ Folga duplicada",IF(COUNTIFS($B$2:$B$301,B208,$C$2:$C$301,C208)&gt;1,"⚠ "&amp;COUNTIFS($B$2:$B$301,B208,$C$2:$C$301,C208)&amp;" pessoas do setor de folga no dia","")))</f>
        <v/>
      </c>
      <c r="J208" s="0" t="str">
        <f aca="true">IF(AND(ISNUMBER(C208),C208=TODAY()),C208+ROW()/100000,"")</f>
        <v/>
      </c>
      <c r="K208" s="0" t="str">
        <f aca="true">IF(AND(ISNUMBER(C208),C208&gt;TODAY(),C208&lt;=TODAY()+7),C208+ROW()/100000,"")</f>
        <v/>
      </c>
      <c r="L208" s="0" t="str">
        <f aca="false">IF(AND(ISNUMBER(C208),C208=CALENDÁRIO!$L$4),ROW(),"")</f>
        <v/>
      </c>
    </row>
    <row r="209" customFormat="false" ht="15" hidden="false" customHeight="true" outlineLevel="0" collapsed="false">
      <c r="A209" s="52"/>
      <c r="B209" s="52"/>
      <c r="C209" s="51"/>
      <c r="D209" s="52"/>
      <c r="E209" s="53" t="str">
        <f aca="false">IF(ISNUMBER(C209),CHOOSE(WEEKDAY(C209),"Domingo","Segunda","Terça","Quarta","Quinta","Sexta","Sábado"),"")</f>
        <v/>
      </c>
      <c r="F209" s="53" t="str">
        <f aca="true">IF(NOT(ISNUMBER(C209)),"",IF(C209=TODAY(),"HOJE",IF(C209=TODAY()+1,"AMANHÃ",IF(C209&lt;TODAY(),"Realizada",IF(C209-TODAY()&lt;=7,"Em "&amp;(C209-TODAY())&amp;" dias","Agendada")))))</f>
        <v/>
      </c>
      <c r="G209" s="53" t="str">
        <f aca="false">IF(OR(A209="",NOT(ISNUMBER(C209))),"",IF(COUNTIFS($A$2:$A$301,A209,$C$2:$C$301,C209)&gt;1,"⚠ Folga duplicada",IF(COUNTIFS($B$2:$B$301,B209,$C$2:$C$301,C209)&gt;1,"⚠ "&amp;COUNTIFS($B$2:$B$301,B209,$C$2:$C$301,C209)&amp;" pessoas do setor de folga no dia","")))</f>
        <v/>
      </c>
      <c r="J209" s="0" t="str">
        <f aca="true">IF(AND(ISNUMBER(C209),C209=TODAY()),C209+ROW()/100000,"")</f>
        <v/>
      </c>
      <c r="K209" s="0" t="str">
        <f aca="true">IF(AND(ISNUMBER(C209),C209&gt;TODAY(),C209&lt;=TODAY()+7),C209+ROW()/100000,"")</f>
        <v/>
      </c>
      <c r="L209" s="0" t="str">
        <f aca="false">IF(AND(ISNUMBER(C209),C209=CALENDÁRIO!$L$4),ROW(),"")</f>
        <v/>
      </c>
    </row>
    <row r="210" customFormat="false" ht="15" hidden="false" customHeight="true" outlineLevel="0" collapsed="false">
      <c r="A210" s="52"/>
      <c r="B210" s="52"/>
      <c r="C210" s="51"/>
      <c r="D210" s="52"/>
      <c r="E210" s="53" t="str">
        <f aca="false">IF(ISNUMBER(C210),CHOOSE(WEEKDAY(C210),"Domingo","Segunda","Terça","Quarta","Quinta","Sexta","Sábado"),"")</f>
        <v/>
      </c>
      <c r="F210" s="53" t="str">
        <f aca="true">IF(NOT(ISNUMBER(C210)),"",IF(C210=TODAY(),"HOJE",IF(C210=TODAY()+1,"AMANHÃ",IF(C210&lt;TODAY(),"Realizada",IF(C210-TODAY()&lt;=7,"Em "&amp;(C210-TODAY())&amp;" dias","Agendada")))))</f>
        <v/>
      </c>
      <c r="G210" s="53" t="str">
        <f aca="false">IF(OR(A210="",NOT(ISNUMBER(C210))),"",IF(COUNTIFS($A$2:$A$301,A210,$C$2:$C$301,C210)&gt;1,"⚠ Folga duplicada",IF(COUNTIFS($B$2:$B$301,B210,$C$2:$C$301,C210)&gt;1,"⚠ "&amp;COUNTIFS($B$2:$B$301,B210,$C$2:$C$301,C210)&amp;" pessoas do setor de folga no dia","")))</f>
        <v/>
      </c>
      <c r="J210" s="0" t="str">
        <f aca="true">IF(AND(ISNUMBER(C210),C210=TODAY()),C210+ROW()/100000,"")</f>
        <v/>
      </c>
      <c r="K210" s="0" t="str">
        <f aca="true">IF(AND(ISNUMBER(C210),C210&gt;TODAY(),C210&lt;=TODAY()+7),C210+ROW()/100000,"")</f>
        <v/>
      </c>
      <c r="L210" s="0" t="str">
        <f aca="false">IF(AND(ISNUMBER(C210),C210=CALENDÁRIO!$L$4),ROW(),"")</f>
        <v/>
      </c>
    </row>
    <row r="211" customFormat="false" ht="15" hidden="false" customHeight="true" outlineLevel="0" collapsed="false">
      <c r="A211" s="52"/>
      <c r="B211" s="52"/>
      <c r="C211" s="51"/>
      <c r="D211" s="52"/>
      <c r="E211" s="53" t="str">
        <f aca="false">IF(ISNUMBER(C211),CHOOSE(WEEKDAY(C211),"Domingo","Segunda","Terça","Quarta","Quinta","Sexta","Sábado"),"")</f>
        <v/>
      </c>
      <c r="F211" s="53" t="str">
        <f aca="true">IF(NOT(ISNUMBER(C211)),"",IF(C211=TODAY(),"HOJE",IF(C211=TODAY()+1,"AMANHÃ",IF(C211&lt;TODAY(),"Realizada",IF(C211-TODAY()&lt;=7,"Em "&amp;(C211-TODAY())&amp;" dias","Agendada")))))</f>
        <v/>
      </c>
      <c r="G211" s="53" t="str">
        <f aca="false">IF(OR(A211="",NOT(ISNUMBER(C211))),"",IF(COUNTIFS($A$2:$A$301,A211,$C$2:$C$301,C211)&gt;1,"⚠ Folga duplicada",IF(COUNTIFS($B$2:$B$301,B211,$C$2:$C$301,C211)&gt;1,"⚠ "&amp;COUNTIFS($B$2:$B$301,B211,$C$2:$C$301,C211)&amp;" pessoas do setor de folga no dia","")))</f>
        <v/>
      </c>
      <c r="J211" s="0" t="str">
        <f aca="true">IF(AND(ISNUMBER(C211),C211=TODAY()),C211+ROW()/100000,"")</f>
        <v/>
      </c>
      <c r="K211" s="0" t="str">
        <f aca="true">IF(AND(ISNUMBER(C211),C211&gt;TODAY(),C211&lt;=TODAY()+7),C211+ROW()/100000,"")</f>
        <v/>
      </c>
      <c r="L211" s="0" t="str">
        <f aca="false">IF(AND(ISNUMBER(C211),C211=CALENDÁRIO!$L$4),ROW(),"")</f>
        <v/>
      </c>
    </row>
    <row r="212" customFormat="false" ht="15" hidden="false" customHeight="true" outlineLevel="0" collapsed="false">
      <c r="A212" s="52"/>
      <c r="B212" s="52"/>
      <c r="C212" s="51"/>
      <c r="D212" s="52"/>
      <c r="E212" s="53" t="str">
        <f aca="false">IF(ISNUMBER(C212),CHOOSE(WEEKDAY(C212),"Domingo","Segunda","Terça","Quarta","Quinta","Sexta","Sábado"),"")</f>
        <v/>
      </c>
      <c r="F212" s="53" t="str">
        <f aca="true">IF(NOT(ISNUMBER(C212)),"",IF(C212=TODAY(),"HOJE",IF(C212=TODAY()+1,"AMANHÃ",IF(C212&lt;TODAY(),"Realizada",IF(C212-TODAY()&lt;=7,"Em "&amp;(C212-TODAY())&amp;" dias","Agendada")))))</f>
        <v/>
      </c>
      <c r="G212" s="53" t="str">
        <f aca="false">IF(OR(A212="",NOT(ISNUMBER(C212))),"",IF(COUNTIFS($A$2:$A$301,A212,$C$2:$C$301,C212)&gt;1,"⚠ Folga duplicada",IF(COUNTIFS($B$2:$B$301,B212,$C$2:$C$301,C212)&gt;1,"⚠ "&amp;COUNTIFS($B$2:$B$301,B212,$C$2:$C$301,C212)&amp;" pessoas do setor de folga no dia","")))</f>
        <v/>
      </c>
      <c r="J212" s="0" t="str">
        <f aca="true">IF(AND(ISNUMBER(C212),C212=TODAY()),C212+ROW()/100000,"")</f>
        <v/>
      </c>
      <c r="K212" s="0" t="str">
        <f aca="true">IF(AND(ISNUMBER(C212),C212&gt;TODAY(),C212&lt;=TODAY()+7),C212+ROW()/100000,"")</f>
        <v/>
      </c>
      <c r="L212" s="0" t="str">
        <f aca="false">IF(AND(ISNUMBER(C212),C212=CALENDÁRIO!$L$4),ROW(),"")</f>
        <v/>
      </c>
    </row>
    <row r="213" customFormat="false" ht="15" hidden="false" customHeight="true" outlineLevel="0" collapsed="false">
      <c r="A213" s="52"/>
      <c r="B213" s="52"/>
      <c r="C213" s="51"/>
      <c r="D213" s="52"/>
      <c r="E213" s="53" t="str">
        <f aca="false">IF(ISNUMBER(C213),CHOOSE(WEEKDAY(C213),"Domingo","Segunda","Terça","Quarta","Quinta","Sexta","Sábado"),"")</f>
        <v/>
      </c>
      <c r="F213" s="53" t="str">
        <f aca="true">IF(NOT(ISNUMBER(C213)),"",IF(C213=TODAY(),"HOJE",IF(C213=TODAY()+1,"AMANHÃ",IF(C213&lt;TODAY(),"Realizada",IF(C213-TODAY()&lt;=7,"Em "&amp;(C213-TODAY())&amp;" dias","Agendada")))))</f>
        <v/>
      </c>
      <c r="G213" s="53" t="str">
        <f aca="false">IF(OR(A213="",NOT(ISNUMBER(C213))),"",IF(COUNTIFS($A$2:$A$301,A213,$C$2:$C$301,C213)&gt;1,"⚠ Folga duplicada",IF(COUNTIFS($B$2:$B$301,B213,$C$2:$C$301,C213)&gt;1,"⚠ "&amp;COUNTIFS($B$2:$B$301,B213,$C$2:$C$301,C213)&amp;" pessoas do setor de folga no dia","")))</f>
        <v/>
      </c>
      <c r="J213" s="0" t="str">
        <f aca="true">IF(AND(ISNUMBER(C213),C213=TODAY()),C213+ROW()/100000,"")</f>
        <v/>
      </c>
      <c r="K213" s="0" t="str">
        <f aca="true">IF(AND(ISNUMBER(C213),C213&gt;TODAY(),C213&lt;=TODAY()+7),C213+ROW()/100000,"")</f>
        <v/>
      </c>
      <c r="L213" s="0" t="str">
        <f aca="false">IF(AND(ISNUMBER(C213),C213=CALENDÁRIO!$L$4),ROW(),"")</f>
        <v/>
      </c>
    </row>
    <row r="214" customFormat="false" ht="15" hidden="false" customHeight="true" outlineLevel="0" collapsed="false">
      <c r="A214" s="52"/>
      <c r="B214" s="52"/>
      <c r="C214" s="51"/>
      <c r="D214" s="52"/>
      <c r="E214" s="53" t="str">
        <f aca="false">IF(ISNUMBER(C214),CHOOSE(WEEKDAY(C214),"Domingo","Segunda","Terça","Quarta","Quinta","Sexta","Sábado"),"")</f>
        <v/>
      </c>
      <c r="F214" s="53" t="str">
        <f aca="true">IF(NOT(ISNUMBER(C214)),"",IF(C214=TODAY(),"HOJE",IF(C214=TODAY()+1,"AMANHÃ",IF(C214&lt;TODAY(),"Realizada",IF(C214-TODAY()&lt;=7,"Em "&amp;(C214-TODAY())&amp;" dias","Agendada")))))</f>
        <v/>
      </c>
      <c r="G214" s="53" t="str">
        <f aca="false">IF(OR(A214="",NOT(ISNUMBER(C214))),"",IF(COUNTIFS($A$2:$A$301,A214,$C$2:$C$301,C214)&gt;1,"⚠ Folga duplicada",IF(COUNTIFS($B$2:$B$301,B214,$C$2:$C$301,C214)&gt;1,"⚠ "&amp;COUNTIFS($B$2:$B$301,B214,$C$2:$C$301,C214)&amp;" pessoas do setor de folga no dia","")))</f>
        <v/>
      </c>
      <c r="J214" s="0" t="str">
        <f aca="true">IF(AND(ISNUMBER(C214),C214=TODAY()),C214+ROW()/100000,"")</f>
        <v/>
      </c>
      <c r="K214" s="0" t="str">
        <f aca="true">IF(AND(ISNUMBER(C214),C214&gt;TODAY(),C214&lt;=TODAY()+7),C214+ROW()/100000,"")</f>
        <v/>
      </c>
      <c r="L214" s="0" t="str">
        <f aca="false">IF(AND(ISNUMBER(C214),C214=CALENDÁRIO!$L$4),ROW(),"")</f>
        <v/>
      </c>
    </row>
    <row r="215" customFormat="false" ht="15" hidden="false" customHeight="true" outlineLevel="0" collapsed="false">
      <c r="A215" s="52"/>
      <c r="B215" s="52"/>
      <c r="C215" s="51"/>
      <c r="D215" s="52"/>
      <c r="E215" s="53" t="str">
        <f aca="false">IF(ISNUMBER(C215),CHOOSE(WEEKDAY(C215),"Domingo","Segunda","Terça","Quarta","Quinta","Sexta","Sábado"),"")</f>
        <v/>
      </c>
      <c r="F215" s="53" t="str">
        <f aca="true">IF(NOT(ISNUMBER(C215)),"",IF(C215=TODAY(),"HOJE",IF(C215=TODAY()+1,"AMANHÃ",IF(C215&lt;TODAY(),"Realizada",IF(C215-TODAY()&lt;=7,"Em "&amp;(C215-TODAY())&amp;" dias","Agendada")))))</f>
        <v/>
      </c>
      <c r="G215" s="53" t="str">
        <f aca="false">IF(OR(A215="",NOT(ISNUMBER(C215))),"",IF(COUNTIFS($A$2:$A$301,A215,$C$2:$C$301,C215)&gt;1,"⚠ Folga duplicada",IF(COUNTIFS($B$2:$B$301,B215,$C$2:$C$301,C215)&gt;1,"⚠ "&amp;COUNTIFS($B$2:$B$301,B215,$C$2:$C$301,C215)&amp;" pessoas do setor de folga no dia","")))</f>
        <v/>
      </c>
      <c r="J215" s="0" t="str">
        <f aca="true">IF(AND(ISNUMBER(C215),C215=TODAY()),C215+ROW()/100000,"")</f>
        <v/>
      </c>
      <c r="K215" s="0" t="str">
        <f aca="true">IF(AND(ISNUMBER(C215),C215&gt;TODAY(),C215&lt;=TODAY()+7),C215+ROW()/100000,"")</f>
        <v/>
      </c>
      <c r="L215" s="0" t="str">
        <f aca="false">IF(AND(ISNUMBER(C215),C215=CALENDÁRIO!$L$4),ROW(),"")</f>
        <v/>
      </c>
    </row>
    <row r="216" customFormat="false" ht="15" hidden="false" customHeight="true" outlineLevel="0" collapsed="false">
      <c r="A216" s="52"/>
      <c r="B216" s="52"/>
      <c r="C216" s="51"/>
      <c r="D216" s="52"/>
      <c r="E216" s="53" t="str">
        <f aca="false">IF(ISNUMBER(C216),CHOOSE(WEEKDAY(C216),"Domingo","Segunda","Terça","Quarta","Quinta","Sexta","Sábado"),"")</f>
        <v/>
      </c>
      <c r="F216" s="53" t="str">
        <f aca="true">IF(NOT(ISNUMBER(C216)),"",IF(C216=TODAY(),"HOJE",IF(C216=TODAY()+1,"AMANHÃ",IF(C216&lt;TODAY(),"Realizada",IF(C216-TODAY()&lt;=7,"Em "&amp;(C216-TODAY())&amp;" dias","Agendada")))))</f>
        <v/>
      </c>
      <c r="G216" s="53" t="str">
        <f aca="false">IF(OR(A216="",NOT(ISNUMBER(C216))),"",IF(COUNTIFS($A$2:$A$301,A216,$C$2:$C$301,C216)&gt;1,"⚠ Folga duplicada",IF(COUNTIFS($B$2:$B$301,B216,$C$2:$C$301,C216)&gt;1,"⚠ "&amp;COUNTIFS($B$2:$B$301,B216,$C$2:$C$301,C216)&amp;" pessoas do setor de folga no dia","")))</f>
        <v/>
      </c>
      <c r="J216" s="0" t="str">
        <f aca="true">IF(AND(ISNUMBER(C216),C216=TODAY()),C216+ROW()/100000,"")</f>
        <v/>
      </c>
      <c r="K216" s="0" t="str">
        <f aca="true">IF(AND(ISNUMBER(C216),C216&gt;TODAY(),C216&lt;=TODAY()+7),C216+ROW()/100000,"")</f>
        <v/>
      </c>
      <c r="L216" s="0" t="str">
        <f aca="false">IF(AND(ISNUMBER(C216),C216=CALENDÁRIO!$L$4),ROW(),"")</f>
        <v/>
      </c>
    </row>
    <row r="217" customFormat="false" ht="15" hidden="false" customHeight="true" outlineLevel="0" collapsed="false">
      <c r="A217" s="52"/>
      <c r="B217" s="52"/>
      <c r="C217" s="51"/>
      <c r="D217" s="52"/>
      <c r="E217" s="53" t="str">
        <f aca="false">IF(ISNUMBER(C217),CHOOSE(WEEKDAY(C217),"Domingo","Segunda","Terça","Quarta","Quinta","Sexta","Sábado"),"")</f>
        <v/>
      </c>
      <c r="F217" s="53" t="str">
        <f aca="true">IF(NOT(ISNUMBER(C217)),"",IF(C217=TODAY(),"HOJE",IF(C217=TODAY()+1,"AMANHÃ",IF(C217&lt;TODAY(),"Realizada",IF(C217-TODAY()&lt;=7,"Em "&amp;(C217-TODAY())&amp;" dias","Agendada")))))</f>
        <v/>
      </c>
      <c r="G217" s="53" t="str">
        <f aca="false">IF(OR(A217="",NOT(ISNUMBER(C217))),"",IF(COUNTIFS($A$2:$A$301,A217,$C$2:$C$301,C217)&gt;1,"⚠ Folga duplicada",IF(COUNTIFS($B$2:$B$301,B217,$C$2:$C$301,C217)&gt;1,"⚠ "&amp;COUNTIFS($B$2:$B$301,B217,$C$2:$C$301,C217)&amp;" pessoas do setor de folga no dia","")))</f>
        <v/>
      </c>
      <c r="J217" s="0" t="str">
        <f aca="true">IF(AND(ISNUMBER(C217),C217=TODAY()),C217+ROW()/100000,"")</f>
        <v/>
      </c>
      <c r="K217" s="0" t="str">
        <f aca="true">IF(AND(ISNUMBER(C217),C217&gt;TODAY(),C217&lt;=TODAY()+7),C217+ROW()/100000,"")</f>
        <v/>
      </c>
      <c r="L217" s="0" t="str">
        <f aca="false">IF(AND(ISNUMBER(C217),C217=CALENDÁRIO!$L$4),ROW(),"")</f>
        <v/>
      </c>
    </row>
    <row r="218" customFormat="false" ht="15" hidden="false" customHeight="true" outlineLevel="0" collapsed="false">
      <c r="A218" s="52"/>
      <c r="B218" s="52"/>
      <c r="C218" s="51"/>
      <c r="D218" s="52"/>
      <c r="E218" s="53" t="str">
        <f aca="false">IF(ISNUMBER(C218),CHOOSE(WEEKDAY(C218),"Domingo","Segunda","Terça","Quarta","Quinta","Sexta","Sábado"),"")</f>
        <v/>
      </c>
      <c r="F218" s="53" t="str">
        <f aca="true">IF(NOT(ISNUMBER(C218)),"",IF(C218=TODAY(),"HOJE",IF(C218=TODAY()+1,"AMANHÃ",IF(C218&lt;TODAY(),"Realizada",IF(C218-TODAY()&lt;=7,"Em "&amp;(C218-TODAY())&amp;" dias","Agendada")))))</f>
        <v/>
      </c>
      <c r="G218" s="53" t="str">
        <f aca="false">IF(OR(A218="",NOT(ISNUMBER(C218))),"",IF(COUNTIFS($A$2:$A$301,A218,$C$2:$C$301,C218)&gt;1,"⚠ Folga duplicada",IF(COUNTIFS($B$2:$B$301,B218,$C$2:$C$301,C218)&gt;1,"⚠ "&amp;COUNTIFS($B$2:$B$301,B218,$C$2:$C$301,C218)&amp;" pessoas do setor de folga no dia","")))</f>
        <v/>
      </c>
      <c r="J218" s="0" t="str">
        <f aca="true">IF(AND(ISNUMBER(C218),C218=TODAY()),C218+ROW()/100000,"")</f>
        <v/>
      </c>
      <c r="K218" s="0" t="str">
        <f aca="true">IF(AND(ISNUMBER(C218),C218&gt;TODAY(),C218&lt;=TODAY()+7),C218+ROW()/100000,"")</f>
        <v/>
      </c>
      <c r="L218" s="0" t="str">
        <f aca="false">IF(AND(ISNUMBER(C218),C218=CALENDÁRIO!$L$4),ROW(),"")</f>
        <v/>
      </c>
    </row>
    <row r="219" customFormat="false" ht="15" hidden="false" customHeight="true" outlineLevel="0" collapsed="false">
      <c r="A219" s="52"/>
      <c r="B219" s="52"/>
      <c r="C219" s="51"/>
      <c r="D219" s="52"/>
      <c r="E219" s="53" t="str">
        <f aca="false">IF(ISNUMBER(C219),CHOOSE(WEEKDAY(C219),"Domingo","Segunda","Terça","Quarta","Quinta","Sexta","Sábado"),"")</f>
        <v/>
      </c>
      <c r="F219" s="53" t="str">
        <f aca="true">IF(NOT(ISNUMBER(C219)),"",IF(C219=TODAY(),"HOJE",IF(C219=TODAY()+1,"AMANHÃ",IF(C219&lt;TODAY(),"Realizada",IF(C219-TODAY()&lt;=7,"Em "&amp;(C219-TODAY())&amp;" dias","Agendada")))))</f>
        <v/>
      </c>
      <c r="G219" s="53" t="str">
        <f aca="false">IF(OR(A219="",NOT(ISNUMBER(C219))),"",IF(COUNTIFS($A$2:$A$301,A219,$C$2:$C$301,C219)&gt;1,"⚠ Folga duplicada",IF(COUNTIFS($B$2:$B$301,B219,$C$2:$C$301,C219)&gt;1,"⚠ "&amp;COUNTIFS($B$2:$B$301,B219,$C$2:$C$301,C219)&amp;" pessoas do setor de folga no dia","")))</f>
        <v/>
      </c>
      <c r="J219" s="0" t="str">
        <f aca="true">IF(AND(ISNUMBER(C219),C219=TODAY()),C219+ROW()/100000,"")</f>
        <v/>
      </c>
      <c r="K219" s="0" t="str">
        <f aca="true">IF(AND(ISNUMBER(C219),C219&gt;TODAY(),C219&lt;=TODAY()+7),C219+ROW()/100000,"")</f>
        <v/>
      </c>
      <c r="L219" s="0" t="str">
        <f aca="false">IF(AND(ISNUMBER(C219),C219=CALENDÁRIO!$L$4),ROW(),"")</f>
        <v/>
      </c>
    </row>
    <row r="220" customFormat="false" ht="15" hidden="false" customHeight="true" outlineLevel="0" collapsed="false">
      <c r="A220" s="52"/>
      <c r="B220" s="52"/>
      <c r="C220" s="51"/>
      <c r="D220" s="52"/>
      <c r="E220" s="53" t="str">
        <f aca="false">IF(ISNUMBER(C220),CHOOSE(WEEKDAY(C220),"Domingo","Segunda","Terça","Quarta","Quinta","Sexta","Sábado"),"")</f>
        <v/>
      </c>
      <c r="F220" s="53" t="str">
        <f aca="true">IF(NOT(ISNUMBER(C220)),"",IF(C220=TODAY(),"HOJE",IF(C220=TODAY()+1,"AMANHÃ",IF(C220&lt;TODAY(),"Realizada",IF(C220-TODAY()&lt;=7,"Em "&amp;(C220-TODAY())&amp;" dias","Agendada")))))</f>
        <v/>
      </c>
      <c r="G220" s="53" t="str">
        <f aca="false">IF(OR(A220="",NOT(ISNUMBER(C220))),"",IF(COUNTIFS($A$2:$A$301,A220,$C$2:$C$301,C220)&gt;1,"⚠ Folga duplicada",IF(COUNTIFS($B$2:$B$301,B220,$C$2:$C$301,C220)&gt;1,"⚠ "&amp;COUNTIFS($B$2:$B$301,B220,$C$2:$C$301,C220)&amp;" pessoas do setor de folga no dia","")))</f>
        <v/>
      </c>
      <c r="J220" s="0" t="str">
        <f aca="true">IF(AND(ISNUMBER(C220),C220=TODAY()),C220+ROW()/100000,"")</f>
        <v/>
      </c>
      <c r="K220" s="0" t="str">
        <f aca="true">IF(AND(ISNUMBER(C220),C220&gt;TODAY(),C220&lt;=TODAY()+7),C220+ROW()/100000,"")</f>
        <v/>
      </c>
      <c r="L220" s="0" t="str">
        <f aca="false">IF(AND(ISNUMBER(C220),C220=CALENDÁRIO!$L$4),ROW(),"")</f>
        <v/>
      </c>
    </row>
    <row r="221" customFormat="false" ht="15" hidden="false" customHeight="true" outlineLevel="0" collapsed="false">
      <c r="A221" s="52"/>
      <c r="B221" s="52"/>
      <c r="C221" s="51"/>
      <c r="D221" s="52"/>
      <c r="E221" s="53" t="str">
        <f aca="false">IF(ISNUMBER(C221),CHOOSE(WEEKDAY(C221),"Domingo","Segunda","Terça","Quarta","Quinta","Sexta","Sábado"),"")</f>
        <v/>
      </c>
      <c r="F221" s="53" t="str">
        <f aca="true">IF(NOT(ISNUMBER(C221)),"",IF(C221=TODAY(),"HOJE",IF(C221=TODAY()+1,"AMANHÃ",IF(C221&lt;TODAY(),"Realizada",IF(C221-TODAY()&lt;=7,"Em "&amp;(C221-TODAY())&amp;" dias","Agendada")))))</f>
        <v/>
      </c>
      <c r="G221" s="53" t="str">
        <f aca="false">IF(OR(A221="",NOT(ISNUMBER(C221))),"",IF(COUNTIFS($A$2:$A$301,A221,$C$2:$C$301,C221)&gt;1,"⚠ Folga duplicada",IF(COUNTIFS($B$2:$B$301,B221,$C$2:$C$301,C221)&gt;1,"⚠ "&amp;COUNTIFS($B$2:$B$301,B221,$C$2:$C$301,C221)&amp;" pessoas do setor de folga no dia","")))</f>
        <v/>
      </c>
      <c r="J221" s="0" t="str">
        <f aca="true">IF(AND(ISNUMBER(C221),C221=TODAY()),C221+ROW()/100000,"")</f>
        <v/>
      </c>
      <c r="K221" s="0" t="str">
        <f aca="true">IF(AND(ISNUMBER(C221),C221&gt;TODAY(),C221&lt;=TODAY()+7),C221+ROW()/100000,"")</f>
        <v/>
      </c>
      <c r="L221" s="0" t="str">
        <f aca="false">IF(AND(ISNUMBER(C221),C221=CALENDÁRIO!$L$4),ROW(),"")</f>
        <v/>
      </c>
    </row>
    <row r="222" customFormat="false" ht="15" hidden="false" customHeight="true" outlineLevel="0" collapsed="false">
      <c r="A222" s="52"/>
      <c r="B222" s="52"/>
      <c r="C222" s="51"/>
      <c r="D222" s="52"/>
      <c r="E222" s="53" t="str">
        <f aca="false">IF(ISNUMBER(C222),CHOOSE(WEEKDAY(C222),"Domingo","Segunda","Terça","Quarta","Quinta","Sexta","Sábado"),"")</f>
        <v/>
      </c>
      <c r="F222" s="53" t="str">
        <f aca="true">IF(NOT(ISNUMBER(C222)),"",IF(C222=TODAY(),"HOJE",IF(C222=TODAY()+1,"AMANHÃ",IF(C222&lt;TODAY(),"Realizada",IF(C222-TODAY()&lt;=7,"Em "&amp;(C222-TODAY())&amp;" dias","Agendada")))))</f>
        <v/>
      </c>
      <c r="G222" s="53" t="str">
        <f aca="false">IF(OR(A222="",NOT(ISNUMBER(C222))),"",IF(COUNTIFS($A$2:$A$301,A222,$C$2:$C$301,C222)&gt;1,"⚠ Folga duplicada",IF(COUNTIFS($B$2:$B$301,B222,$C$2:$C$301,C222)&gt;1,"⚠ "&amp;COUNTIFS($B$2:$B$301,B222,$C$2:$C$301,C222)&amp;" pessoas do setor de folga no dia","")))</f>
        <v/>
      </c>
      <c r="J222" s="0" t="str">
        <f aca="true">IF(AND(ISNUMBER(C222),C222=TODAY()),C222+ROW()/100000,"")</f>
        <v/>
      </c>
      <c r="K222" s="0" t="str">
        <f aca="true">IF(AND(ISNUMBER(C222),C222&gt;TODAY(),C222&lt;=TODAY()+7),C222+ROW()/100000,"")</f>
        <v/>
      </c>
      <c r="L222" s="0" t="str">
        <f aca="false">IF(AND(ISNUMBER(C222),C222=CALENDÁRIO!$L$4),ROW(),"")</f>
        <v/>
      </c>
    </row>
    <row r="223" customFormat="false" ht="15" hidden="false" customHeight="true" outlineLevel="0" collapsed="false">
      <c r="A223" s="52"/>
      <c r="B223" s="52"/>
      <c r="C223" s="51"/>
      <c r="D223" s="52"/>
      <c r="E223" s="53" t="str">
        <f aca="false">IF(ISNUMBER(C223),CHOOSE(WEEKDAY(C223),"Domingo","Segunda","Terça","Quarta","Quinta","Sexta","Sábado"),"")</f>
        <v/>
      </c>
      <c r="F223" s="53" t="str">
        <f aca="true">IF(NOT(ISNUMBER(C223)),"",IF(C223=TODAY(),"HOJE",IF(C223=TODAY()+1,"AMANHÃ",IF(C223&lt;TODAY(),"Realizada",IF(C223-TODAY()&lt;=7,"Em "&amp;(C223-TODAY())&amp;" dias","Agendada")))))</f>
        <v/>
      </c>
      <c r="G223" s="53" t="str">
        <f aca="false">IF(OR(A223="",NOT(ISNUMBER(C223))),"",IF(COUNTIFS($A$2:$A$301,A223,$C$2:$C$301,C223)&gt;1,"⚠ Folga duplicada",IF(COUNTIFS($B$2:$B$301,B223,$C$2:$C$301,C223)&gt;1,"⚠ "&amp;COUNTIFS($B$2:$B$301,B223,$C$2:$C$301,C223)&amp;" pessoas do setor de folga no dia","")))</f>
        <v/>
      </c>
      <c r="J223" s="0" t="str">
        <f aca="true">IF(AND(ISNUMBER(C223),C223=TODAY()),C223+ROW()/100000,"")</f>
        <v/>
      </c>
      <c r="K223" s="0" t="str">
        <f aca="true">IF(AND(ISNUMBER(C223),C223&gt;TODAY(),C223&lt;=TODAY()+7),C223+ROW()/100000,"")</f>
        <v/>
      </c>
      <c r="L223" s="0" t="str">
        <f aca="false">IF(AND(ISNUMBER(C223),C223=CALENDÁRIO!$L$4),ROW(),"")</f>
        <v/>
      </c>
    </row>
    <row r="224" customFormat="false" ht="15" hidden="false" customHeight="true" outlineLevel="0" collapsed="false">
      <c r="A224" s="52"/>
      <c r="B224" s="52"/>
      <c r="C224" s="51"/>
      <c r="D224" s="52"/>
      <c r="E224" s="53" t="str">
        <f aca="false">IF(ISNUMBER(C224),CHOOSE(WEEKDAY(C224),"Domingo","Segunda","Terça","Quarta","Quinta","Sexta","Sábado"),"")</f>
        <v/>
      </c>
      <c r="F224" s="53" t="str">
        <f aca="true">IF(NOT(ISNUMBER(C224)),"",IF(C224=TODAY(),"HOJE",IF(C224=TODAY()+1,"AMANHÃ",IF(C224&lt;TODAY(),"Realizada",IF(C224-TODAY()&lt;=7,"Em "&amp;(C224-TODAY())&amp;" dias","Agendada")))))</f>
        <v/>
      </c>
      <c r="G224" s="53" t="str">
        <f aca="false">IF(OR(A224="",NOT(ISNUMBER(C224))),"",IF(COUNTIFS($A$2:$A$301,A224,$C$2:$C$301,C224)&gt;1,"⚠ Folga duplicada",IF(COUNTIFS($B$2:$B$301,B224,$C$2:$C$301,C224)&gt;1,"⚠ "&amp;COUNTIFS($B$2:$B$301,B224,$C$2:$C$301,C224)&amp;" pessoas do setor de folga no dia","")))</f>
        <v/>
      </c>
      <c r="J224" s="0" t="str">
        <f aca="true">IF(AND(ISNUMBER(C224),C224=TODAY()),C224+ROW()/100000,"")</f>
        <v/>
      </c>
      <c r="K224" s="0" t="str">
        <f aca="true">IF(AND(ISNUMBER(C224),C224&gt;TODAY(),C224&lt;=TODAY()+7),C224+ROW()/100000,"")</f>
        <v/>
      </c>
      <c r="L224" s="0" t="str">
        <f aca="false">IF(AND(ISNUMBER(C224),C224=CALENDÁRIO!$L$4),ROW(),"")</f>
        <v/>
      </c>
    </row>
    <row r="225" customFormat="false" ht="15" hidden="false" customHeight="true" outlineLevel="0" collapsed="false">
      <c r="A225" s="52"/>
      <c r="B225" s="52"/>
      <c r="C225" s="51"/>
      <c r="D225" s="52"/>
      <c r="E225" s="53" t="str">
        <f aca="false">IF(ISNUMBER(C225),CHOOSE(WEEKDAY(C225),"Domingo","Segunda","Terça","Quarta","Quinta","Sexta","Sábado"),"")</f>
        <v/>
      </c>
      <c r="F225" s="53" t="str">
        <f aca="true">IF(NOT(ISNUMBER(C225)),"",IF(C225=TODAY(),"HOJE",IF(C225=TODAY()+1,"AMANHÃ",IF(C225&lt;TODAY(),"Realizada",IF(C225-TODAY()&lt;=7,"Em "&amp;(C225-TODAY())&amp;" dias","Agendada")))))</f>
        <v/>
      </c>
      <c r="G225" s="53" t="str">
        <f aca="false">IF(OR(A225="",NOT(ISNUMBER(C225))),"",IF(COUNTIFS($A$2:$A$301,A225,$C$2:$C$301,C225)&gt;1,"⚠ Folga duplicada",IF(COUNTIFS($B$2:$B$301,B225,$C$2:$C$301,C225)&gt;1,"⚠ "&amp;COUNTIFS($B$2:$B$301,B225,$C$2:$C$301,C225)&amp;" pessoas do setor de folga no dia","")))</f>
        <v/>
      </c>
      <c r="J225" s="0" t="str">
        <f aca="true">IF(AND(ISNUMBER(C225),C225=TODAY()),C225+ROW()/100000,"")</f>
        <v/>
      </c>
      <c r="K225" s="0" t="str">
        <f aca="true">IF(AND(ISNUMBER(C225),C225&gt;TODAY(),C225&lt;=TODAY()+7),C225+ROW()/100000,"")</f>
        <v/>
      </c>
      <c r="L225" s="0" t="str">
        <f aca="false">IF(AND(ISNUMBER(C225),C225=CALENDÁRIO!$L$4),ROW(),"")</f>
        <v/>
      </c>
    </row>
    <row r="226" customFormat="false" ht="15" hidden="false" customHeight="true" outlineLevel="0" collapsed="false">
      <c r="A226" s="52"/>
      <c r="B226" s="52"/>
      <c r="C226" s="51"/>
      <c r="D226" s="52"/>
      <c r="E226" s="53" t="str">
        <f aca="false">IF(ISNUMBER(C226),CHOOSE(WEEKDAY(C226),"Domingo","Segunda","Terça","Quarta","Quinta","Sexta","Sábado"),"")</f>
        <v/>
      </c>
      <c r="F226" s="53" t="str">
        <f aca="true">IF(NOT(ISNUMBER(C226)),"",IF(C226=TODAY(),"HOJE",IF(C226=TODAY()+1,"AMANHÃ",IF(C226&lt;TODAY(),"Realizada",IF(C226-TODAY()&lt;=7,"Em "&amp;(C226-TODAY())&amp;" dias","Agendada")))))</f>
        <v/>
      </c>
      <c r="G226" s="53" t="str">
        <f aca="false">IF(OR(A226="",NOT(ISNUMBER(C226))),"",IF(COUNTIFS($A$2:$A$301,A226,$C$2:$C$301,C226)&gt;1,"⚠ Folga duplicada",IF(COUNTIFS($B$2:$B$301,B226,$C$2:$C$301,C226)&gt;1,"⚠ "&amp;COUNTIFS($B$2:$B$301,B226,$C$2:$C$301,C226)&amp;" pessoas do setor de folga no dia","")))</f>
        <v/>
      </c>
      <c r="J226" s="0" t="str">
        <f aca="true">IF(AND(ISNUMBER(C226),C226=TODAY()),C226+ROW()/100000,"")</f>
        <v/>
      </c>
      <c r="K226" s="0" t="str">
        <f aca="true">IF(AND(ISNUMBER(C226),C226&gt;TODAY(),C226&lt;=TODAY()+7),C226+ROW()/100000,"")</f>
        <v/>
      </c>
      <c r="L226" s="0" t="str">
        <f aca="false">IF(AND(ISNUMBER(C226),C226=CALENDÁRIO!$L$4),ROW(),"")</f>
        <v/>
      </c>
    </row>
    <row r="227" customFormat="false" ht="15" hidden="false" customHeight="true" outlineLevel="0" collapsed="false">
      <c r="A227" s="52"/>
      <c r="B227" s="52"/>
      <c r="C227" s="51"/>
      <c r="D227" s="52"/>
      <c r="E227" s="53" t="str">
        <f aca="false">IF(ISNUMBER(C227),CHOOSE(WEEKDAY(C227),"Domingo","Segunda","Terça","Quarta","Quinta","Sexta","Sábado"),"")</f>
        <v/>
      </c>
      <c r="F227" s="53" t="str">
        <f aca="true">IF(NOT(ISNUMBER(C227)),"",IF(C227=TODAY(),"HOJE",IF(C227=TODAY()+1,"AMANHÃ",IF(C227&lt;TODAY(),"Realizada",IF(C227-TODAY()&lt;=7,"Em "&amp;(C227-TODAY())&amp;" dias","Agendada")))))</f>
        <v/>
      </c>
      <c r="G227" s="53" t="str">
        <f aca="false">IF(OR(A227="",NOT(ISNUMBER(C227))),"",IF(COUNTIFS($A$2:$A$301,A227,$C$2:$C$301,C227)&gt;1,"⚠ Folga duplicada",IF(COUNTIFS($B$2:$B$301,B227,$C$2:$C$301,C227)&gt;1,"⚠ "&amp;COUNTIFS($B$2:$B$301,B227,$C$2:$C$301,C227)&amp;" pessoas do setor de folga no dia","")))</f>
        <v/>
      </c>
      <c r="J227" s="0" t="str">
        <f aca="true">IF(AND(ISNUMBER(C227),C227=TODAY()),C227+ROW()/100000,"")</f>
        <v/>
      </c>
      <c r="K227" s="0" t="str">
        <f aca="true">IF(AND(ISNUMBER(C227),C227&gt;TODAY(),C227&lt;=TODAY()+7),C227+ROW()/100000,"")</f>
        <v/>
      </c>
      <c r="L227" s="0" t="str">
        <f aca="false">IF(AND(ISNUMBER(C227),C227=CALENDÁRIO!$L$4),ROW(),"")</f>
        <v/>
      </c>
    </row>
    <row r="228" customFormat="false" ht="15" hidden="false" customHeight="true" outlineLevel="0" collapsed="false">
      <c r="A228" s="52"/>
      <c r="B228" s="52"/>
      <c r="C228" s="51"/>
      <c r="D228" s="52"/>
      <c r="E228" s="53" t="str">
        <f aca="false">IF(ISNUMBER(C228),CHOOSE(WEEKDAY(C228),"Domingo","Segunda","Terça","Quarta","Quinta","Sexta","Sábado"),"")</f>
        <v/>
      </c>
      <c r="F228" s="53" t="str">
        <f aca="true">IF(NOT(ISNUMBER(C228)),"",IF(C228=TODAY(),"HOJE",IF(C228=TODAY()+1,"AMANHÃ",IF(C228&lt;TODAY(),"Realizada",IF(C228-TODAY()&lt;=7,"Em "&amp;(C228-TODAY())&amp;" dias","Agendada")))))</f>
        <v/>
      </c>
      <c r="G228" s="53" t="str">
        <f aca="false">IF(OR(A228="",NOT(ISNUMBER(C228))),"",IF(COUNTIFS($A$2:$A$301,A228,$C$2:$C$301,C228)&gt;1,"⚠ Folga duplicada",IF(COUNTIFS($B$2:$B$301,B228,$C$2:$C$301,C228)&gt;1,"⚠ "&amp;COUNTIFS($B$2:$B$301,B228,$C$2:$C$301,C228)&amp;" pessoas do setor de folga no dia","")))</f>
        <v/>
      </c>
      <c r="J228" s="0" t="str">
        <f aca="true">IF(AND(ISNUMBER(C228),C228=TODAY()),C228+ROW()/100000,"")</f>
        <v/>
      </c>
      <c r="K228" s="0" t="str">
        <f aca="true">IF(AND(ISNUMBER(C228),C228&gt;TODAY(),C228&lt;=TODAY()+7),C228+ROW()/100000,"")</f>
        <v/>
      </c>
      <c r="L228" s="0" t="str">
        <f aca="false">IF(AND(ISNUMBER(C228),C228=CALENDÁRIO!$L$4),ROW(),"")</f>
        <v/>
      </c>
    </row>
    <row r="229" customFormat="false" ht="15" hidden="false" customHeight="true" outlineLevel="0" collapsed="false">
      <c r="A229" s="52"/>
      <c r="B229" s="52"/>
      <c r="C229" s="51"/>
      <c r="D229" s="52"/>
      <c r="E229" s="53" t="str">
        <f aca="false">IF(ISNUMBER(C229),CHOOSE(WEEKDAY(C229),"Domingo","Segunda","Terça","Quarta","Quinta","Sexta","Sábado"),"")</f>
        <v/>
      </c>
      <c r="F229" s="53" t="str">
        <f aca="true">IF(NOT(ISNUMBER(C229)),"",IF(C229=TODAY(),"HOJE",IF(C229=TODAY()+1,"AMANHÃ",IF(C229&lt;TODAY(),"Realizada",IF(C229-TODAY()&lt;=7,"Em "&amp;(C229-TODAY())&amp;" dias","Agendada")))))</f>
        <v/>
      </c>
      <c r="G229" s="53" t="str">
        <f aca="false">IF(OR(A229="",NOT(ISNUMBER(C229))),"",IF(COUNTIFS($A$2:$A$301,A229,$C$2:$C$301,C229)&gt;1,"⚠ Folga duplicada",IF(COUNTIFS($B$2:$B$301,B229,$C$2:$C$301,C229)&gt;1,"⚠ "&amp;COUNTIFS($B$2:$B$301,B229,$C$2:$C$301,C229)&amp;" pessoas do setor de folga no dia","")))</f>
        <v/>
      </c>
      <c r="J229" s="0" t="str">
        <f aca="true">IF(AND(ISNUMBER(C229),C229=TODAY()),C229+ROW()/100000,"")</f>
        <v/>
      </c>
      <c r="K229" s="0" t="str">
        <f aca="true">IF(AND(ISNUMBER(C229),C229&gt;TODAY(),C229&lt;=TODAY()+7),C229+ROW()/100000,"")</f>
        <v/>
      </c>
      <c r="L229" s="0" t="str">
        <f aca="false">IF(AND(ISNUMBER(C229),C229=CALENDÁRIO!$L$4),ROW(),"")</f>
        <v/>
      </c>
    </row>
    <row r="230" customFormat="false" ht="15" hidden="false" customHeight="true" outlineLevel="0" collapsed="false">
      <c r="A230" s="52"/>
      <c r="B230" s="52"/>
      <c r="C230" s="51"/>
      <c r="D230" s="52"/>
      <c r="E230" s="53" t="str">
        <f aca="false">IF(ISNUMBER(C230),CHOOSE(WEEKDAY(C230),"Domingo","Segunda","Terça","Quarta","Quinta","Sexta","Sábado"),"")</f>
        <v/>
      </c>
      <c r="F230" s="53" t="str">
        <f aca="true">IF(NOT(ISNUMBER(C230)),"",IF(C230=TODAY(),"HOJE",IF(C230=TODAY()+1,"AMANHÃ",IF(C230&lt;TODAY(),"Realizada",IF(C230-TODAY()&lt;=7,"Em "&amp;(C230-TODAY())&amp;" dias","Agendada")))))</f>
        <v/>
      </c>
      <c r="G230" s="53" t="str">
        <f aca="false">IF(OR(A230="",NOT(ISNUMBER(C230))),"",IF(COUNTIFS($A$2:$A$301,A230,$C$2:$C$301,C230)&gt;1,"⚠ Folga duplicada",IF(COUNTIFS($B$2:$B$301,B230,$C$2:$C$301,C230)&gt;1,"⚠ "&amp;COUNTIFS($B$2:$B$301,B230,$C$2:$C$301,C230)&amp;" pessoas do setor de folga no dia","")))</f>
        <v/>
      </c>
      <c r="J230" s="0" t="str">
        <f aca="true">IF(AND(ISNUMBER(C230),C230=TODAY()),C230+ROW()/100000,"")</f>
        <v/>
      </c>
      <c r="K230" s="0" t="str">
        <f aca="true">IF(AND(ISNUMBER(C230),C230&gt;TODAY(),C230&lt;=TODAY()+7),C230+ROW()/100000,"")</f>
        <v/>
      </c>
      <c r="L230" s="0" t="str">
        <f aca="false">IF(AND(ISNUMBER(C230),C230=CALENDÁRIO!$L$4),ROW(),"")</f>
        <v/>
      </c>
    </row>
    <row r="231" customFormat="false" ht="15" hidden="false" customHeight="true" outlineLevel="0" collapsed="false">
      <c r="A231" s="52"/>
      <c r="B231" s="52"/>
      <c r="C231" s="51"/>
      <c r="D231" s="52"/>
      <c r="E231" s="53" t="str">
        <f aca="false">IF(ISNUMBER(C231),CHOOSE(WEEKDAY(C231),"Domingo","Segunda","Terça","Quarta","Quinta","Sexta","Sábado"),"")</f>
        <v/>
      </c>
      <c r="F231" s="53" t="str">
        <f aca="true">IF(NOT(ISNUMBER(C231)),"",IF(C231=TODAY(),"HOJE",IF(C231=TODAY()+1,"AMANHÃ",IF(C231&lt;TODAY(),"Realizada",IF(C231-TODAY()&lt;=7,"Em "&amp;(C231-TODAY())&amp;" dias","Agendada")))))</f>
        <v/>
      </c>
      <c r="G231" s="53" t="str">
        <f aca="false">IF(OR(A231="",NOT(ISNUMBER(C231))),"",IF(COUNTIFS($A$2:$A$301,A231,$C$2:$C$301,C231)&gt;1,"⚠ Folga duplicada",IF(COUNTIFS($B$2:$B$301,B231,$C$2:$C$301,C231)&gt;1,"⚠ "&amp;COUNTIFS($B$2:$B$301,B231,$C$2:$C$301,C231)&amp;" pessoas do setor de folga no dia","")))</f>
        <v/>
      </c>
      <c r="J231" s="0" t="str">
        <f aca="true">IF(AND(ISNUMBER(C231),C231=TODAY()),C231+ROW()/100000,"")</f>
        <v/>
      </c>
      <c r="K231" s="0" t="str">
        <f aca="true">IF(AND(ISNUMBER(C231),C231&gt;TODAY(),C231&lt;=TODAY()+7),C231+ROW()/100000,"")</f>
        <v/>
      </c>
      <c r="L231" s="0" t="str">
        <f aca="false">IF(AND(ISNUMBER(C231),C231=CALENDÁRIO!$L$4),ROW(),"")</f>
        <v/>
      </c>
    </row>
    <row r="232" customFormat="false" ht="15" hidden="false" customHeight="true" outlineLevel="0" collapsed="false">
      <c r="A232" s="52"/>
      <c r="B232" s="52"/>
      <c r="C232" s="51"/>
      <c r="D232" s="52"/>
      <c r="E232" s="53" t="str">
        <f aca="false">IF(ISNUMBER(C232),CHOOSE(WEEKDAY(C232),"Domingo","Segunda","Terça","Quarta","Quinta","Sexta","Sábado"),"")</f>
        <v/>
      </c>
      <c r="F232" s="53" t="str">
        <f aca="true">IF(NOT(ISNUMBER(C232)),"",IF(C232=TODAY(),"HOJE",IF(C232=TODAY()+1,"AMANHÃ",IF(C232&lt;TODAY(),"Realizada",IF(C232-TODAY()&lt;=7,"Em "&amp;(C232-TODAY())&amp;" dias","Agendada")))))</f>
        <v/>
      </c>
      <c r="G232" s="53" t="str">
        <f aca="false">IF(OR(A232="",NOT(ISNUMBER(C232))),"",IF(COUNTIFS($A$2:$A$301,A232,$C$2:$C$301,C232)&gt;1,"⚠ Folga duplicada",IF(COUNTIFS($B$2:$B$301,B232,$C$2:$C$301,C232)&gt;1,"⚠ "&amp;COUNTIFS($B$2:$B$301,B232,$C$2:$C$301,C232)&amp;" pessoas do setor de folga no dia","")))</f>
        <v/>
      </c>
      <c r="J232" s="0" t="str">
        <f aca="true">IF(AND(ISNUMBER(C232),C232=TODAY()),C232+ROW()/100000,"")</f>
        <v/>
      </c>
      <c r="K232" s="0" t="str">
        <f aca="true">IF(AND(ISNUMBER(C232),C232&gt;TODAY(),C232&lt;=TODAY()+7),C232+ROW()/100000,"")</f>
        <v/>
      </c>
      <c r="L232" s="0" t="str">
        <f aca="false">IF(AND(ISNUMBER(C232),C232=CALENDÁRIO!$L$4),ROW(),"")</f>
        <v/>
      </c>
    </row>
    <row r="233" customFormat="false" ht="15" hidden="false" customHeight="true" outlineLevel="0" collapsed="false">
      <c r="A233" s="52"/>
      <c r="B233" s="52"/>
      <c r="C233" s="51"/>
      <c r="D233" s="52"/>
      <c r="E233" s="53" t="str">
        <f aca="false">IF(ISNUMBER(C233),CHOOSE(WEEKDAY(C233),"Domingo","Segunda","Terça","Quarta","Quinta","Sexta","Sábado"),"")</f>
        <v/>
      </c>
      <c r="F233" s="53" t="str">
        <f aca="true">IF(NOT(ISNUMBER(C233)),"",IF(C233=TODAY(),"HOJE",IF(C233=TODAY()+1,"AMANHÃ",IF(C233&lt;TODAY(),"Realizada",IF(C233-TODAY()&lt;=7,"Em "&amp;(C233-TODAY())&amp;" dias","Agendada")))))</f>
        <v/>
      </c>
      <c r="G233" s="53" t="str">
        <f aca="false">IF(OR(A233="",NOT(ISNUMBER(C233))),"",IF(COUNTIFS($A$2:$A$301,A233,$C$2:$C$301,C233)&gt;1,"⚠ Folga duplicada",IF(COUNTIFS($B$2:$B$301,B233,$C$2:$C$301,C233)&gt;1,"⚠ "&amp;COUNTIFS($B$2:$B$301,B233,$C$2:$C$301,C233)&amp;" pessoas do setor de folga no dia","")))</f>
        <v/>
      </c>
      <c r="J233" s="0" t="str">
        <f aca="true">IF(AND(ISNUMBER(C233),C233=TODAY()),C233+ROW()/100000,"")</f>
        <v/>
      </c>
      <c r="K233" s="0" t="str">
        <f aca="true">IF(AND(ISNUMBER(C233),C233&gt;TODAY(),C233&lt;=TODAY()+7),C233+ROW()/100000,"")</f>
        <v/>
      </c>
      <c r="L233" s="0" t="str">
        <f aca="false">IF(AND(ISNUMBER(C233),C233=CALENDÁRIO!$L$4),ROW(),"")</f>
        <v/>
      </c>
    </row>
    <row r="234" customFormat="false" ht="15" hidden="false" customHeight="true" outlineLevel="0" collapsed="false">
      <c r="A234" s="52"/>
      <c r="B234" s="52"/>
      <c r="C234" s="51"/>
      <c r="D234" s="52"/>
      <c r="E234" s="53" t="str">
        <f aca="false">IF(ISNUMBER(C234),CHOOSE(WEEKDAY(C234),"Domingo","Segunda","Terça","Quarta","Quinta","Sexta","Sábado"),"")</f>
        <v/>
      </c>
      <c r="F234" s="53" t="str">
        <f aca="true">IF(NOT(ISNUMBER(C234)),"",IF(C234=TODAY(),"HOJE",IF(C234=TODAY()+1,"AMANHÃ",IF(C234&lt;TODAY(),"Realizada",IF(C234-TODAY()&lt;=7,"Em "&amp;(C234-TODAY())&amp;" dias","Agendada")))))</f>
        <v/>
      </c>
      <c r="G234" s="53" t="str">
        <f aca="false">IF(OR(A234="",NOT(ISNUMBER(C234))),"",IF(COUNTIFS($A$2:$A$301,A234,$C$2:$C$301,C234)&gt;1,"⚠ Folga duplicada",IF(COUNTIFS($B$2:$B$301,B234,$C$2:$C$301,C234)&gt;1,"⚠ "&amp;COUNTIFS($B$2:$B$301,B234,$C$2:$C$301,C234)&amp;" pessoas do setor de folga no dia","")))</f>
        <v/>
      </c>
      <c r="J234" s="0" t="str">
        <f aca="true">IF(AND(ISNUMBER(C234),C234=TODAY()),C234+ROW()/100000,"")</f>
        <v/>
      </c>
      <c r="K234" s="0" t="str">
        <f aca="true">IF(AND(ISNUMBER(C234),C234&gt;TODAY(),C234&lt;=TODAY()+7),C234+ROW()/100000,"")</f>
        <v/>
      </c>
      <c r="L234" s="0" t="str">
        <f aca="false">IF(AND(ISNUMBER(C234),C234=CALENDÁRIO!$L$4),ROW(),"")</f>
        <v/>
      </c>
    </row>
    <row r="235" customFormat="false" ht="15" hidden="false" customHeight="true" outlineLevel="0" collapsed="false">
      <c r="A235" s="52"/>
      <c r="B235" s="52"/>
      <c r="C235" s="51"/>
      <c r="D235" s="52"/>
      <c r="E235" s="53" t="str">
        <f aca="false">IF(ISNUMBER(C235),CHOOSE(WEEKDAY(C235),"Domingo","Segunda","Terça","Quarta","Quinta","Sexta","Sábado"),"")</f>
        <v/>
      </c>
      <c r="F235" s="53" t="str">
        <f aca="true">IF(NOT(ISNUMBER(C235)),"",IF(C235=TODAY(),"HOJE",IF(C235=TODAY()+1,"AMANHÃ",IF(C235&lt;TODAY(),"Realizada",IF(C235-TODAY()&lt;=7,"Em "&amp;(C235-TODAY())&amp;" dias","Agendada")))))</f>
        <v/>
      </c>
      <c r="G235" s="53" t="str">
        <f aca="false">IF(OR(A235="",NOT(ISNUMBER(C235))),"",IF(COUNTIFS($A$2:$A$301,A235,$C$2:$C$301,C235)&gt;1,"⚠ Folga duplicada",IF(COUNTIFS($B$2:$B$301,B235,$C$2:$C$301,C235)&gt;1,"⚠ "&amp;COUNTIFS($B$2:$B$301,B235,$C$2:$C$301,C235)&amp;" pessoas do setor de folga no dia","")))</f>
        <v/>
      </c>
      <c r="J235" s="0" t="str">
        <f aca="true">IF(AND(ISNUMBER(C235),C235=TODAY()),C235+ROW()/100000,"")</f>
        <v/>
      </c>
      <c r="K235" s="0" t="str">
        <f aca="true">IF(AND(ISNUMBER(C235),C235&gt;TODAY(),C235&lt;=TODAY()+7),C235+ROW()/100000,"")</f>
        <v/>
      </c>
      <c r="L235" s="0" t="str">
        <f aca="false">IF(AND(ISNUMBER(C235),C235=CALENDÁRIO!$L$4),ROW(),"")</f>
        <v/>
      </c>
    </row>
    <row r="236" customFormat="false" ht="15" hidden="false" customHeight="true" outlineLevel="0" collapsed="false">
      <c r="A236" s="52"/>
      <c r="B236" s="52"/>
      <c r="C236" s="51"/>
      <c r="D236" s="52"/>
      <c r="E236" s="53" t="str">
        <f aca="false">IF(ISNUMBER(C236),CHOOSE(WEEKDAY(C236),"Domingo","Segunda","Terça","Quarta","Quinta","Sexta","Sábado"),"")</f>
        <v/>
      </c>
      <c r="F236" s="53" t="str">
        <f aca="true">IF(NOT(ISNUMBER(C236)),"",IF(C236=TODAY(),"HOJE",IF(C236=TODAY()+1,"AMANHÃ",IF(C236&lt;TODAY(),"Realizada",IF(C236-TODAY()&lt;=7,"Em "&amp;(C236-TODAY())&amp;" dias","Agendada")))))</f>
        <v/>
      </c>
      <c r="G236" s="53" t="str">
        <f aca="false">IF(OR(A236="",NOT(ISNUMBER(C236))),"",IF(COUNTIFS($A$2:$A$301,A236,$C$2:$C$301,C236)&gt;1,"⚠ Folga duplicada",IF(COUNTIFS($B$2:$B$301,B236,$C$2:$C$301,C236)&gt;1,"⚠ "&amp;COUNTIFS($B$2:$B$301,B236,$C$2:$C$301,C236)&amp;" pessoas do setor de folga no dia","")))</f>
        <v/>
      </c>
      <c r="J236" s="0" t="str">
        <f aca="true">IF(AND(ISNUMBER(C236),C236=TODAY()),C236+ROW()/100000,"")</f>
        <v/>
      </c>
      <c r="K236" s="0" t="str">
        <f aca="true">IF(AND(ISNUMBER(C236),C236&gt;TODAY(),C236&lt;=TODAY()+7),C236+ROW()/100000,"")</f>
        <v/>
      </c>
      <c r="L236" s="0" t="str">
        <f aca="false">IF(AND(ISNUMBER(C236),C236=CALENDÁRIO!$L$4),ROW(),"")</f>
        <v/>
      </c>
    </row>
    <row r="237" customFormat="false" ht="15" hidden="false" customHeight="true" outlineLevel="0" collapsed="false">
      <c r="A237" s="52"/>
      <c r="B237" s="52"/>
      <c r="C237" s="51"/>
      <c r="D237" s="52"/>
      <c r="E237" s="53" t="str">
        <f aca="false">IF(ISNUMBER(C237),CHOOSE(WEEKDAY(C237),"Domingo","Segunda","Terça","Quarta","Quinta","Sexta","Sábado"),"")</f>
        <v/>
      </c>
      <c r="F237" s="53" t="str">
        <f aca="true">IF(NOT(ISNUMBER(C237)),"",IF(C237=TODAY(),"HOJE",IF(C237=TODAY()+1,"AMANHÃ",IF(C237&lt;TODAY(),"Realizada",IF(C237-TODAY()&lt;=7,"Em "&amp;(C237-TODAY())&amp;" dias","Agendada")))))</f>
        <v/>
      </c>
      <c r="G237" s="53" t="str">
        <f aca="false">IF(OR(A237="",NOT(ISNUMBER(C237))),"",IF(COUNTIFS($A$2:$A$301,A237,$C$2:$C$301,C237)&gt;1,"⚠ Folga duplicada",IF(COUNTIFS($B$2:$B$301,B237,$C$2:$C$301,C237)&gt;1,"⚠ "&amp;COUNTIFS($B$2:$B$301,B237,$C$2:$C$301,C237)&amp;" pessoas do setor de folga no dia","")))</f>
        <v/>
      </c>
      <c r="J237" s="0" t="str">
        <f aca="true">IF(AND(ISNUMBER(C237),C237=TODAY()),C237+ROW()/100000,"")</f>
        <v/>
      </c>
      <c r="K237" s="0" t="str">
        <f aca="true">IF(AND(ISNUMBER(C237),C237&gt;TODAY(),C237&lt;=TODAY()+7),C237+ROW()/100000,"")</f>
        <v/>
      </c>
      <c r="L237" s="0" t="str">
        <f aca="false">IF(AND(ISNUMBER(C237),C237=CALENDÁRIO!$L$4),ROW(),"")</f>
        <v/>
      </c>
    </row>
    <row r="238" customFormat="false" ht="15" hidden="false" customHeight="true" outlineLevel="0" collapsed="false">
      <c r="A238" s="52"/>
      <c r="B238" s="52"/>
      <c r="C238" s="51"/>
      <c r="D238" s="52"/>
      <c r="E238" s="53" t="str">
        <f aca="false">IF(ISNUMBER(C238),CHOOSE(WEEKDAY(C238),"Domingo","Segunda","Terça","Quarta","Quinta","Sexta","Sábado"),"")</f>
        <v/>
      </c>
      <c r="F238" s="53" t="str">
        <f aca="true">IF(NOT(ISNUMBER(C238)),"",IF(C238=TODAY(),"HOJE",IF(C238=TODAY()+1,"AMANHÃ",IF(C238&lt;TODAY(),"Realizada",IF(C238-TODAY()&lt;=7,"Em "&amp;(C238-TODAY())&amp;" dias","Agendada")))))</f>
        <v/>
      </c>
      <c r="G238" s="53" t="str">
        <f aca="false">IF(OR(A238="",NOT(ISNUMBER(C238))),"",IF(COUNTIFS($A$2:$A$301,A238,$C$2:$C$301,C238)&gt;1,"⚠ Folga duplicada",IF(COUNTIFS($B$2:$B$301,B238,$C$2:$C$301,C238)&gt;1,"⚠ "&amp;COUNTIFS($B$2:$B$301,B238,$C$2:$C$301,C238)&amp;" pessoas do setor de folga no dia","")))</f>
        <v/>
      </c>
      <c r="J238" s="0" t="str">
        <f aca="true">IF(AND(ISNUMBER(C238),C238=TODAY()),C238+ROW()/100000,"")</f>
        <v/>
      </c>
      <c r="K238" s="0" t="str">
        <f aca="true">IF(AND(ISNUMBER(C238),C238&gt;TODAY(),C238&lt;=TODAY()+7),C238+ROW()/100000,"")</f>
        <v/>
      </c>
      <c r="L238" s="0" t="str">
        <f aca="false">IF(AND(ISNUMBER(C238),C238=CALENDÁRIO!$L$4),ROW(),"")</f>
        <v/>
      </c>
    </row>
    <row r="239" customFormat="false" ht="15" hidden="false" customHeight="true" outlineLevel="0" collapsed="false">
      <c r="A239" s="52"/>
      <c r="B239" s="52"/>
      <c r="C239" s="51"/>
      <c r="D239" s="52"/>
      <c r="E239" s="53" t="str">
        <f aca="false">IF(ISNUMBER(C239),CHOOSE(WEEKDAY(C239),"Domingo","Segunda","Terça","Quarta","Quinta","Sexta","Sábado"),"")</f>
        <v/>
      </c>
      <c r="F239" s="53" t="str">
        <f aca="true">IF(NOT(ISNUMBER(C239)),"",IF(C239=TODAY(),"HOJE",IF(C239=TODAY()+1,"AMANHÃ",IF(C239&lt;TODAY(),"Realizada",IF(C239-TODAY()&lt;=7,"Em "&amp;(C239-TODAY())&amp;" dias","Agendada")))))</f>
        <v/>
      </c>
      <c r="G239" s="53" t="str">
        <f aca="false">IF(OR(A239="",NOT(ISNUMBER(C239))),"",IF(COUNTIFS($A$2:$A$301,A239,$C$2:$C$301,C239)&gt;1,"⚠ Folga duplicada",IF(COUNTIFS($B$2:$B$301,B239,$C$2:$C$301,C239)&gt;1,"⚠ "&amp;COUNTIFS($B$2:$B$301,B239,$C$2:$C$301,C239)&amp;" pessoas do setor de folga no dia","")))</f>
        <v/>
      </c>
      <c r="J239" s="0" t="str">
        <f aca="true">IF(AND(ISNUMBER(C239),C239=TODAY()),C239+ROW()/100000,"")</f>
        <v/>
      </c>
      <c r="K239" s="0" t="str">
        <f aca="true">IF(AND(ISNUMBER(C239),C239&gt;TODAY(),C239&lt;=TODAY()+7),C239+ROW()/100000,"")</f>
        <v/>
      </c>
      <c r="L239" s="0" t="str">
        <f aca="false">IF(AND(ISNUMBER(C239),C239=CALENDÁRIO!$L$4),ROW(),"")</f>
        <v/>
      </c>
    </row>
    <row r="240" customFormat="false" ht="15" hidden="false" customHeight="true" outlineLevel="0" collapsed="false">
      <c r="A240" s="52"/>
      <c r="B240" s="52"/>
      <c r="C240" s="51"/>
      <c r="D240" s="52"/>
      <c r="E240" s="53" t="str">
        <f aca="false">IF(ISNUMBER(C240),CHOOSE(WEEKDAY(C240),"Domingo","Segunda","Terça","Quarta","Quinta","Sexta","Sábado"),"")</f>
        <v/>
      </c>
      <c r="F240" s="53" t="str">
        <f aca="true">IF(NOT(ISNUMBER(C240)),"",IF(C240=TODAY(),"HOJE",IF(C240=TODAY()+1,"AMANHÃ",IF(C240&lt;TODAY(),"Realizada",IF(C240-TODAY()&lt;=7,"Em "&amp;(C240-TODAY())&amp;" dias","Agendada")))))</f>
        <v/>
      </c>
      <c r="G240" s="53" t="str">
        <f aca="false">IF(OR(A240="",NOT(ISNUMBER(C240))),"",IF(COUNTIFS($A$2:$A$301,A240,$C$2:$C$301,C240)&gt;1,"⚠ Folga duplicada",IF(COUNTIFS($B$2:$B$301,B240,$C$2:$C$301,C240)&gt;1,"⚠ "&amp;COUNTIFS($B$2:$B$301,B240,$C$2:$C$301,C240)&amp;" pessoas do setor de folga no dia","")))</f>
        <v/>
      </c>
      <c r="J240" s="0" t="str">
        <f aca="true">IF(AND(ISNUMBER(C240),C240=TODAY()),C240+ROW()/100000,"")</f>
        <v/>
      </c>
      <c r="K240" s="0" t="str">
        <f aca="true">IF(AND(ISNUMBER(C240),C240&gt;TODAY(),C240&lt;=TODAY()+7),C240+ROW()/100000,"")</f>
        <v/>
      </c>
      <c r="L240" s="0" t="str">
        <f aca="false">IF(AND(ISNUMBER(C240),C240=CALENDÁRIO!$L$4),ROW(),"")</f>
        <v/>
      </c>
    </row>
    <row r="241" customFormat="false" ht="15" hidden="false" customHeight="true" outlineLevel="0" collapsed="false">
      <c r="A241" s="52"/>
      <c r="B241" s="52"/>
      <c r="C241" s="51"/>
      <c r="D241" s="52"/>
      <c r="E241" s="53" t="str">
        <f aca="false">IF(ISNUMBER(C241),CHOOSE(WEEKDAY(C241),"Domingo","Segunda","Terça","Quarta","Quinta","Sexta","Sábado"),"")</f>
        <v/>
      </c>
      <c r="F241" s="53" t="str">
        <f aca="true">IF(NOT(ISNUMBER(C241)),"",IF(C241=TODAY(),"HOJE",IF(C241=TODAY()+1,"AMANHÃ",IF(C241&lt;TODAY(),"Realizada",IF(C241-TODAY()&lt;=7,"Em "&amp;(C241-TODAY())&amp;" dias","Agendada")))))</f>
        <v/>
      </c>
      <c r="G241" s="53" t="str">
        <f aca="false">IF(OR(A241="",NOT(ISNUMBER(C241))),"",IF(COUNTIFS($A$2:$A$301,A241,$C$2:$C$301,C241)&gt;1,"⚠ Folga duplicada",IF(COUNTIFS($B$2:$B$301,B241,$C$2:$C$301,C241)&gt;1,"⚠ "&amp;COUNTIFS($B$2:$B$301,B241,$C$2:$C$301,C241)&amp;" pessoas do setor de folga no dia","")))</f>
        <v/>
      </c>
      <c r="J241" s="0" t="str">
        <f aca="true">IF(AND(ISNUMBER(C241),C241=TODAY()),C241+ROW()/100000,"")</f>
        <v/>
      </c>
      <c r="K241" s="0" t="str">
        <f aca="true">IF(AND(ISNUMBER(C241),C241&gt;TODAY(),C241&lt;=TODAY()+7),C241+ROW()/100000,"")</f>
        <v/>
      </c>
      <c r="L241" s="0" t="str">
        <f aca="false">IF(AND(ISNUMBER(C241),C241=CALENDÁRIO!$L$4),ROW(),"")</f>
        <v/>
      </c>
    </row>
    <row r="242" customFormat="false" ht="15" hidden="false" customHeight="true" outlineLevel="0" collapsed="false">
      <c r="A242" s="52"/>
      <c r="B242" s="52"/>
      <c r="C242" s="51"/>
      <c r="D242" s="52"/>
      <c r="E242" s="53" t="str">
        <f aca="false">IF(ISNUMBER(C242),CHOOSE(WEEKDAY(C242),"Domingo","Segunda","Terça","Quarta","Quinta","Sexta","Sábado"),"")</f>
        <v/>
      </c>
      <c r="F242" s="53" t="str">
        <f aca="true">IF(NOT(ISNUMBER(C242)),"",IF(C242=TODAY(),"HOJE",IF(C242=TODAY()+1,"AMANHÃ",IF(C242&lt;TODAY(),"Realizada",IF(C242-TODAY()&lt;=7,"Em "&amp;(C242-TODAY())&amp;" dias","Agendada")))))</f>
        <v/>
      </c>
      <c r="G242" s="53" t="str">
        <f aca="false">IF(OR(A242="",NOT(ISNUMBER(C242))),"",IF(COUNTIFS($A$2:$A$301,A242,$C$2:$C$301,C242)&gt;1,"⚠ Folga duplicada",IF(COUNTIFS($B$2:$B$301,B242,$C$2:$C$301,C242)&gt;1,"⚠ "&amp;COUNTIFS($B$2:$B$301,B242,$C$2:$C$301,C242)&amp;" pessoas do setor de folga no dia","")))</f>
        <v/>
      </c>
      <c r="J242" s="0" t="str">
        <f aca="true">IF(AND(ISNUMBER(C242),C242=TODAY()),C242+ROW()/100000,"")</f>
        <v/>
      </c>
      <c r="K242" s="0" t="str">
        <f aca="true">IF(AND(ISNUMBER(C242),C242&gt;TODAY(),C242&lt;=TODAY()+7),C242+ROW()/100000,"")</f>
        <v/>
      </c>
      <c r="L242" s="0" t="str">
        <f aca="false">IF(AND(ISNUMBER(C242),C242=CALENDÁRIO!$L$4),ROW(),"")</f>
        <v/>
      </c>
    </row>
    <row r="243" customFormat="false" ht="15" hidden="false" customHeight="true" outlineLevel="0" collapsed="false">
      <c r="A243" s="52"/>
      <c r="B243" s="52"/>
      <c r="C243" s="51"/>
      <c r="D243" s="52"/>
      <c r="E243" s="53" t="str">
        <f aca="false">IF(ISNUMBER(C243),CHOOSE(WEEKDAY(C243),"Domingo","Segunda","Terça","Quarta","Quinta","Sexta","Sábado"),"")</f>
        <v/>
      </c>
      <c r="F243" s="53" t="str">
        <f aca="true">IF(NOT(ISNUMBER(C243)),"",IF(C243=TODAY(),"HOJE",IF(C243=TODAY()+1,"AMANHÃ",IF(C243&lt;TODAY(),"Realizada",IF(C243-TODAY()&lt;=7,"Em "&amp;(C243-TODAY())&amp;" dias","Agendada")))))</f>
        <v/>
      </c>
      <c r="G243" s="53" t="str">
        <f aca="false">IF(OR(A243="",NOT(ISNUMBER(C243))),"",IF(COUNTIFS($A$2:$A$301,A243,$C$2:$C$301,C243)&gt;1,"⚠ Folga duplicada",IF(COUNTIFS($B$2:$B$301,B243,$C$2:$C$301,C243)&gt;1,"⚠ "&amp;COUNTIFS($B$2:$B$301,B243,$C$2:$C$301,C243)&amp;" pessoas do setor de folga no dia","")))</f>
        <v/>
      </c>
      <c r="J243" s="0" t="str">
        <f aca="true">IF(AND(ISNUMBER(C243),C243=TODAY()),C243+ROW()/100000,"")</f>
        <v/>
      </c>
      <c r="K243" s="0" t="str">
        <f aca="true">IF(AND(ISNUMBER(C243),C243&gt;TODAY(),C243&lt;=TODAY()+7),C243+ROW()/100000,"")</f>
        <v/>
      </c>
      <c r="L243" s="0" t="str">
        <f aca="false">IF(AND(ISNUMBER(C243),C243=CALENDÁRIO!$L$4),ROW(),"")</f>
        <v/>
      </c>
    </row>
    <row r="244" customFormat="false" ht="15" hidden="false" customHeight="true" outlineLevel="0" collapsed="false">
      <c r="A244" s="52"/>
      <c r="B244" s="52"/>
      <c r="C244" s="51"/>
      <c r="D244" s="52"/>
      <c r="E244" s="53" t="str">
        <f aca="false">IF(ISNUMBER(C244),CHOOSE(WEEKDAY(C244),"Domingo","Segunda","Terça","Quarta","Quinta","Sexta","Sábado"),"")</f>
        <v/>
      </c>
      <c r="F244" s="53" t="str">
        <f aca="true">IF(NOT(ISNUMBER(C244)),"",IF(C244=TODAY(),"HOJE",IF(C244=TODAY()+1,"AMANHÃ",IF(C244&lt;TODAY(),"Realizada",IF(C244-TODAY()&lt;=7,"Em "&amp;(C244-TODAY())&amp;" dias","Agendada")))))</f>
        <v/>
      </c>
      <c r="G244" s="53" t="str">
        <f aca="false">IF(OR(A244="",NOT(ISNUMBER(C244))),"",IF(COUNTIFS($A$2:$A$301,A244,$C$2:$C$301,C244)&gt;1,"⚠ Folga duplicada",IF(COUNTIFS($B$2:$B$301,B244,$C$2:$C$301,C244)&gt;1,"⚠ "&amp;COUNTIFS($B$2:$B$301,B244,$C$2:$C$301,C244)&amp;" pessoas do setor de folga no dia","")))</f>
        <v/>
      </c>
      <c r="J244" s="0" t="str">
        <f aca="true">IF(AND(ISNUMBER(C244),C244=TODAY()),C244+ROW()/100000,"")</f>
        <v/>
      </c>
      <c r="K244" s="0" t="str">
        <f aca="true">IF(AND(ISNUMBER(C244),C244&gt;TODAY(),C244&lt;=TODAY()+7),C244+ROW()/100000,"")</f>
        <v/>
      </c>
      <c r="L244" s="0" t="str">
        <f aca="false">IF(AND(ISNUMBER(C244),C244=CALENDÁRIO!$L$4),ROW(),"")</f>
        <v/>
      </c>
    </row>
    <row r="245" customFormat="false" ht="15" hidden="false" customHeight="true" outlineLevel="0" collapsed="false">
      <c r="A245" s="52"/>
      <c r="B245" s="52"/>
      <c r="C245" s="51"/>
      <c r="D245" s="52"/>
      <c r="E245" s="53" t="str">
        <f aca="false">IF(ISNUMBER(C245),CHOOSE(WEEKDAY(C245),"Domingo","Segunda","Terça","Quarta","Quinta","Sexta","Sábado"),"")</f>
        <v/>
      </c>
      <c r="F245" s="53" t="str">
        <f aca="true">IF(NOT(ISNUMBER(C245)),"",IF(C245=TODAY(),"HOJE",IF(C245=TODAY()+1,"AMANHÃ",IF(C245&lt;TODAY(),"Realizada",IF(C245-TODAY()&lt;=7,"Em "&amp;(C245-TODAY())&amp;" dias","Agendada")))))</f>
        <v/>
      </c>
      <c r="G245" s="53" t="str">
        <f aca="false">IF(OR(A245="",NOT(ISNUMBER(C245))),"",IF(COUNTIFS($A$2:$A$301,A245,$C$2:$C$301,C245)&gt;1,"⚠ Folga duplicada",IF(COUNTIFS($B$2:$B$301,B245,$C$2:$C$301,C245)&gt;1,"⚠ "&amp;COUNTIFS($B$2:$B$301,B245,$C$2:$C$301,C245)&amp;" pessoas do setor de folga no dia","")))</f>
        <v/>
      </c>
      <c r="J245" s="0" t="str">
        <f aca="true">IF(AND(ISNUMBER(C245),C245=TODAY()),C245+ROW()/100000,"")</f>
        <v/>
      </c>
      <c r="K245" s="0" t="str">
        <f aca="true">IF(AND(ISNUMBER(C245),C245&gt;TODAY(),C245&lt;=TODAY()+7),C245+ROW()/100000,"")</f>
        <v/>
      </c>
      <c r="L245" s="0" t="str">
        <f aca="false">IF(AND(ISNUMBER(C245),C245=CALENDÁRIO!$L$4),ROW(),"")</f>
        <v/>
      </c>
    </row>
    <row r="246" customFormat="false" ht="15" hidden="false" customHeight="true" outlineLevel="0" collapsed="false">
      <c r="A246" s="52"/>
      <c r="B246" s="52"/>
      <c r="C246" s="51"/>
      <c r="D246" s="52"/>
      <c r="E246" s="53" t="str">
        <f aca="false">IF(ISNUMBER(C246),CHOOSE(WEEKDAY(C246),"Domingo","Segunda","Terça","Quarta","Quinta","Sexta","Sábado"),"")</f>
        <v/>
      </c>
      <c r="F246" s="53" t="str">
        <f aca="true">IF(NOT(ISNUMBER(C246)),"",IF(C246=TODAY(),"HOJE",IF(C246=TODAY()+1,"AMANHÃ",IF(C246&lt;TODAY(),"Realizada",IF(C246-TODAY()&lt;=7,"Em "&amp;(C246-TODAY())&amp;" dias","Agendada")))))</f>
        <v/>
      </c>
      <c r="G246" s="53" t="str">
        <f aca="false">IF(OR(A246="",NOT(ISNUMBER(C246))),"",IF(COUNTIFS($A$2:$A$301,A246,$C$2:$C$301,C246)&gt;1,"⚠ Folga duplicada",IF(COUNTIFS($B$2:$B$301,B246,$C$2:$C$301,C246)&gt;1,"⚠ "&amp;COUNTIFS($B$2:$B$301,B246,$C$2:$C$301,C246)&amp;" pessoas do setor de folga no dia","")))</f>
        <v/>
      </c>
      <c r="J246" s="0" t="str">
        <f aca="true">IF(AND(ISNUMBER(C246),C246=TODAY()),C246+ROW()/100000,"")</f>
        <v/>
      </c>
      <c r="K246" s="0" t="str">
        <f aca="true">IF(AND(ISNUMBER(C246),C246&gt;TODAY(),C246&lt;=TODAY()+7),C246+ROW()/100000,"")</f>
        <v/>
      </c>
      <c r="L246" s="0" t="str">
        <f aca="false">IF(AND(ISNUMBER(C246),C246=CALENDÁRIO!$L$4),ROW(),"")</f>
        <v/>
      </c>
    </row>
    <row r="247" customFormat="false" ht="15" hidden="false" customHeight="true" outlineLevel="0" collapsed="false">
      <c r="A247" s="52"/>
      <c r="B247" s="52"/>
      <c r="C247" s="51"/>
      <c r="D247" s="52"/>
      <c r="E247" s="53" t="str">
        <f aca="false">IF(ISNUMBER(C247),CHOOSE(WEEKDAY(C247),"Domingo","Segunda","Terça","Quarta","Quinta","Sexta","Sábado"),"")</f>
        <v/>
      </c>
      <c r="F247" s="53" t="str">
        <f aca="true">IF(NOT(ISNUMBER(C247)),"",IF(C247=TODAY(),"HOJE",IF(C247=TODAY()+1,"AMANHÃ",IF(C247&lt;TODAY(),"Realizada",IF(C247-TODAY()&lt;=7,"Em "&amp;(C247-TODAY())&amp;" dias","Agendada")))))</f>
        <v/>
      </c>
      <c r="G247" s="53" t="str">
        <f aca="false">IF(OR(A247="",NOT(ISNUMBER(C247))),"",IF(COUNTIFS($A$2:$A$301,A247,$C$2:$C$301,C247)&gt;1,"⚠ Folga duplicada",IF(COUNTIFS($B$2:$B$301,B247,$C$2:$C$301,C247)&gt;1,"⚠ "&amp;COUNTIFS($B$2:$B$301,B247,$C$2:$C$301,C247)&amp;" pessoas do setor de folga no dia","")))</f>
        <v/>
      </c>
      <c r="J247" s="0" t="str">
        <f aca="true">IF(AND(ISNUMBER(C247),C247=TODAY()),C247+ROW()/100000,"")</f>
        <v/>
      </c>
      <c r="K247" s="0" t="str">
        <f aca="true">IF(AND(ISNUMBER(C247),C247&gt;TODAY(),C247&lt;=TODAY()+7),C247+ROW()/100000,"")</f>
        <v/>
      </c>
      <c r="L247" s="0" t="str">
        <f aca="false">IF(AND(ISNUMBER(C247),C247=CALENDÁRIO!$L$4),ROW(),"")</f>
        <v/>
      </c>
    </row>
    <row r="248" customFormat="false" ht="15" hidden="false" customHeight="true" outlineLevel="0" collapsed="false">
      <c r="A248" s="52"/>
      <c r="B248" s="52"/>
      <c r="C248" s="51"/>
      <c r="D248" s="52"/>
      <c r="E248" s="53" t="str">
        <f aca="false">IF(ISNUMBER(C248),CHOOSE(WEEKDAY(C248),"Domingo","Segunda","Terça","Quarta","Quinta","Sexta","Sábado"),"")</f>
        <v/>
      </c>
      <c r="F248" s="53" t="str">
        <f aca="true">IF(NOT(ISNUMBER(C248)),"",IF(C248=TODAY(),"HOJE",IF(C248=TODAY()+1,"AMANHÃ",IF(C248&lt;TODAY(),"Realizada",IF(C248-TODAY()&lt;=7,"Em "&amp;(C248-TODAY())&amp;" dias","Agendada")))))</f>
        <v/>
      </c>
      <c r="G248" s="53" t="str">
        <f aca="false">IF(OR(A248="",NOT(ISNUMBER(C248))),"",IF(COUNTIFS($A$2:$A$301,A248,$C$2:$C$301,C248)&gt;1,"⚠ Folga duplicada",IF(COUNTIFS($B$2:$B$301,B248,$C$2:$C$301,C248)&gt;1,"⚠ "&amp;COUNTIFS($B$2:$B$301,B248,$C$2:$C$301,C248)&amp;" pessoas do setor de folga no dia","")))</f>
        <v/>
      </c>
      <c r="J248" s="0" t="str">
        <f aca="true">IF(AND(ISNUMBER(C248),C248=TODAY()),C248+ROW()/100000,"")</f>
        <v/>
      </c>
      <c r="K248" s="0" t="str">
        <f aca="true">IF(AND(ISNUMBER(C248),C248&gt;TODAY(),C248&lt;=TODAY()+7),C248+ROW()/100000,"")</f>
        <v/>
      </c>
      <c r="L248" s="0" t="str">
        <f aca="false">IF(AND(ISNUMBER(C248),C248=CALENDÁRIO!$L$4),ROW(),"")</f>
        <v/>
      </c>
    </row>
    <row r="249" customFormat="false" ht="15" hidden="false" customHeight="true" outlineLevel="0" collapsed="false">
      <c r="A249" s="52"/>
      <c r="B249" s="52"/>
      <c r="C249" s="51"/>
      <c r="D249" s="52"/>
      <c r="E249" s="53" t="str">
        <f aca="false">IF(ISNUMBER(C249),CHOOSE(WEEKDAY(C249),"Domingo","Segunda","Terça","Quarta","Quinta","Sexta","Sábado"),"")</f>
        <v/>
      </c>
      <c r="F249" s="53" t="str">
        <f aca="true">IF(NOT(ISNUMBER(C249)),"",IF(C249=TODAY(),"HOJE",IF(C249=TODAY()+1,"AMANHÃ",IF(C249&lt;TODAY(),"Realizada",IF(C249-TODAY()&lt;=7,"Em "&amp;(C249-TODAY())&amp;" dias","Agendada")))))</f>
        <v/>
      </c>
      <c r="G249" s="53" t="str">
        <f aca="false">IF(OR(A249="",NOT(ISNUMBER(C249))),"",IF(COUNTIFS($A$2:$A$301,A249,$C$2:$C$301,C249)&gt;1,"⚠ Folga duplicada",IF(COUNTIFS($B$2:$B$301,B249,$C$2:$C$301,C249)&gt;1,"⚠ "&amp;COUNTIFS($B$2:$B$301,B249,$C$2:$C$301,C249)&amp;" pessoas do setor de folga no dia","")))</f>
        <v/>
      </c>
      <c r="J249" s="0" t="str">
        <f aca="true">IF(AND(ISNUMBER(C249),C249=TODAY()),C249+ROW()/100000,"")</f>
        <v/>
      </c>
      <c r="K249" s="0" t="str">
        <f aca="true">IF(AND(ISNUMBER(C249),C249&gt;TODAY(),C249&lt;=TODAY()+7),C249+ROW()/100000,"")</f>
        <v/>
      </c>
      <c r="L249" s="0" t="str">
        <f aca="false">IF(AND(ISNUMBER(C249),C249=CALENDÁRIO!$L$4),ROW(),"")</f>
        <v/>
      </c>
    </row>
    <row r="250" customFormat="false" ht="15" hidden="false" customHeight="true" outlineLevel="0" collapsed="false">
      <c r="A250" s="52"/>
      <c r="B250" s="52"/>
      <c r="C250" s="51"/>
      <c r="D250" s="52"/>
      <c r="E250" s="53" t="str">
        <f aca="false">IF(ISNUMBER(C250),CHOOSE(WEEKDAY(C250),"Domingo","Segunda","Terça","Quarta","Quinta","Sexta","Sábado"),"")</f>
        <v/>
      </c>
      <c r="F250" s="53" t="str">
        <f aca="true">IF(NOT(ISNUMBER(C250)),"",IF(C250=TODAY(),"HOJE",IF(C250=TODAY()+1,"AMANHÃ",IF(C250&lt;TODAY(),"Realizada",IF(C250-TODAY()&lt;=7,"Em "&amp;(C250-TODAY())&amp;" dias","Agendada")))))</f>
        <v/>
      </c>
      <c r="G250" s="53" t="str">
        <f aca="false">IF(OR(A250="",NOT(ISNUMBER(C250))),"",IF(COUNTIFS($A$2:$A$301,A250,$C$2:$C$301,C250)&gt;1,"⚠ Folga duplicada",IF(COUNTIFS($B$2:$B$301,B250,$C$2:$C$301,C250)&gt;1,"⚠ "&amp;COUNTIFS($B$2:$B$301,B250,$C$2:$C$301,C250)&amp;" pessoas do setor de folga no dia","")))</f>
        <v/>
      </c>
      <c r="J250" s="0" t="str">
        <f aca="true">IF(AND(ISNUMBER(C250),C250=TODAY()),C250+ROW()/100000,"")</f>
        <v/>
      </c>
      <c r="K250" s="0" t="str">
        <f aca="true">IF(AND(ISNUMBER(C250),C250&gt;TODAY(),C250&lt;=TODAY()+7),C250+ROW()/100000,"")</f>
        <v/>
      </c>
      <c r="L250" s="0" t="str">
        <f aca="false">IF(AND(ISNUMBER(C250),C250=CALENDÁRIO!$L$4),ROW(),"")</f>
        <v/>
      </c>
    </row>
    <row r="251" customFormat="false" ht="15" hidden="false" customHeight="true" outlineLevel="0" collapsed="false">
      <c r="A251" s="52"/>
      <c r="B251" s="52"/>
      <c r="C251" s="51"/>
      <c r="D251" s="52"/>
      <c r="E251" s="53" t="str">
        <f aca="false">IF(ISNUMBER(C251),CHOOSE(WEEKDAY(C251),"Domingo","Segunda","Terça","Quarta","Quinta","Sexta","Sábado"),"")</f>
        <v/>
      </c>
      <c r="F251" s="53" t="str">
        <f aca="true">IF(NOT(ISNUMBER(C251)),"",IF(C251=TODAY(),"HOJE",IF(C251=TODAY()+1,"AMANHÃ",IF(C251&lt;TODAY(),"Realizada",IF(C251-TODAY()&lt;=7,"Em "&amp;(C251-TODAY())&amp;" dias","Agendada")))))</f>
        <v/>
      </c>
      <c r="G251" s="53" t="str">
        <f aca="false">IF(OR(A251="",NOT(ISNUMBER(C251))),"",IF(COUNTIFS($A$2:$A$301,A251,$C$2:$C$301,C251)&gt;1,"⚠ Folga duplicada",IF(COUNTIFS($B$2:$B$301,B251,$C$2:$C$301,C251)&gt;1,"⚠ "&amp;COUNTIFS($B$2:$B$301,B251,$C$2:$C$301,C251)&amp;" pessoas do setor de folga no dia","")))</f>
        <v/>
      </c>
      <c r="J251" s="0" t="str">
        <f aca="true">IF(AND(ISNUMBER(C251),C251=TODAY()),C251+ROW()/100000,"")</f>
        <v/>
      </c>
      <c r="K251" s="0" t="str">
        <f aca="true">IF(AND(ISNUMBER(C251),C251&gt;TODAY(),C251&lt;=TODAY()+7),C251+ROW()/100000,"")</f>
        <v/>
      </c>
      <c r="L251" s="0" t="str">
        <f aca="false">IF(AND(ISNUMBER(C251),C251=CALENDÁRIO!$L$4),ROW(),"")</f>
        <v/>
      </c>
    </row>
    <row r="252" customFormat="false" ht="15" hidden="false" customHeight="true" outlineLevel="0" collapsed="false">
      <c r="A252" s="52"/>
      <c r="B252" s="52"/>
      <c r="C252" s="51"/>
      <c r="D252" s="52"/>
      <c r="E252" s="53" t="str">
        <f aca="false">IF(ISNUMBER(C252),CHOOSE(WEEKDAY(C252),"Domingo","Segunda","Terça","Quarta","Quinta","Sexta","Sábado"),"")</f>
        <v/>
      </c>
      <c r="F252" s="53" t="str">
        <f aca="true">IF(NOT(ISNUMBER(C252)),"",IF(C252=TODAY(),"HOJE",IF(C252=TODAY()+1,"AMANHÃ",IF(C252&lt;TODAY(),"Realizada",IF(C252-TODAY()&lt;=7,"Em "&amp;(C252-TODAY())&amp;" dias","Agendada")))))</f>
        <v/>
      </c>
      <c r="G252" s="53" t="str">
        <f aca="false">IF(OR(A252="",NOT(ISNUMBER(C252))),"",IF(COUNTIFS($A$2:$A$301,A252,$C$2:$C$301,C252)&gt;1,"⚠ Folga duplicada",IF(COUNTIFS($B$2:$B$301,B252,$C$2:$C$301,C252)&gt;1,"⚠ "&amp;COUNTIFS($B$2:$B$301,B252,$C$2:$C$301,C252)&amp;" pessoas do setor de folga no dia","")))</f>
        <v/>
      </c>
      <c r="J252" s="0" t="str">
        <f aca="true">IF(AND(ISNUMBER(C252),C252=TODAY()),C252+ROW()/100000,"")</f>
        <v/>
      </c>
      <c r="K252" s="0" t="str">
        <f aca="true">IF(AND(ISNUMBER(C252),C252&gt;TODAY(),C252&lt;=TODAY()+7),C252+ROW()/100000,"")</f>
        <v/>
      </c>
      <c r="L252" s="0" t="str">
        <f aca="false">IF(AND(ISNUMBER(C252),C252=CALENDÁRIO!$L$4),ROW(),"")</f>
        <v/>
      </c>
    </row>
    <row r="253" customFormat="false" ht="15" hidden="false" customHeight="true" outlineLevel="0" collapsed="false">
      <c r="A253" s="52"/>
      <c r="B253" s="52"/>
      <c r="C253" s="51"/>
      <c r="D253" s="52"/>
      <c r="E253" s="53" t="str">
        <f aca="false">IF(ISNUMBER(C253),CHOOSE(WEEKDAY(C253),"Domingo","Segunda","Terça","Quarta","Quinta","Sexta","Sábado"),"")</f>
        <v/>
      </c>
      <c r="F253" s="53" t="str">
        <f aca="true">IF(NOT(ISNUMBER(C253)),"",IF(C253=TODAY(),"HOJE",IF(C253=TODAY()+1,"AMANHÃ",IF(C253&lt;TODAY(),"Realizada",IF(C253-TODAY()&lt;=7,"Em "&amp;(C253-TODAY())&amp;" dias","Agendada")))))</f>
        <v/>
      </c>
      <c r="G253" s="53" t="str">
        <f aca="false">IF(OR(A253="",NOT(ISNUMBER(C253))),"",IF(COUNTIFS($A$2:$A$301,A253,$C$2:$C$301,C253)&gt;1,"⚠ Folga duplicada",IF(COUNTIFS($B$2:$B$301,B253,$C$2:$C$301,C253)&gt;1,"⚠ "&amp;COUNTIFS($B$2:$B$301,B253,$C$2:$C$301,C253)&amp;" pessoas do setor de folga no dia","")))</f>
        <v/>
      </c>
      <c r="J253" s="0" t="str">
        <f aca="true">IF(AND(ISNUMBER(C253),C253=TODAY()),C253+ROW()/100000,"")</f>
        <v/>
      </c>
      <c r="K253" s="0" t="str">
        <f aca="true">IF(AND(ISNUMBER(C253),C253&gt;TODAY(),C253&lt;=TODAY()+7),C253+ROW()/100000,"")</f>
        <v/>
      </c>
      <c r="L253" s="0" t="str">
        <f aca="false">IF(AND(ISNUMBER(C253),C253=CALENDÁRIO!$L$4),ROW(),"")</f>
        <v/>
      </c>
    </row>
    <row r="254" customFormat="false" ht="15" hidden="false" customHeight="true" outlineLevel="0" collapsed="false">
      <c r="A254" s="52"/>
      <c r="B254" s="52"/>
      <c r="C254" s="51"/>
      <c r="D254" s="52"/>
      <c r="E254" s="53" t="str">
        <f aca="false">IF(ISNUMBER(C254),CHOOSE(WEEKDAY(C254),"Domingo","Segunda","Terça","Quarta","Quinta","Sexta","Sábado"),"")</f>
        <v/>
      </c>
      <c r="F254" s="53" t="str">
        <f aca="true">IF(NOT(ISNUMBER(C254)),"",IF(C254=TODAY(),"HOJE",IF(C254=TODAY()+1,"AMANHÃ",IF(C254&lt;TODAY(),"Realizada",IF(C254-TODAY()&lt;=7,"Em "&amp;(C254-TODAY())&amp;" dias","Agendada")))))</f>
        <v/>
      </c>
      <c r="G254" s="53" t="str">
        <f aca="false">IF(OR(A254="",NOT(ISNUMBER(C254))),"",IF(COUNTIFS($A$2:$A$301,A254,$C$2:$C$301,C254)&gt;1,"⚠ Folga duplicada",IF(COUNTIFS($B$2:$B$301,B254,$C$2:$C$301,C254)&gt;1,"⚠ "&amp;COUNTIFS($B$2:$B$301,B254,$C$2:$C$301,C254)&amp;" pessoas do setor de folga no dia","")))</f>
        <v/>
      </c>
      <c r="J254" s="0" t="str">
        <f aca="true">IF(AND(ISNUMBER(C254),C254=TODAY()),C254+ROW()/100000,"")</f>
        <v/>
      </c>
      <c r="K254" s="0" t="str">
        <f aca="true">IF(AND(ISNUMBER(C254),C254&gt;TODAY(),C254&lt;=TODAY()+7),C254+ROW()/100000,"")</f>
        <v/>
      </c>
      <c r="L254" s="0" t="str">
        <f aca="false">IF(AND(ISNUMBER(C254),C254=CALENDÁRIO!$L$4),ROW(),"")</f>
        <v/>
      </c>
    </row>
    <row r="255" customFormat="false" ht="15" hidden="false" customHeight="true" outlineLevel="0" collapsed="false">
      <c r="A255" s="52"/>
      <c r="B255" s="52"/>
      <c r="C255" s="51"/>
      <c r="D255" s="52"/>
      <c r="E255" s="53" t="str">
        <f aca="false">IF(ISNUMBER(C255),CHOOSE(WEEKDAY(C255),"Domingo","Segunda","Terça","Quarta","Quinta","Sexta","Sábado"),"")</f>
        <v/>
      </c>
      <c r="F255" s="53" t="str">
        <f aca="true">IF(NOT(ISNUMBER(C255)),"",IF(C255=TODAY(),"HOJE",IF(C255=TODAY()+1,"AMANHÃ",IF(C255&lt;TODAY(),"Realizada",IF(C255-TODAY()&lt;=7,"Em "&amp;(C255-TODAY())&amp;" dias","Agendada")))))</f>
        <v/>
      </c>
      <c r="G255" s="53" t="str">
        <f aca="false">IF(OR(A255="",NOT(ISNUMBER(C255))),"",IF(COUNTIFS($A$2:$A$301,A255,$C$2:$C$301,C255)&gt;1,"⚠ Folga duplicada",IF(COUNTIFS($B$2:$B$301,B255,$C$2:$C$301,C255)&gt;1,"⚠ "&amp;COUNTIFS($B$2:$B$301,B255,$C$2:$C$301,C255)&amp;" pessoas do setor de folga no dia","")))</f>
        <v/>
      </c>
      <c r="J255" s="0" t="str">
        <f aca="true">IF(AND(ISNUMBER(C255),C255=TODAY()),C255+ROW()/100000,"")</f>
        <v/>
      </c>
      <c r="K255" s="0" t="str">
        <f aca="true">IF(AND(ISNUMBER(C255),C255&gt;TODAY(),C255&lt;=TODAY()+7),C255+ROW()/100000,"")</f>
        <v/>
      </c>
      <c r="L255" s="0" t="str">
        <f aca="false">IF(AND(ISNUMBER(C255),C255=CALENDÁRIO!$L$4),ROW(),"")</f>
        <v/>
      </c>
    </row>
    <row r="256" customFormat="false" ht="15" hidden="false" customHeight="true" outlineLevel="0" collapsed="false">
      <c r="A256" s="52"/>
      <c r="B256" s="52"/>
      <c r="C256" s="51"/>
      <c r="D256" s="52"/>
      <c r="E256" s="53" t="str">
        <f aca="false">IF(ISNUMBER(C256),CHOOSE(WEEKDAY(C256),"Domingo","Segunda","Terça","Quarta","Quinta","Sexta","Sábado"),"")</f>
        <v/>
      </c>
      <c r="F256" s="53" t="str">
        <f aca="true">IF(NOT(ISNUMBER(C256)),"",IF(C256=TODAY(),"HOJE",IF(C256=TODAY()+1,"AMANHÃ",IF(C256&lt;TODAY(),"Realizada",IF(C256-TODAY()&lt;=7,"Em "&amp;(C256-TODAY())&amp;" dias","Agendada")))))</f>
        <v/>
      </c>
      <c r="G256" s="53" t="str">
        <f aca="false">IF(OR(A256="",NOT(ISNUMBER(C256))),"",IF(COUNTIFS($A$2:$A$301,A256,$C$2:$C$301,C256)&gt;1,"⚠ Folga duplicada",IF(COUNTIFS($B$2:$B$301,B256,$C$2:$C$301,C256)&gt;1,"⚠ "&amp;COUNTIFS($B$2:$B$301,B256,$C$2:$C$301,C256)&amp;" pessoas do setor de folga no dia","")))</f>
        <v/>
      </c>
      <c r="J256" s="0" t="str">
        <f aca="true">IF(AND(ISNUMBER(C256),C256=TODAY()),C256+ROW()/100000,"")</f>
        <v/>
      </c>
      <c r="K256" s="0" t="str">
        <f aca="true">IF(AND(ISNUMBER(C256),C256&gt;TODAY(),C256&lt;=TODAY()+7),C256+ROW()/100000,"")</f>
        <v/>
      </c>
      <c r="L256" s="0" t="str">
        <f aca="false">IF(AND(ISNUMBER(C256),C256=CALENDÁRIO!$L$4),ROW(),"")</f>
        <v/>
      </c>
    </row>
    <row r="257" customFormat="false" ht="15" hidden="false" customHeight="true" outlineLevel="0" collapsed="false">
      <c r="A257" s="52"/>
      <c r="B257" s="52"/>
      <c r="C257" s="51"/>
      <c r="D257" s="52"/>
      <c r="E257" s="53" t="str">
        <f aca="false">IF(ISNUMBER(C257),CHOOSE(WEEKDAY(C257),"Domingo","Segunda","Terça","Quarta","Quinta","Sexta","Sábado"),"")</f>
        <v/>
      </c>
      <c r="F257" s="53" t="str">
        <f aca="true">IF(NOT(ISNUMBER(C257)),"",IF(C257=TODAY(),"HOJE",IF(C257=TODAY()+1,"AMANHÃ",IF(C257&lt;TODAY(),"Realizada",IF(C257-TODAY()&lt;=7,"Em "&amp;(C257-TODAY())&amp;" dias","Agendada")))))</f>
        <v/>
      </c>
      <c r="G257" s="53" t="str">
        <f aca="false">IF(OR(A257="",NOT(ISNUMBER(C257))),"",IF(COUNTIFS($A$2:$A$301,A257,$C$2:$C$301,C257)&gt;1,"⚠ Folga duplicada",IF(COUNTIFS($B$2:$B$301,B257,$C$2:$C$301,C257)&gt;1,"⚠ "&amp;COUNTIFS($B$2:$B$301,B257,$C$2:$C$301,C257)&amp;" pessoas do setor de folga no dia","")))</f>
        <v/>
      </c>
      <c r="J257" s="0" t="str">
        <f aca="true">IF(AND(ISNUMBER(C257),C257=TODAY()),C257+ROW()/100000,"")</f>
        <v/>
      </c>
      <c r="K257" s="0" t="str">
        <f aca="true">IF(AND(ISNUMBER(C257),C257&gt;TODAY(),C257&lt;=TODAY()+7),C257+ROW()/100000,"")</f>
        <v/>
      </c>
      <c r="L257" s="0" t="str">
        <f aca="false">IF(AND(ISNUMBER(C257),C257=CALENDÁRIO!$L$4),ROW(),"")</f>
        <v/>
      </c>
    </row>
    <row r="258" customFormat="false" ht="15" hidden="false" customHeight="true" outlineLevel="0" collapsed="false">
      <c r="A258" s="52"/>
      <c r="B258" s="52"/>
      <c r="C258" s="51"/>
      <c r="D258" s="52"/>
      <c r="E258" s="53" t="str">
        <f aca="false">IF(ISNUMBER(C258),CHOOSE(WEEKDAY(C258),"Domingo","Segunda","Terça","Quarta","Quinta","Sexta","Sábado"),"")</f>
        <v/>
      </c>
      <c r="F258" s="53" t="str">
        <f aca="true">IF(NOT(ISNUMBER(C258)),"",IF(C258=TODAY(),"HOJE",IF(C258=TODAY()+1,"AMANHÃ",IF(C258&lt;TODAY(),"Realizada",IF(C258-TODAY()&lt;=7,"Em "&amp;(C258-TODAY())&amp;" dias","Agendada")))))</f>
        <v/>
      </c>
      <c r="G258" s="53" t="str">
        <f aca="false">IF(OR(A258="",NOT(ISNUMBER(C258))),"",IF(COUNTIFS($A$2:$A$301,A258,$C$2:$C$301,C258)&gt;1,"⚠ Folga duplicada",IF(COUNTIFS($B$2:$B$301,B258,$C$2:$C$301,C258)&gt;1,"⚠ "&amp;COUNTIFS($B$2:$B$301,B258,$C$2:$C$301,C258)&amp;" pessoas do setor de folga no dia","")))</f>
        <v/>
      </c>
      <c r="J258" s="0" t="str">
        <f aca="true">IF(AND(ISNUMBER(C258),C258=TODAY()),C258+ROW()/100000,"")</f>
        <v/>
      </c>
      <c r="K258" s="0" t="str">
        <f aca="true">IF(AND(ISNUMBER(C258),C258&gt;TODAY(),C258&lt;=TODAY()+7),C258+ROW()/100000,"")</f>
        <v/>
      </c>
      <c r="L258" s="0" t="str">
        <f aca="false">IF(AND(ISNUMBER(C258),C258=CALENDÁRIO!$L$4),ROW(),"")</f>
        <v/>
      </c>
    </row>
    <row r="259" customFormat="false" ht="15" hidden="false" customHeight="true" outlineLevel="0" collapsed="false">
      <c r="A259" s="52"/>
      <c r="B259" s="52"/>
      <c r="C259" s="51"/>
      <c r="D259" s="52"/>
      <c r="E259" s="53" t="str">
        <f aca="false">IF(ISNUMBER(C259),CHOOSE(WEEKDAY(C259),"Domingo","Segunda","Terça","Quarta","Quinta","Sexta","Sábado"),"")</f>
        <v/>
      </c>
      <c r="F259" s="53" t="str">
        <f aca="true">IF(NOT(ISNUMBER(C259)),"",IF(C259=TODAY(),"HOJE",IF(C259=TODAY()+1,"AMANHÃ",IF(C259&lt;TODAY(),"Realizada",IF(C259-TODAY()&lt;=7,"Em "&amp;(C259-TODAY())&amp;" dias","Agendada")))))</f>
        <v/>
      </c>
      <c r="G259" s="53" t="str">
        <f aca="false">IF(OR(A259="",NOT(ISNUMBER(C259))),"",IF(COUNTIFS($A$2:$A$301,A259,$C$2:$C$301,C259)&gt;1,"⚠ Folga duplicada",IF(COUNTIFS($B$2:$B$301,B259,$C$2:$C$301,C259)&gt;1,"⚠ "&amp;COUNTIFS($B$2:$B$301,B259,$C$2:$C$301,C259)&amp;" pessoas do setor de folga no dia","")))</f>
        <v/>
      </c>
      <c r="J259" s="0" t="str">
        <f aca="true">IF(AND(ISNUMBER(C259),C259=TODAY()),C259+ROW()/100000,"")</f>
        <v/>
      </c>
      <c r="K259" s="0" t="str">
        <f aca="true">IF(AND(ISNUMBER(C259),C259&gt;TODAY(),C259&lt;=TODAY()+7),C259+ROW()/100000,"")</f>
        <v/>
      </c>
      <c r="L259" s="0" t="str">
        <f aca="false">IF(AND(ISNUMBER(C259),C259=CALENDÁRIO!$L$4),ROW(),"")</f>
        <v/>
      </c>
    </row>
    <row r="260" customFormat="false" ht="15" hidden="false" customHeight="true" outlineLevel="0" collapsed="false">
      <c r="A260" s="52"/>
      <c r="B260" s="52"/>
      <c r="C260" s="51"/>
      <c r="D260" s="52"/>
      <c r="E260" s="53" t="str">
        <f aca="false">IF(ISNUMBER(C260),CHOOSE(WEEKDAY(C260),"Domingo","Segunda","Terça","Quarta","Quinta","Sexta","Sábado"),"")</f>
        <v/>
      </c>
      <c r="F260" s="53" t="str">
        <f aca="true">IF(NOT(ISNUMBER(C260)),"",IF(C260=TODAY(),"HOJE",IF(C260=TODAY()+1,"AMANHÃ",IF(C260&lt;TODAY(),"Realizada",IF(C260-TODAY()&lt;=7,"Em "&amp;(C260-TODAY())&amp;" dias","Agendada")))))</f>
        <v/>
      </c>
      <c r="G260" s="53" t="str">
        <f aca="false">IF(OR(A260="",NOT(ISNUMBER(C260))),"",IF(COUNTIFS($A$2:$A$301,A260,$C$2:$C$301,C260)&gt;1,"⚠ Folga duplicada",IF(COUNTIFS($B$2:$B$301,B260,$C$2:$C$301,C260)&gt;1,"⚠ "&amp;COUNTIFS($B$2:$B$301,B260,$C$2:$C$301,C260)&amp;" pessoas do setor de folga no dia","")))</f>
        <v/>
      </c>
      <c r="J260" s="0" t="str">
        <f aca="true">IF(AND(ISNUMBER(C260),C260=TODAY()),C260+ROW()/100000,"")</f>
        <v/>
      </c>
      <c r="K260" s="0" t="str">
        <f aca="true">IF(AND(ISNUMBER(C260),C260&gt;TODAY(),C260&lt;=TODAY()+7),C260+ROW()/100000,"")</f>
        <v/>
      </c>
      <c r="L260" s="0" t="str">
        <f aca="false">IF(AND(ISNUMBER(C260),C260=CALENDÁRIO!$L$4),ROW(),"")</f>
        <v/>
      </c>
    </row>
    <row r="261" customFormat="false" ht="15" hidden="false" customHeight="true" outlineLevel="0" collapsed="false">
      <c r="A261" s="52"/>
      <c r="B261" s="52"/>
      <c r="C261" s="51"/>
      <c r="D261" s="52"/>
      <c r="E261" s="53" t="str">
        <f aca="false">IF(ISNUMBER(C261),CHOOSE(WEEKDAY(C261),"Domingo","Segunda","Terça","Quarta","Quinta","Sexta","Sábado"),"")</f>
        <v/>
      </c>
      <c r="F261" s="53" t="str">
        <f aca="true">IF(NOT(ISNUMBER(C261)),"",IF(C261=TODAY(),"HOJE",IF(C261=TODAY()+1,"AMANHÃ",IF(C261&lt;TODAY(),"Realizada",IF(C261-TODAY()&lt;=7,"Em "&amp;(C261-TODAY())&amp;" dias","Agendada")))))</f>
        <v/>
      </c>
      <c r="G261" s="53" t="str">
        <f aca="false">IF(OR(A261="",NOT(ISNUMBER(C261))),"",IF(COUNTIFS($A$2:$A$301,A261,$C$2:$C$301,C261)&gt;1,"⚠ Folga duplicada",IF(COUNTIFS($B$2:$B$301,B261,$C$2:$C$301,C261)&gt;1,"⚠ "&amp;COUNTIFS($B$2:$B$301,B261,$C$2:$C$301,C261)&amp;" pessoas do setor de folga no dia","")))</f>
        <v/>
      </c>
      <c r="J261" s="0" t="str">
        <f aca="true">IF(AND(ISNUMBER(C261),C261=TODAY()),C261+ROW()/100000,"")</f>
        <v/>
      </c>
      <c r="K261" s="0" t="str">
        <f aca="true">IF(AND(ISNUMBER(C261),C261&gt;TODAY(),C261&lt;=TODAY()+7),C261+ROW()/100000,"")</f>
        <v/>
      </c>
      <c r="L261" s="0" t="str">
        <f aca="false">IF(AND(ISNUMBER(C261),C261=CALENDÁRIO!$L$4),ROW(),"")</f>
        <v/>
      </c>
    </row>
    <row r="262" customFormat="false" ht="15" hidden="false" customHeight="true" outlineLevel="0" collapsed="false">
      <c r="A262" s="52"/>
      <c r="B262" s="52"/>
      <c r="C262" s="51"/>
      <c r="D262" s="52"/>
      <c r="E262" s="53" t="str">
        <f aca="false">IF(ISNUMBER(C262),CHOOSE(WEEKDAY(C262),"Domingo","Segunda","Terça","Quarta","Quinta","Sexta","Sábado"),"")</f>
        <v/>
      </c>
      <c r="F262" s="53" t="str">
        <f aca="true">IF(NOT(ISNUMBER(C262)),"",IF(C262=TODAY(),"HOJE",IF(C262=TODAY()+1,"AMANHÃ",IF(C262&lt;TODAY(),"Realizada",IF(C262-TODAY()&lt;=7,"Em "&amp;(C262-TODAY())&amp;" dias","Agendada")))))</f>
        <v/>
      </c>
      <c r="G262" s="53" t="str">
        <f aca="false">IF(OR(A262="",NOT(ISNUMBER(C262))),"",IF(COUNTIFS($A$2:$A$301,A262,$C$2:$C$301,C262)&gt;1,"⚠ Folga duplicada",IF(COUNTIFS($B$2:$B$301,B262,$C$2:$C$301,C262)&gt;1,"⚠ "&amp;COUNTIFS($B$2:$B$301,B262,$C$2:$C$301,C262)&amp;" pessoas do setor de folga no dia","")))</f>
        <v/>
      </c>
      <c r="J262" s="0" t="str">
        <f aca="true">IF(AND(ISNUMBER(C262),C262=TODAY()),C262+ROW()/100000,"")</f>
        <v/>
      </c>
      <c r="K262" s="0" t="str">
        <f aca="true">IF(AND(ISNUMBER(C262),C262&gt;TODAY(),C262&lt;=TODAY()+7),C262+ROW()/100000,"")</f>
        <v/>
      </c>
      <c r="L262" s="0" t="str">
        <f aca="false">IF(AND(ISNUMBER(C262),C262=CALENDÁRIO!$L$4),ROW(),"")</f>
        <v/>
      </c>
    </row>
    <row r="263" customFormat="false" ht="15" hidden="false" customHeight="true" outlineLevel="0" collapsed="false">
      <c r="A263" s="52"/>
      <c r="B263" s="52"/>
      <c r="C263" s="51"/>
      <c r="D263" s="52"/>
      <c r="E263" s="53" t="str">
        <f aca="false">IF(ISNUMBER(C263),CHOOSE(WEEKDAY(C263),"Domingo","Segunda","Terça","Quarta","Quinta","Sexta","Sábado"),"")</f>
        <v/>
      </c>
      <c r="F263" s="53" t="str">
        <f aca="true">IF(NOT(ISNUMBER(C263)),"",IF(C263=TODAY(),"HOJE",IF(C263=TODAY()+1,"AMANHÃ",IF(C263&lt;TODAY(),"Realizada",IF(C263-TODAY()&lt;=7,"Em "&amp;(C263-TODAY())&amp;" dias","Agendada")))))</f>
        <v/>
      </c>
      <c r="G263" s="53" t="str">
        <f aca="false">IF(OR(A263="",NOT(ISNUMBER(C263))),"",IF(COUNTIFS($A$2:$A$301,A263,$C$2:$C$301,C263)&gt;1,"⚠ Folga duplicada",IF(COUNTIFS($B$2:$B$301,B263,$C$2:$C$301,C263)&gt;1,"⚠ "&amp;COUNTIFS($B$2:$B$301,B263,$C$2:$C$301,C263)&amp;" pessoas do setor de folga no dia","")))</f>
        <v/>
      </c>
      <c r="J263" s="0" t="str">
        <f aca="true">IF(AND(ISNUMBER(C263),C263=TODAY()),C263+ROW()/100000,"")</f>
        <v/>
      </c>
      <c r="K263" s="0" t="str">
        <f aca="true">IF(AND(ISNUMBER(C263),C263&gt;TODAY(),C263&lt;=TODAY()+7),C263+ROW()/100000,"")</f>
        <v/>
      </c>
      <c r="L263" s="0" t="str">
        <f aca="false">IF(AND(ISNUMBER(C263),C263=CALENDÁRIO!$L$4),ROW(),"")</f>
        <v/>
      </c>
    </row>
    <row r="264" customFormat="false" ht="15" hidden="false" customHeight="true" outlineLevel="0" collapsed="false">
      <c r="A264" s="52"/>
      <c r="B264" s="52"/>
      <c r="C264" s="51"/>
      <c r="D264" s="52"/>
      <c r="E264" s="53" t="str">
        <f aca="false">IF(ISNUMBER(C264),CHOOSE(WEEKDAY(C264),"Domingo","Segunda","Terça","Quarta","Quinta","Sexta","Sábado"),"")</f>
        <v/>
      </c>
      <c r="F264" s="53" t="str">
        <f aca="true">IF(NOT(ISNUMBER(C264)),"",IF(C264=TODAY(),"HOJE",IF(C264=TODAY()+1,"AMANHÃ",IF(C264&lt;TODAY(),"Realizada",IF(C264-TODAY()&lt;=7,"Em "&amp;(C264-TODAY())&amp;" dias","Agendada")))))</f>
        <v/>
      </c>
      <c r="G264" s="53" t="str">
        <f aca="false">IF(OR(A264="",NOT(ISNUMBER(C264))),"",IF(COUNTIFS($A$2:$A$301,A264,$C$2:$C$301,C264)&gt;1,"⚠ Folga duplicada",IF(COUNTIFS($B$2:$B$301,B264,$C$2:$C$301,C264)&gt;1,"⚠ "&amp;COUNTIFS($B$2:$B$301,B264,$C$2:$C$301,C264)&amp;" pessoas do setor de folga no dia","")))</f>
        <v/>
      </c>
      <c r="J264" s="0" t="str">
        <f aca="true">IF(AND(ISNUMBER(C264),C264=TODAY()),C264+ROW()/100000,"")</f>
        <v/>
      </c>
      <c r="K264" s="0" t="str">
        <f aca="true">IF(AND(ISNUMBER(C264),C264&gt;TODAY(),C264&lt;=TODAY()+7),C264+ROW()/100000,"")</f>
        <v/>
      </c>
      <c r="L264" s="0" t="str">
        <f aca="false">IF(AND(ISNUMBER(C264),C264=CALENDÁRIO!$L$4),ROW(),"")</f>
        <v/>
      </c>
    </row>
    <row r="265" customFormat="false" ht="15" hidden="false" customHeight="true" outlineLevel="0" collapsed="false">
      <c r="A265" s="52"/>
      <c r="B265" s="52"/>
      <c r="C265" s="51"/>
      <c r="D265" s="52"/>
      <c r="E265" s="53" t="str">
        <f aca="false">IF(ISNUMBER(C265),CHOOSE(WEEKDAY(C265),"Domingo","Segunda","Terça","Quarta","Quinta","Sexta","Sábado"),"")</f>
        <v/>
      </c>
      <c r="F265" s="53" t="str">
        <f aca="true">IF(NOT(ISNUMBER(C265)),"",IF(C265=TODAY(),"HOJE",IF(C265=TODAY()+1,"AMANHÃ",IF(C265&lt;TODAY(),"Realizada",IF(C265-TODAY()&lt;=7,"Em "&amp;(C265-TODAY())&amp;" dias","Agendada")))))</f>
        <v/>
      </c>
      <c r="G265" s="53" t="str">
        <f aca="false">IF(OR(A265="",NOT(ISNUMBER(C265))),"",IF(COUNTIFS($A$2:$A$301,A265,$C$2:$C$301,C265)&gt;1,"⚠ Folga duplicada",IF(COUNTIFS($B$2:$B$301,B265,$C$2:$C$301,C265)&gt;1,"⚠ "&amp;COUNTIFS($B$2:$B$301,B265,$C$2:$C$301,C265)&amp;" pessoas do setor de folga no dia","")))</f>
        <v/>
      </c>
      <c r="J265" s="0" t="str">
        <f aca="true">IF(AND(ISNUMBER(C265),C265=TODAY()),C265+ROW()/100000,"")</f>
        <v/>
      </c>
      <c r="K265" s="0" t="str">
        <f aca="true">IF(AND(ISNUMBER(C265),C265&gt;TODAY(),C265&lt;=TODAY()+7),C265+ROW()/100000,"")</f>
        <v/>
      </c>
      <c r="L265" s="0" t="str">
        <f aca="false">IF(AND(ISNUMBER(C265),C265=CALENDÁRIO!$L$4),ROW(),"")</f>
        <v/>
      </c>
    </row>
    <row r="266" customFormat="false" ht="15" hidden="false" customHeight="true" outlineLevel="0" collapsed="false">
      <c r="A266" s="52"/>
      <c r="B266" s="52"/>
      <c r="C266" s="51"/>
      <c r="D266" s="52"/>
      <c r="E266" s="53" t="str">
        <f aca="false">IF(ISNUMBER(C266),CHOOSE(WEEKDAY(C266),"Domingo","Segunda","Terça","Quarta","Quinta","Sexta","Sábado"),"")</f>
        <v/>
      </c>
      <c r="F266" s="53" t="str">
        <f aca="true">IF(NOT(ISNUMBER(C266)),"",IF(C266=TODAY(),"HOJE",IF(C266=TODAY()+1,"AMANHÃ",IF(C266&lt;TODAY(),"Realizada",IF(C266-TODAY()&lt;=7,"Em "&amp;(C266-TODAY())&amp;" dias","Agendada")))))</f>
        <v/>
      </c>
      <c r="G266" s="53" t="str">
        <f aca="false">IF(OR(A266="",NOT(ISNUMBER(C266))),"",IF(COUNTIFS($A$2:$A$301,A266,$C$2:$C$301,C266)&gt;1,"⚠ Folga duplicada",IF(COUNTIFS($B$2:$B$301,B266,$C$2:$C$301,C266)&gt;1,"⚠ "&amp;COUNTIFS($B$2:$B$301,B266,$C$2:$C$301,C266)&amp;" pessoas do setor de folga no dia","")))</f>
        <v/>
      </c>
      <c r="J266" s="0" t="str">
        <f aca="true">IF(AND(ISNUMBER(C266),C266=TODAY()),C266+ROW()/100000,"")</f>
        <v/>
      </c>
      <c r="K266" s="0" t="str">
        <f aca="true">IF(AND(ISNUMBER(C266),C266&gt;TODAY(),C266&lt;=TODAY()+7),C266+ROW()/100000,"")</f>
        <v/>
      </c>
      <c r="L266" s="0" t="str">
        <f aca="false">IF(AND(ISNUMBER(C266),C266=CALENDÁRIO!$L$4),ROW(),"")</f>
        <v/>
      </c>
    </row>
    <row r="267" customFormat="false" ht="15" hidden="false" customHeight="true" outlineLevel="0" collapsed="false">
      <c r="A267" s="52"/>
      <c r="B267" s="52"/>
      <c r="C267" s="51"/>
      <c r="D267" s="52"/>
      <c r="E267" s="53" t="str">
        <f aca="false">IF(ISNUMBER(C267),CHOOSE(WEEKDAY(C267),"Domingo","Segunda","Terça","Quarta","Quinta","Sexta","Sábado"),"")</f>
        <v/>
      </c>
      <c r="F267" s="53" t="str">
        <f aca="true">IF(NOT(ISNUMBER(C267)),"",IF(C267=TODAY(),"HOJE",IF(C267=TODAY()+1,"AMANHÃ",IF(C267&lt;TODAY(),"Realizada",IF(C267-TODAY()&lt;=7,"Em "&amp;(C267-TODAY())&amp;" dias","Agendada")))))</f>
        <v/>
      </c>
      <c r="G267" s="53" t="str">
        <f aca="false">IF(OR(A267="",NOT(ISNUMBER(C267))),"",IF(COUNTIFS($A$2:$A$301,A267,$C$2:$C$301,C267)&gt;1,"⚠ Folga duplicada",IF(COUNTIFS($B$2:$B$301,B267,$C$2:$C$301,C267)&gt;1,"⚠ "&amp;COUNTIFS($B$2:$B$301,B267,$C$2:$C$301,C267)&amp;" pessoas do setor de folga no dia","")))</f>
        <v/>
      </c>
      <c r="J267" s="0" t="str">
        <f aca="true">IF(AND(ISNUMBER(C267),C267=TODAY()),C267+ROW()/100000,"")</f>
        <v/>
      </c>
      <c r="K267" s="0" t="str">
        <f aca="true">IF(AND(ISNUMBER(C267),C267&gt;TODAY(),C267&lt;=TODAY()+7),C267+ROW()/100000,"")</f>
        <v/>
      </c>
      <c r="L267" s="0" t="str">
        <f aca="false">IF(AND(ISNUMBER(C267),C267=CALENDÁRIO!$L$4),ROW(),"")</f>
        <v/>
      </c>
    </row>
    <row r="268" customFormat="false" ht="15" hidden="false" customHeight="true" outlineLevel="0" collapsed="false">
      <c r="A268" s="52"/>
      <c r="B268" s="52"/>
      <c r="C268" s="51"/>
      <c r="D268" s="52"/>
      <c r="E268" s="53" t="str">
        <f aca="false">IF(ISNUMBER(C268),CHOOSE(WEEKDAY(C268),"Domingo","Segunda","Terça","Quarta","Quinta","Sexta","Sábado"),"")</f>
        <v/>
      </c>
      <c r="F268" s="53" t="str">
        <f aca="true">IF(NOT(ISNUMBER(C268)),"",IF(C268=TODAY(),"HOJE",IF(C268=TODAY()+1,"AMANHÃ",IF(C268&lt;TODAY(),"Realizada",IF(C268-TODAY()&lt;=7,"Em "&amp;(C268-TODAY())&amp;" dias","Agendada")))))</f>
        <v/>
      </c>
      <c r="G268" s="53" t="str">
        <f aca="false">IF(OR(A268="",NOT(ISNUMBER(C268))),"",IF(COUNTIFS($A$2:$A$301,A268,$C$2:$C$301,C268)&gt;1,"⚠ Folga duplicada",IF(COUNTIFS($B$2:$B$301,B268,$C$2:$C$301,C268)&gt;1,"⚠ "&amp;COUNTIFS($B$2:$B$301,B268,$C$2:$C$301,C268)&amp;" pessoas do setor de folga no dia","")))</f>
        <v/>
      </c>
      <c r="J268" s="0" t="str">
        <f aca="true">IF(AND(ISNUMBER(C268),C268=TODAY()),C268+ROW()/100000,"")</f>
        <v/>
      </c>
      <c r="K268" s="0" t="str">
        <f aca="true">IF(AND(ISNUMBER(C268),C268&gt;TODAY(),C268&lt;=TODAY()+7),C268+ROW()/100000,"")</f>
        <v/>
      </c>
      <c r="L268" s="0" t="str">
        <f aca="false">IF(AND(ISNUMBER(C268),C268=CALENDÁRIO!$L$4),ROW(),"")</f>
        <v/>
      </c>
    </row>
    <row r="269" customFormat="false" ht="15" hidden="false" customHeight="true" outlineLevel="0" collapsed="false">
      <c r="A269" s="52"/>
      <c r="B269" s="52"/>
      <c r="C269" s="51"/>
      <c r="D269" s="52"/>
      <c r="E269" s="53" t="str">
        <f aca="false">IF(ISNUMBER(C269),CHOOSE(WEEKDAY(C269),"Domingo","Segunda","Terça","Quarta","Quinta","Sexta","Sábado"),"")</f>
        <v/>
      </c>
      <c r="F269" s="53" t="str">
        <f aca="true">IF(NOT(ISNUMBER(C269)),"",IF(C269=TODAY(),"HOJE",IF(C269=TODAY()+1,"AMANHÃ",IF(C269&lt;TODAY(),"Realizada",IF(C269-TODAY()&lt;=7,"Em "&amp;(C269-TODAY())&amp;" dias","Agendada")))))</f>
        <v/>
      </c>
      <c r="G269" s="53" t="str">
        <f aca="false">IF(OR(A269="",NOT(ISNUMBER(C269))),"",IF(COUNTIFS($A$2:$A$301,A269,$C$2:$C$301,C269)&gt;1,"⚠ Folga duplicada",IF(COUNTIFS($B$2:$B$301,B269,$C$2:$C$301,C269)&gt;1,"⚠ "&amp;COUNTIFS($B$2:$B$301,B269,$C$2:$C$301,C269)&amp;" pessoas do setor de folga no dia","")))</f>
        <v/>
      </c>
      <c r="J269" s="0" t="str">
        <f aca="true">IF(AND(ISNUMBER(C269),C269=TODAY()),C269+ROW()/100000,"")</f>
        <v/>
      </c>
      <c r="K269" s="0" t="str">
        <f aca="true">IF(AND(ISNUMBER(C269),C269&gt;TODAY(),C269&lt;=TODAY()+7),C269+ROW()/100000,"")</f>
        <v/>
      </c>
      <c r="L269" s="0" t="str">
        <f aca="false">IF(AND(ISNUMBER(C269),C269=CALENDÁRIO!$L$4),ROW(),"")</f>
        <v/>
      </c>
    </row>
    <row r="270" customFormat="false" ht="15" hidden="false" customHeight="true" outlineLevel="0" collapsed="false">
      <c r="A270" s="52"/>
      <c r="B270" s="52"/>
      <c r="C270" s="51"/>
      <c r="D270" s="52"/>
      <c r="E270" s="53" t="str">
        <f aca="false">IF(ISNUMBER(C270),CHOOSE(WEEKDAY(C270),"Domingo","Segunda","Terça","Quarta","Quinta","Sexta","Sábado"),"")</f>
        <v/>
      </c>
      <c r="F270" s="53" t="str">
        <f aca="true">IF(NOT(ISNUMBER(C270)),"",IF(C270=TODAY(),"HOJE",IF(C270=TODAY()+1,"AMANHÃ",IF(C270&lt;TODAY(),"Realizada",IF(C270-TODAY()&lt;=7,"Em "&amp;(C270-TODAY())&amp;" dias","Agendada")))))</f>
        <v/>
      </c>
      <c r="G270" s="53" t="str">
        <f aca="false">IF(OR(A270="",NOT(ISNUMBER(C270))),"",IF(COUNTIFS($A$2:$A$301,A270,$C$2:$C$301,C270)&gt;1,"⚠ Folga duplicada",IF(COUNTIFS($B$2:$B$301,B270,$C$2:$C$301,C270)&gt;1,"⚠ "&amp;COUNTIFS($B$2:$B$301,B270,$C$2:$C$301,C270)&amp;" pessoas do setor de folga no dia","")))</f>
        <v/>
      </c>
      <c r="J270" s="0" t="str">
        <f aca="true">IF(AND(ISNUMBER(C270),C270=TODAY()),C270+ROW()/100000,"")</f>
        <v/>
      </c>
      <c r="K270" s="0" t="str">
        <f aca="true">IF(AND(ISNUMBER(C270),C270&gt;TODAY(),C270&lt;=TODAY()+7),C270+ROW()/100000,"")</f>
        <v/>
      </c>
      <c r="L270" s="0" t="str">
        <f aca="false">IF(AND(ISNUMBER(C270),C270=CALENDÁRIO!$L$4),ROW(),"")</f>
        <v/>
      </c>
    </row>
    <row r="271" customFormat="false" ht="15" hidden="false" customHeight="true" outlineLevel="0" collapsed="false">
      <c r="A271" s="52"/>
      <c r="B271" s="52"/>
      <c r="C271" s="51"/>
      <c r="D271" s="52"/>
      <c r="E271" s="53" t="str">
        <f aca="false">IF(ISNUMBER(C271),CHOOSE(WEEKDAY(C271),"Domingo","Segunda","Terça","Quarta","Quinta","Sexta","Sábado"),"")</f>
        <v/>
      </c>
      <c r="F271" s="53" t="str">
        <f aca="true">IF(NOT(ISNUMBER(C271)),"",IF(C271=TODAY(),"HOJE",IF(C271=TODAY()+1,"AMANHÃ",IF(C271&lt;TODAY(),"Realizada",IF(C271-TODAY()&lt;=7,"Em "&amp;(C271-TODAY())&amp;" dias","Agendada")))))</f>
        <v/>
      </c>
      <c r="G271" s="53" t="str">
        <f aca="false">IF(OR(A271="",NOT(ISNUMBER(C271))),"",IF(COUNTIFS($A$2:$A$301,A271,$C$2:$C$301,C271)&gt;1,"⚠ Folga duplicada",IF(COUNTIFS($B$2:$B$301,B271,$C$2:$C$301,C271)&gt;1,"⚠ "&amp;COUNTIFS($B$2:$B$301,B271,$C$2:$C$301,C271)&amp;" pessoas do setor de folga no dia","")))</f>
        <v/>
      </c>
      <c r="J271" s="0" t="str">
        <f aca="true">IF(AND(ISNUMBER(C271),C271=TODAY()),C271+ROW()/100000,"")</f>
        <v/>
      </c>
      <c r="K271" s="0" t="str">
        <f aca="true">IF(AND(ISNUMBER(C271),C271&gt;TODAY(),C271&lt;=TODAY()+7),C271+ROW()/100000,"")</f>
        <v/>
      </c>
      <c r="L271" s="0" t="str">
        <f aca="false">IF(AND(ISNUMBER(C271),C271=CALENDÁRIO!$L$4),ROW(),"")</f>
        <v/>
      </c>
    </row>
    <row r="272" customFormat="false" ht="15" hidden="false" customHeight="true" outlineLevel="0" collapsed="false">
      <c r="A272" s="52"/>
      <c r="B272" s="52"/>
      <c r="C272" s="51"/>
      <c r="D272" s="52"/>
      <c r="E272" s="53" t="str">
        <f aca="false">IF(ISNUMBER(C272),CHOOSE(WEEKDAY(C272),"Domingo","Segunda","Terça","Quarta","Quinta","Sexta","Sábado"),"")</f>
        <v/>
      </c>
      <c r="F272" s="53" t="str">
        <f aca="true">IF(NOT(ISNUMBER(C272)),"",IF(C272=TODAY(),"HOJE",IF(C272=TODAY()+1,"AMANHÃ",IF(C272&lt;TODAY(),"Realizada",IF(C272-TODAY()&lt;=7,"Em "&amp;(C272-TODAY())&amp;" dias","Agendada")))))</f>
        <v/>
      </c>
      <c r="G272" s="53" t="str">
        <f aca="false">IF(OR(A272="",NOT(ISNUMBER(C272))),"",IF(COUNTIFS($A$2:$A$301,A272,$C$2:$C$301,C272)&gt;1,"⚠ Folga duplicada",IF(COUNTIFS($B$2:$B$301,B272,$C$2:$C$301,C272)&gt;1,"⚠ "&amp;COUNTIFS($B$2:$B$301,B272,$C$2:$C$301,C272)&amp;" pessoas do setor de folga no dia","")))</f>
        <v/>
      </c>
      <c r="J272" s="0" t="str">
        <f aca="true">IF(AND(ISNUMBER(C272),C272=TODAY()),C272+ROW()/100000,"")</f>
        <v/>
      </c>
      <c r="K272" s="0" t="str">
        <f aca="true">IF(AND(ISNUMBER(C272),C272&gt;TODAY(),C272&lt;=TODAY()+7),C272+ROW()/100000,"")</f>
        <v/>
      </c>
      <c r="L272" s="0" t="str">
        <f aca="false">IF(AND(ISNUMBER(C272),C272=CALENDÁRIO!$L$4),ROW(),"")</f>
        <v/>
      </c>
    </row>
    <row r="273" customFormat="false" ht="15" hidden="false" customHeight="true" outlineLevel="0" collapsed="false">
      <c r="A273" s="52"/>
      <c r="B273" s="52"/>
      <c r="C273" s="51"/>
      <c r="D273" s="52"/>
      <c r="E273" s="53" t="str">
        <f aca="false">IF(ISNUMBER(C273),CHOOSE(WEEKDAY(C273),"Domingo","Segunda","Terça","Quarta","Quinta","Sexta","Sábado"),"")</f>
        <v/>
      </c>
      <c r="F273" s="53" t="str">
        <f aca="true">IF(NOT(ISNUMBER(C273)),"",IF(C273=TODAY(),"HOJE",IF(C273=TODAY()+1,"AMANHÃ",IF(C273&lt;TODAY(),"Realizada",IF(C273-TODAY()&lt;=7,"Em "&amp;(C273-TODAY())&amp;" dias","Agendada")))))</f>
        <v/>
      </c>
      <c r="G273" s="53" t="str">
        <f aca="false">IF(OR(A273="",NOT(ISNUMBER(C273))),"",IF(COUNTIFS($A$2:$A$301,A273,$C$2:$C$301,C273)&gt;1,"⚠ Folga duplicada",IF(COUNTIFS($B$2:$B$301,B273,$C$2:$C$301,C273)&gt;1,"⚠ "&amp;COUNTIFS($B$2:$B$301,B273,$C$2:$C$301,C273)&amp;" pessoas do setor de folga no dia","")))</f>
        <v/>
      </c>
      <c r="J273" s="0" t="str">
        <f aca="true">IF(AND(ISNUMBER(C273),C273=TODAY()),C273+ROW()/100000,"")</f>
        <v/>
      </c>
      <c r="K273" s="0" t="str">
        <f aca="true">IF(AND(ISNUMBER(C273),C273&gt;TODAY(),C273&lt;=TODAY()+7),C273+ROW()/100000,"")</f>
        <v/>
      </c>
      <c r="L273" s="0" t="str">
        <f aca="false">IF(AND(ISNUMBER(C273),C273=CALENDÁRIO!$L$4),ROW(),"")</f>
        <v/>
      </c>
    </row>
    <row r="274" customFormat="false" ht="15" hidden="false" customHeight="true" outlineLevel="0" collapsed="false">
      <c r="A274" s="52"/>
      <c r="B274" s="52"/>
      <c r="C274" s="51"/>
      <c r="D274" s="52"/>
      <c r="E274" s="53" t="str">
        <f aca="false">IF(ISNUMBER(C274),CHOOSE(WEEKDAY(C274),"Domingo","Segunda","Terça","Quarta","Quinta","Sexta","Sábado"),"")</f>
        <v/>
      </c>
      <c r="F274" s="53" t="str">
        <f aca="true">IF(NOT(ISNUMBER(C274)),"",IF(C274=TODAY(),"HOJE",IF(C274=TODAY()+1,"AMANHÃ",IF(C274&lt;TODAY(),"Realizada",IF(C274-TODAY()&lt;=7,"Em "&amp;(C274-TODAY())&amp;" dias","Agendada")))))</f>
        <v/>
      </c>
      <c r="G274" s="53" t="str">
        <f aca="false">IF(OR(A274="",NOT(ISNUMBER(C274))),"",IF(COUNTIFS($A$2:$A$301,A274,$C$2:$C$301,C274)&gt;1,"⚠ Folga duplicada",IF(COUNTIFS($B$2:$B$301,B274,$C$2:$C$301,C274)&gt;1,"⚠ "&amp;COUNTIFS($B$2:$B$301,B274,$C$2:$C$301,C274)&amp;" pessoas do setor de folga no dia","")))</f>
        <v/>
      </c>
      <c r="J274" s="0" t="str">
        <f aca="true">IF(AND(ISNUMBER(C274),C274=TODAY()),C274+ROW()/100000,"")</f>
        <v/>
      </c>
      <c r="K274" s="0" t="str">
        <f aca="true">IF(AND(ISNUMBER(C274),C274&gt;TODAY(),C274&lt;=TODAY()+7),C274+ROW()/100000,"")</f>
        <v/>
      </c>
      <c r="L274" s="0" t="str">
        <f aca="false">IF(AND(ISNUMBER(C274),C274=CALENDÁRIO!$L$4),ROW(),"")</f>
        <v/>
      </c>
    </row>
    <row r="275" customFormat="false" ht="15" hidden="false" customHeight="true" outlineLevel="0" collapsed="false">
      <c r="A275" s="52"/>
      <c r="B275" s="52"/>
      <c r="C275" s="51"/>
      <c r="D275" s="52"/>
      <c r="E275" s="53" t="str">
        <f aca="false">IF(ISNUMBER(C275),CHOOSE(WEEKDAY(C275),"Domingo","Segunda","Terça","Quarta","Quinta","Sexta","Sábado"),"")</f>
        <v/>
      </c>
      <c r="F275" s="53" t="str">
        <f aca="true">IF(NOT(ISNUMBER(C275)),"",IF(C275=TODAY(),"HOJE",IF(C275=TODAY()+1,"AMANHÃ",IF(C275&lt;TODAY(),"Realizada",IF(C275-TODAY()&lt;=7,"Em "&amp;(C275-TODAY())&amp;" dias","Agendada")))))</f>
        <v/>
      </c>
      <c r="G275" s="53" t="str">
        <f aca="false">IF(OR(A275="",NOT(ISNUMBER(C275))),"",IF(COUNTIFS($A$2:$A$301,A275,$C$2:$C$301,C275)&gt;1,"⚠ Folga duplicada",IF(COUNTIFS($B$2:$B$301,B275,$C$2:$C$301,C275)&gt;1,"⚠ "&amp;COUNTIFS($B$2:$B$301,B275,$C$2:$C$301,C275)&amp;" pessoas do setor de folga no dia","")))</f>
        <v/>
      </c>
      <c r="J275" s="0" t="str">
        <f aca="true">IF(AND(ISNUMBER(C275),C275=TODAY()),C275+ROW()/100000,"")</f>
        <v/>
      </c>
      <c r="K275" s="0" t="str">
        <f aca="true">IF(AND(ISNUMBER(C275),C275&gt;TODAY(),C275&lt;=TODAY()+7),C275+ROW()/100000,"")</f>
        <v/>
      </c>
      <c r="L275" s="0" t="str">
        <f aca="false">IF(AND(ISNUMBER(C275),C275=CALENDÁRIO!$L$4),ROW(),"")</f>
        <v/>
      </c>
    </row>
    <row r="276" customFormat="false" ht="15" hidden="false" customHeight="true" outlineLevel="0" collapsed="false">
      <c r="A276" s="52"/>
      <c r="B276" s="52"/>
      <c r="C276" s="51"/>
      <c r="D276" s="52"/>
      <c r="E276" s="53" t="str">
        <f aca="false">IF(ISNUMBER(C276),CHOOSE(WEEKDAY(C276),"Domingo","Segunda","Terça","Quarta","Quinta","Sexta","Sábado"),"")</f>
        <v/>
      </c>
      <c r="F276" s="53" t="str">
        <f aca="true">IF(NOT(ISNUMBER(C276)),"",IF(C276=TODAY(),"HOJE",IF(C276=TODAY()+1,"AMANHÃ",IF(C276&lt;TODAY(),"Realizada",IF(C276-TODAY()&lt;=7,"Em "&amp;(C276-TODAY())&amp;" dias","Agendada")))))</f>
        <v/>
      </c>
      <c r="G276" s="53" t="str">
        <f aca="false">IF(OR(A276="",NOT(ISNUMBER(C276))),"",IF(COUNTIFS($A$2:$A$301,A276,$C$2:$C$301,C276)&gt;1,"⚠ Folga duplicada",IF(COUNTIFS($B$2:$B$301,B276,$C$2:$C$301,C276)&gt;1,"⚠ "&amp;COUNTIFS($B$2:$B$301,B276,$C$2:$C$301,C276)&amp;" pessoas do setor de folga no dia","")))</f>
        <v/>
      </c>
      <c r="J276" s="0" t="str">
        <f aca="true">IF(AND(ISNUMBER(C276),C276=TODAY()),C276+ROW()/100000,"")</f>
        <v/>
      </c>
      <c r="K276" s="0" t="str">
        <f aca="true">IF(AND(ISNUMBER(C276),C276&gt;TODAY(),C276&lt;=TODAY()+7),C276+ROW()/100000,"")</f>
        <v/>
      </c>
      <c r="L276" s="0" t="str">
        <f aca="false">IF(AND(ISNUMBER(C276),C276=CALENDÁRIO!$L$4),ROW(),"")</f>
        <v/>
      </c>
    </row>
    <row r="277" customFormat="false" ht="15" hidden="false" customHeight="true" outlineLevel="0" collapsed="false">
      <c r="A277" s="52"/>
      <c r="B277" s="52"/>
      <c r="C277" s="51"/>
      <c r="D277" s="52"/>
      <c r="E277" s="53" t="str">
        <f aca="false">IF(ISNUMBER(C277),CHOOSE(WEEKDAY(C277),"Domingo","Segunda","Terça","Quarta","Quinta","Sexta","Sábado"),"")</f>
        <v/>
      </c>
      <c r="F277" s="53" t="str">
        <f aca="true">IF(NOT(ISNUMBER(C277)),"",IF(C277=TODAY(),"HOJE",IF(C277=TODAY()+1,"AMANHÃ",IF(C277&lt;TODAY(),"Realizada",IF(C277-TODAY()&lt;=7,"Em "&amp;(C277-TODAY())&amp;" dias","Agendada")))))</f>
        <v/>
      </c>
      <c r="G277" s="53" t="str">
        <f aca="false">IF(OR(A277="",NOT(ISNUMBER(C277))),"",IF(COUNTIFS($A$2:$A$301,A277,$C$2:$C$301,C277)&gt;1,"⚠ Folga duplicada",IF(COUNTIFS($B$2:$B$301,B277,$C$2:$C$301,C277)&gt;1,"⚠ "&amp;COUNTIFS($B$2:$B$301,B277,$C$2:$C$301,C277)&amp;" pessoas do setor de folga no dia","")))</f>
        <v/>
      </c>
      <c r="J277" s="0" t="str">
        <f aca="true">IF(AND(ISNUMBER(C277),C277=TODAY()),C277+ROW()/100000,"")</f>
        <v/>
      </c>
      <c r="K277" s="0" t="str">
        <f aca="true">IF(AND(ISNUMBER(C277),C277&gt;TODAY(),C277&lt;=TODAY()+7),C277+ROW()/100000,"")</f>
        <v/>
      </c>
      <c r="L277" s="0" t="str">
        <f aca="false">IF(AND(ISNUMBER(C277),C277=CALENDÁRIO!$L$4),ROW(),"")</f>
        <v/>
      </c>
    </row>
    <row r="278" customFormat="false" ht="15" hidden="false" customHeight="true" outlineLevel="0" collapsed="false">
      <c r="A278" s="52"/>
      <c r="B278" s="52"/>
      <c r="C278" s="51"/>
      <c r="D278" s="52"/>
      <c r="E278" s="53" t="str">
        <f aca="false">IF(ISNUMBER(C278),CHOOSE(WEEKDAY(C278),"Domingo","Segunda","Terça","Quarta","Quinta","Sexta","Sábado"),"")</f>
        <v/>
      </c>
      <c r="F278" s="53" t="str">
        <f aca="true">IF(NOT(ISNUMBER(C278)),"",IF(C278=TODAY(),"HOJE",IF(C278=TODAY()+1,"AMANHÃ",IF(C278&lt;TODAY(),"Realizada",IF(C278-TODAY()&lt;=7,"Em "&amp;(C278-TODAY())&amp;" dias","Agendada")))))</f>
        <v/>
      </c>
      <c r="G278" s="53" t="str">
        <f aca="false">IF(OR(A278="",NOT(ISNUMBER(C278))),"",IF(COUNTIFS($A$2:$A$301,A278,$C$2:$C$301,C278)&gt;1,"⚠ Folga duplicada",IF(COUNTIFS($B$2:$B$301,B278,$C$2:$C$301,C278)&gt;1,"⚠ "&amp;COUNTIFS($B$2:$B$301,B278,$C$2:$C$301,C278)&amp;" pessoas do setor de folga no dia","")))</f>
        <v/>
      </c>
      <c r="J278" s="0" t="str">
        <f aca="true">IF(AND(ISNUMBER(C278),C278=TODAY()),C278+ROW()/100000,"")</f>
        <v/>
      </c>
      <c r="K278" s="0" t="str">
        <f aca="true">IF(AND(ISNUMBER(C278),C278&gt;TODAY(),C278&lt;=TODAY()+7),C278+ROW()/100000,"")</f>
        <v/>
      </c>
      <c r="L278" s="0" t="str">
        <f aca="false">IF(AND(ISNUMBER(C278),C278=CALENDÁRIO!$L$4),ROW(),"")</f>
        <v/>
      </c>
    </row>
    <row r="279" customFormat="false" ht="15" hidden="false" customHeight="true" outlineLevel="0" collapsed="false">
      <c r="A279" s="52"/>
      <c r="B279" s="52"/>
      <c r="C279" s="51"/>
      <c r="D279" s="52"/>
      <c r="E279" s="53" t="str">
        <f aca="false">IF(ISNUMBER(C279),CHOOSE(WEEKDAY(C279),"Domingo","Segunda","Terça","Quarta","Quinta","Sexta","Sábado"),"")</f>
        <v/>
      </c>
      <c r="F279" s="53" t="str">
        <f aca="true">IF(NOT(ISNUMBER(C279)),"",IF(C279=TODAY(),"HOJE",IF(C279=TODAY()+1,"AMANHÃ",IF(C279&lt;TODAY(),"Realizada",IF(C279-TODAY()&lt;=7,"Em "&amp;(C279-TODAY())&amp;" dias","Agendada")))))</f>
        <v/>
      </c>
      <c r="G279" s="53" t="str">
        <f aca="false">IF(OR(A279="",NOT(ISNUMBER(C279))),"",IF(COUNTIFS($A$2:$A$301,A279,$C$2:$C$301,C279)&gt;1,"⚠ Folga duplicada",IF(COUNTIFS($B$2:$B$301,B279,$C$2:$C$301,C279)&gt;1,"⚠ "&amp;COUNTIFS($B$2:$B$301,B279,$C$2:$C$301,C279)&amp;" pessoas do setor de folga no dia","")))</f>
        <v/>
      </c>
      <c r="J279" s="0" t="str">
        <f aca="true">IF(AND(ISNUMBER(C279),C279=TODAY()),C279+ROW()/100000,"")</f>
        <v/>
      </c>
      <c r="K279" s="0" t="str">
        <f aca="true">IF(AND(ISNUMBER(C279),C279&gt;TODAY(),C279&lt;=TODAY()+7),C279+ROW()/100000,"")</f>
        <v/>
      </c>
      <c r="L279" s="0" t="str">
        <f aca="false">IF(AND(ISNUMBER(C279),C279=CALENDÁRIO!$L$4),ROW(),"")</f>
        <v/>
      </c>
    </row>
    <row r="280" customFormat="false" ht="15" hidden="false" customHeight="true" outlineLevel="0" collapsed="false">
      <c r="A280" s="52"/>
      <c r="B280" s="52"/>
      <c r="C280" s="51"/>
      <c r="D280" s="52"/>
      <c r="E280" s="53" t="str">
        <f aca="false">IF(ISNUMBER(C280),CHOOSE(WEEKDAY(C280),"Domingo","Segunda","Terça","Quarta","Quinta","Sexta","Sábado"),"")</f>
        <v/>
      </c>
      <c r="F280" s="53" t="str">
        <f aca="true">IF(NOT(ISNUMBER(C280)),"",IF(C280=TODAY(),"HOJE",IF(C280=TODAY()+1,"AMANHÃ",IF(C280&lt;TODAY(),"Realizada",IF(C280-TODAY()&lt;=7,"Em "&amp;(C280-TODAY())&amp;" dias","Agendada")))))</f>
        <v/>
      </c>
      <c r="G280" s="53" t="str">
        <f aca="false">IF(OR(A280="",NOT(ISNUMBER(C280))),"",IF(COUNTIFS($A$2:$A$301,A280,$C$2:$C$301,C280)&gt;1,"⚠ Folga duplicada",IF(COUNTIFS($B$2:$B$301,B280,$C$2:$C$301,C280)&gt;1,"⚠ "&amp;COUNTIFS($B$2:$B$301,B280,$C$2:$C$301,C280)&amp;" pessoas do setor de folga no dia","")))</f>
        <v/>
      </c>
      <c r="J280" s="0" t="str">
        <f aca="true">IF(AND(ISNUMBER(C280),C280=TODAY()),C280+ROW()/100000,"")</f>
        <v/>
      </c>
      <c r="K280" s="0" t="str">
        <f aca="true">IF(AND(ISNUMBER(C280),C280&gt;TODAY(),C280&lt;=TODAY()+7),C280+ROW()/100000,"")</f>
        <v/>
      </c>
      <c r="L280" s="0" t="str">
        <f aca="false">IF(AND(ISNUMBER(C280),C280=CALENDÁRIO!$L$4),ROW(),"")</f>
        <v/>
      </c>
    </row>
    <row r="281" customFormat="false" ht="15" hidden="false" customHeight="true" outlineLevel="0" collapsed="false">
      <c r="A281" s="52"/>
      <c r="B281" s="52"/>
      <c r="C281" s="51"/>
      <c r="D281" s="52"/>
      <c r="E281" s="53" t="str">
        <f aca="false">IF(ISNUMBER(C281),CHOOSE(WEEKDAY(C281),"Domingo","Segunda","Terça","Quarta","Quinta","Sexta","Sábado"),"")</f>
        <v/>
      </c>
      <c r="F281" s="53" t="str">
        <f aca="true">IF(NOT(ISNUMBER(C281)),"",IF(C281=TODAY(),"HOJE",IF(C281=TODAY()+1,"AMANHÃ",IF(C281&lt;TODAY(),"Realizada",IF(C281-TODAY()&lt;=7,"Em "&amp;(C281-TODAY())&amp;" dias","Agendada")))))</f>
        <v/>
      </c>
      <c r="G281" s="53" t="str">
        <f aca="false">IF(OR(A281="",NOT(ISNUMBER(C281))),"",IF(COUNTIFS($A$2:$A$301,A281,$C$2:$C$301,C281)&gt;1,"⚠ Folga duplicada",IF(COUNTIFS($B$2:$B$301,B281,$C$2:$C$301,C281)&gt;1,"⚠ "&amp;COUNTIFS($B$2:$B$301,B281,$C$2:$C$301,C281)&amp;" pessoas do setor de folga no dia","")))</f>
        <v/>
      </c>
      <c r="J281" s="0" t="str">
        <f aca="true">IF(AND(ISNUMBER(C281),C281=TODAY()),C281+ROW()/100000,"")</f>
        <v/>
      </c>
      <c r="K281" s="0" t="str">
        <f aca="true">IF(AND(ISNUMBER(C281),C281&gt;TODAY(),C281&lt;=TODAY()+7),C281+ROW()/100000,"")</f>
        <v/>
      </c>
      <c r="L281" s="0" t="str">
        <f aca="false">IF(AND(ISNUMBER(C281),C281=CALENDÁRIO!$L$4),ROW(),"")</f>
        <v/>
      </c>
    </row>
    <row r="282" customFormat="false" ht="15" hidden="false" customHeight="true" outlineLevel="0" collapsed="false">
      <c r="A282" s="52"/>
      <c r="B282" s="52"/>
      <c r="C282" s="51"/>
      <c r="D282" s="52"/>
      <c r="E282" s="53" t="str">
        <f aca="false">IF(ISNUMBER(C282),CHOOSE(WEEKDAY(C282),"Domingo","Segunda","Terça","Quarta","Quinta","Sexta","Sábado"),"")</f>
        <v/>
      </c>
      <c r="F282" s="53" t="str">
        <f aca="true">IF(NOT(ISNUMBER(C282)),"",IF(C282=TODAY(),"HOJE",IF(C282=TODAY()+1,"AMANHÃ",IF(C282&lt;TODAY(),"Realizada",IF(C282-TODAY()&lt;=7,"Em "&amp;(C282-TODAY())&amp;" dias","Agendada")))))</f>
        <v/>
      </c>
      <c r="G282" s="53" t="str">
        <f aca="false">IF(OR(A282="",NOT(ISNUMBER(C282))),"",IF(COUNTIFS($A$2:$A$301,A282,$C$2:$C$301,C282)&gt;1,"⚠ Folga duplicada",IF(COUNTIFS($B$2:$B$301,B282,$C$2:$C$301,C282)&gt;1,"⚠ "&amp;COUNTIFS($B$2:$B$301,B282,$C$2:$C$301,C282)&amp;" pessoas do setor de folga no dia","")))</f>
        <v/>
      </c>
      <c r="J282" s="0" t="str">
        <f aca="true">IF(AND(ISNUMBER(C282),C282=TODAY()),C282+ROW()/100000,"")</f>
        <v/>
      </c>
      <c r="K282" s="0" t="str">
        <f aca="true">IF(AND(ISNUMBER(C282),C282&gt;TODAY(),C282&lt;=TODAY()+7),C282+ROW()/100000,"")</f>
        <v/>
      </c>
      <c r="L282" s="0" t="str">
        <f aca="false">IF(AND(ISNUMBER(C282),C282=CALENDÁRIO!$L$4),ROW(),"")</f>
        <v/>
      </c>
    </row>
    <row r="283" customFormat="false" ht="15" hidden="false" customHeight="true" outlineLevel="0" collapsed="false">
      <c r="A283" s="52"/>
      <c r="B283" s="52"/>
      <c r="C283" s="51"/>
      <c r="D283" s="52"/>
      <c r="E283" s="53" t="str">
        <f aca="false">IF(ISNUMBER(C283),CHOOSE(WEEKDAY(C283),"Domingo","Segunda","Terça","Quarta","Quinta","Sexta","Sábado"),"")</f>
        <v/>
      </c>
      <c r="F283" s="53" t="str">
        <f aca="true">IF(NOT(ISNUMBER(C283)),"",IF(C283=TODAY(),"HOJE",IF(C283=TODAY()+1,"AMANHÃ",IF(C283&lt;TODAY(),"Realizada",IF(C283-TODAY()&lt;=7,"Em "&amp;(C283-TODAY())&amp;" dias","Agendada")))))</f>
        <v/>
      </c>
      <c r="G283" s="53" t="str">
        <f aca="false">IF(OR(A283="",NOT(ISNUMBER(C283))),"",IF(COUNTIFS($A$2:$A$301,A283,$C$2:$C$301,C283)&gt;1,"⚠ Folga duplicada",IF(COUNTIFS($B$2:$B$301,B283,$C$2:$C$301,C283)&gt;1,"⚠ "&amp;COUNTIFS($B$2:$B$301,B283,$C$2:$C$301,C283)&amp;" pessoas do setor de folga no dia","")))</f>
        <v/>
      </c>
      <c r="J283" s="0" t="str">
        <f aca="true">IF(AND(ISNUMBER(C283),C283=TODAY()),C283+ROW()/100000,"")</f>
        <v/>
      </c>
      <c r="K283" s="0" t="str">
        <f aca="true">IF(AND(ISNUMBER(C283),C283&gt;TODAY(),C283&lt;=TODAY()+7),C283+ROW()/100000,"")</f>
        <v/>
      </c>
      <c r="L283" s="0" t="str">
        <f aca="false">IF(AND(ISNUMBER(C283),C283=CALENDÁRIO!$L$4),ROW(),"")</f>
        <v/>
      </c>
    </row>
    <row r="284" customFormat="false" ht="15" hidden="false" customHeight="true" outlineLevel="0" collapsed="false">
      <c r="A284" s="52"/>
      <c r="B284" s="52"/>
      <c r="C284" s="51"/>
      <c r="D284" s="52"/>
      <c r="E284" s="53" t="str">
        <f aca="false">IF(ISNUMBER(C284),CHOOSE(WEEKDAY(C284),"Domingo","Segunda","Terça","Quarta","Quinta","Sexta","Sábado"),"")</f>
        <v/>
      </c>
      <c r="F284" s="53" t="str">
        <f aca="true">IF(NOT(ISNUMBER(C284)),"",IF(C284=TODAY(),"HOJE",IF(C284=TODAY()+1,"AMANHÃ",IF(C284&lt;TODAY(),"Realizada",IF(C284-TODAY()&lt;=7,"Em "&amp;(C284-TODAY())&amp;" dias","Agendada")))))</f>
        <v/>
      </c>
      <c r="G284" s="53" t="str">
        <f aca="false">IF(OR(A284="",NOT(ISNUMBER(C284))),"",IF(COUNTIFS($A$2:$A$301,A284,$C$2:$C$301,C284)&gt;1,"⚠ Folga duplicada",IF(COUNTIFS($B$2:$B$301,B284,$C$2:$C$301,C284)&gt;1,"⚠ "&amp;COUNTIFS($B$2:$B$301,B284,$C$2:$C$301,C284)&amp;" pessoas do setor de folga no dia","")))</f>
        <v/>
      </c>
      <c r="J284" s="0" t="str">
        <f aca="true">IF(AND(ISNUMBER(C284),C284=TODAY()),C284+ROW()/100000,"")</f>
        <v/>
      </c>
      <c r="K284" s="0" t="str">
        <f aca="true">IF(AND(ISNUMBER(C284),C284&gt;TODAY(),C284&lt;=TODAY()+7),C284+ROW()/100000,"")</f>
        <v/>
      </c>
      <c r="L284" s="0" t="str">
        <f aca="false">IF(AND(ISNUMBER(C284),C284=CALENDÁRIO!$L$4),ROW(),"")</f>
        <v/>
      </c>
    </row>
    <row r="285" customFormat="false" ht="15" hidden="false" customHeight="true" outlineLevel="0" collapsed="false">
      <c r="A285" s="52"/>
      <c r="B285" s="52"/>
      <c r="C285" s="51"/>
      <c r="D285" s="52"/>
      <c r="E285" s="53" t="str">
        <f aca="false">IF(ISNUMBER(C285),CHOOSE(WEEKDAY(C285),"Domingo","Segunda","Terça","Quarta","Quinta","Sexta","Sábado"),"")</f>
        <v/>
      </c>
      <c r="F285" s="53" t="str">
        <f aca="true">IF(NOT(ISNUMBER(C285)),"",IF(C285=TODAY(),"HOJE",IF(C285=TODAY()+1,"AMANHÃ",IF(C285&lt;TODAY(),"Realizada",IF(C285-TODAY()&lt;=7,"Em "&amp;(C285-TODAY())&amp;" dias","Agendada")))))</f>
        <v/>
      </c>
      <c r="G285" s="53" t="str">
        <f aca="false">IF(OR(A285="",NOT(ISNUMBER(C285))),"",IF(COUNTIFS($A$2:$A$301,A285,$C$2:$C$301,C285)&gt;1,"⚠ Folga duplicada",IF(COUNTIFS($B$2:$B$301,B285,$C$2:$C$301,C285)&gt;1,"⚠ "&amp;COUNTIFS($B$2:$B$301,B285,$C$2:$C$301,C285)&amp;" pessoas do setor de folga no dia","")))</f>
        <v/>
      </c>
      <c r="J285" s="0" t="str">
        <f aca="true">IF(AND(ISNUMBER(C285),C285=TODAY()),C285+ROW()/100000,"")</f>
        <v/>
      </c>
      <c r="K285" s="0" t="str">
        <f aca="true">IF(AND(ISNUMBER(C285),C285&gt;TODAY(),C285&lt;=TODAY()+7),C285+ROW()/100000,"")</f>
        <v/>
      </c>
      <c r="L285" s="0" t="str">
        <f aca="false">IF(AND(ISNUMBER(C285),C285=CALENDÁRIO!$L$4),ROW(),"")</f>
        <v/>
      </c>
    </row>
    <row r="286" customFormat="false" ht="15" hidden="false" customHeight="true" outlineLevel="0" collapsed="false">
      <c r="A286" s="52"/>
      <c r="B286" s="52"/>
      <c r="C286" s="51"/>
      <c r="D286" s="52"/>
      <c r="E286" s="53" t="str">
        <f aca="false">IF(ISNUMBER(C286),CHOOSE(WEEKDAY(C286),"Domingo","Segunda","Terça","Quarta","Quinta","Sexta","Sábado"),"")</f>
        <v/>
      </c>
      <c r="F286" s="53" t="str">
        <f aca="true">IF(NOT(ISNUMBER(C286)),"",IF(C286=TODAY(),"HOJE",IF(C286=TODAY()+1,"AMANHÃ",IF(C286&lt;TODAY(),"Realizada",IF(C286-TODAY()&lt;=7,"Em "&amp;(C286-TODAY())&amp;" dias","Agendada")))))</f>
        <v/>
      </c>
      <c r="G286" s="53" t="str">
        <f aca="false">IF(OR(A286="",NOT(ISNUMBER(C286))),"",IF(COUNTIFS($A$2:$A$301,A286,$C$2:$C$301,C286)&gt;1,"⚠ Folga duplicada",IF(COUNTIFS($B$2:$B$301,B286,$C$2:$C$301,C286)&gt;1,"⚠ "&amp;COUNTIFS($B$2:$B$301,B286,$C$2:$C$301,C286)&amp;" pessoas do setor de folga no dia","")))</f>
        <v/>
      </c>
      <c r="J286" s="0" t="str">
        <f aca="true">IF(AND(ISNUMBER(C286),C286=TODAY()),C286+ROW()/100000,"")</f>
        <v/>
      </c>
      <c r="K286" s="0" t="str">
        <f aca="true">IF(AND(ISNUMBER(C286),C286&gt;TODAY(),C286&lt;=TODAY()+7),C286+ROW()/100000,"")</f>
        <v/>
      </c>
      <c r="L286" s="0" t="str">
        <f aca="false">IF(AND(ISNUMBER(C286),C286=CALENDÁRIO!$L$4),ROW(),"")</f>
        <v/>
      </c>
    </row>
    <row r="287" customFormat="false" ht="15" hidden="false" customHeight="true" outlineLevel="0" collapsed="false">
      <c r="A287" s="52"/>
      <c r="B287" s="52"/>
      <c r="C287" s="51"/>
      <c r="D287" s="52"/>
      <c r="E287" s="53" t="str">
        <f aca="false">IF(ISNUMBER(C287),CHOOSE(WEEKDAY(C287),"Domingo","Segunda","Terça","Quarta","Quinta","Sexta","Sábado"),"")</f>
        <v/>
      </c>
      <c r="F287" s="53" t="str">
        <f aca="true">IF(NOT(ISNUMBER(C287)),"",IF(C287=TODAY(),"HOJE",IF(C287=TODAY()+1,"AMANHÃ",IF(C287&lt;TODAY(),"Realizada",IF(C287-TODAY()&lt;=7,"Em "&amp;(C287-TODAY())&amp;" dias","Agendada")))))</f>
        <v/>
      </c>
      <c r="G287" s="53" t="str">
        <f aca="false">IF(OR(A287="",NOT(ISNUMBER(C287))),"",IF(COUNTIFS($A$2:$A$301,A287,$C$2:$C$301,C287)&gt;1,"⚠ Folga duplicada",IF(COUNTIFS($B$2:$B$301,B287,$C$2:$C$301,C287)&gt;1,"⚠ "&amp;COUNTIFS($B$2:$B$301,B287,$C$2:$C$301,C287)&amp;" pessoas do setor de folga no dia","")))</f>
        <v/>
      </c>
      <c r="J287" s="0" t="str">
        <f aca="true">IF(AND(ISNUMBER(C287),C287=TODAY()),C287+ROW()/100000,"")</f>
        <v/>
      </c>
      <c r="K287" s="0" t="str">
        <f aca="true">IF(AND(ISNUMBER(C287),C287&gt;TODAY(),C287&lt;=TODAY()+7),C287+ROW()/100000,"")</f>
        <v/>
      </c>
      <c r="L287" s="0" t="str">
        <f aca="false">IF(AND(ISNUMBER(C287),C287=CALENDÁRIO!$L$4),ROW(),"")</f>
        <v/>
      </c>
    </row>
    <row r="288" customFormat="false" ht="15" hidden="false" customHeight="true" outlineLevel="0" collapsed="false">
      <c r="A288" s="52"/>
      <c r="B288" s="52"/>
      <c r="C288" s="51"/>
      <c r="D288" s="52"/>
      <c r="E288" s="53" t="str">
        <f aca="false">IF(ISNUMBER(C288),CHOOSE(WEEKDAY(C288),"Domingo","Segunda","Terça","Quarta","Quinta","Sexta","Sábado"),"")</f>
        <v/>
      </c>
      <c r="F288" s="53" t="str">
        <f aca="true">IF(NOT(ISNUMBER(C288)),"",IF(C288=TODAY(),"HOJE",IF(C288=TODAY()+1,"AMANHÃ",IF(C288&lt;TODAY(),"Realizada",IF(C288-TODAY()&lt;=7,"Em "&amp;(C288-TODAY())&amp;" dias","Agendada")))))</f>
        <v/>
      </c>
      <c r="G288" s="53" t="str">
        <f aca="false">IF(OR(A288="",NOT(ISNUMBER(C288))),"",IF(COUNTIFS($A$2:$A$301,A288,$C$2:$C$301,C288)&gt;1,"⚠ Folga duplicada",IF(COUNTIFS($B$2:$B$301,B288,$C$2:$C$301,C288)&gt;1,"⚠ "&amp;COUNTIFS($B$2:$B$301,B288,$C$2:$C$301,C288)&amp;" pessoas do setor de folga no dia","")))</f>
        <v/>
      </c>
      <c r="J288" s="0" t="str">
        <f aca="true">IF(AND(ISNUMBER(C288),C288=TODAY()),C288+ROW()/100000,"")</f>
        <v/>
      </c>
      <c r="K288" s="0" t="str">
        <f aca="true">IF(AND(ISNUMBER(C288),C288&gt;TODAY(),C288&lt;=TODAY()+7),C288+ROW()/100000,"")</f>
        <v/>
      </c>
      <c r="L288" s="0" t="str">
        <f aca="false">IF(AND(ISNUMBER(C288),C288=CALENDÁRIO!$L$4),ROW(),"")</f>
        <v/>
      </c>
    </row>
    <row r="289" customFormat="false" ht="15" hidden="false" customHeight="true" outlineLevel="0" collapsed="false">
      <c r="A289" s="52"/>
      <c r="B289" s="52"/>
      <c r="C289" s="51"/>
      <c r="D289" s="52"/>
      <c r="E289" s="53" t="str">
        <f aca="false">IF(ISNUMBER(C289),CHOOSE(WEEKDAY(C289),"Domingo","Segunda","Terça","Quarta","Quinta","Sexta","Sábado"),"")</f>
        <v/>
      </c>
      <c r="F289" s="53" t="str">
        <f aca="true">IF(NOT(ISNUMBER(C289)),"",IF(C289=TODAY(),"HOJE",IF(C289=TODAY()+1,"AMANHÃ",IF(C289&lt;TODAY(),"Realizada",IF(C289-TODAY()&lt;=7,"Em "&amp;(C289-TODAY())&amp;" dias","Agendada")))))</f>
        <v/>
      </c>
      <c r="G289" s="53" t="str">
        <f aca="false">IF(OR(A289="",NOT(ISNUMBER(C289))),"",IF(COUNTIFS($A$2:$A$301,A289,$C$2:$C$301,C289)&gt;1,"⚠ Folga duplicada",IF(COUNTIFS($B$2:$B$301,B289,$C$2:$C$301,C289)&gt;1,"⚠ "&amp;COUNTIFS($B$2:$B$301,B289,$C$2:$C$301,C289)&amp;" pessoas do setor de folga no dia","")))</f>
        <v/>
      </c>
      <c r="J289" s="0" t="str">
        <f aca="true">IF(AND(ISNUMBER(C289),C289=TODAY()),C289+ROW()/100000,"")</f>
        <v/>
      </c>
      <c r="K289" s="0" t="str">
        <f aca="true">IF(AND(ISNUMBER(C289),C289&gt;TODAY(),C289&lt;=TODAY()+7),C289+ROW()/100000,"")</f>
        <v/>
      </c>
      <c r="L289" s="0" t="str">
        <f aca="false">IF(AND(ISNUMBER(C289),C289=CALENDÁRIO!$L$4),ROW(),"")</f>
        <v/>
      </c>
    </row>
    <row r="290" customFormat="false" ht="15" hidden="false" customHeight="true" outlineLevel="0" collapsed="false">
      <c r="A290" s="52"/>
      <c r="B290" s="52"/>
      <c r="C290" s="51"/>
      <c r="D290" s="52"/>
      <c r="E290" s="53" t="str">
        <f aca="false">IF(ISNUMBER(C290),CHOOSE(WEEKDAY(C290),"Domingo","Segunda","Terça","Quarta","Quinta","Sexta","Sábado"),"")</f>
        <v/>
      </c>
      <c r="F290" s="53" t="str">
        <f aca="true">IF(NOT(ISNUMBER(C290)),"",IF(C290=TODAY(),"HOJE",IF(C290=TODAY()+1,"AMANHÃ",IF(C290&lt;TODAY(),"Realizada",IF(C290-TODAY()&lt;=7,"Em "&amp;(C290-TODAY())&amp;" dias","Agendada")))))</f>
        <v/>
      </c>
      <c r="G290" s="53" t="str">
        <f aca="false">IF(OR(A290="",NOT(ISNUMBER(C290))),"",IF(COUNTIFS($A$2:$A$301,A290,$C$2:$C$301,C290)&gt;1,"⚠ Folga duplicada",IF(COUNTIFS($B$2:$B$301,B290,$C$2:$C$301,C290)&gt;1,"⚠ "&amp;COUNTIFS($B$2:$B$301,B290,$C$2:$C$301,C290)&amp;" pessoas do setor de folga no dia","")))</f>
        <v/>
      </c>
      <c r="J290" s="0" t="str">
        <f aca="true">IF(AND(ISNUMBER(C290),C290=TODAY()),C290+ROW()/100000,"")</f>
        <v/>
      </c>
      <c r="K290" s="0" t="str">
        <f aca="true">IF(AND(ISNUMBER(C290),C290&gt;TODAY(),C290&lt;=TODAY()+7),C290+ROW()/100000,"")</f>
        <v/>
      </c>
      <c r="L290" s="0" t="str">
        <f aca="false">IF(AND(ISNUMBER(C290),C290=CALENDÁRIO!$L$4),ROW(),"")</f>
        <v/>
      </c>
    </row>
    <row r="291" customFormat="false" ht="15" hidden="false" customHeight="true" outlineLevel="0" collapsed="false">
      <c r="A291" s="52"/>
      <c r="B291" s="52"/>
      <c r="C291" s="51"/>
      <c r="D291" s="52"/>
      <c r="E291" s="53" t="str">
        <f aca="false">IF(ISNUMBER(C291),CHOOSE(WEEKDAY(C291),"Domingo","Segunda","Terça","Quarta","Quinta","Sexta","Sábado"),"")</f>
        <v/>
      </c>
      <c r="F291" s="53" t="str">
        <f aca="true">IF(NOT(ISNUMBER(C291)),"",IF(C291=TODAY(),"HOJE",IF(C291=TODAY()+1,"AMANHÃ",IF(C291&lt;TODAY(),"Realizada",IF(C291-TODAY()&lt;=7,"Em "&amp;(C291-TODAY())&amp;" dias","Agendada")))))</f>
        <v/>
      </c>
      <c r="G291" s="53" t="str">
        <f aca="false">IF(OR(A291="",NOT(ISNUMBER(C291))),"",IF(COUNTIFS($A$2:$A$301,A291,$C$2:$C$301,C291)&gt;1,"⚠ Folga duplicada",IF(COUNTIFS($B$2:$B$301,B291,$C$2:$C$301,C291)&gt;1,"⚠ "&amp;COUNTIFS($B$2:$B$301,B291,$C$2:$C$301,C291)&amp;" pessoas do setor de folga no dia","")))</f>
        <v/>
      </c>
      <c r="J291" s="0" t="str">
        <f aca="true">IF(AND(ISNUMBER(C291),C291=TODAY()),C291+ROW()/100000,"")</f>
        <v/>
      </c>
      <c r="K291" s="0" t="str">
        <f aca="true">IF(AND(ISNUMBER(C291),C291&gt;TODAY(),C291&lt;=TODAY()+7),C291+ROW()/100000,"")</f>
        <v/>
      </c>
      <c r="L291" s="0" t="str">
        <f aca="false">IF(AND(ISNUMBER(C291),C291=CALENDÁRIO!$L$4),ROW(),"")</f>
        <v/>
      </c>
    </row>
    <row r="292" customFormat="false" ht="15" hidden="false" customHeight="true" outlineLevel="0" collapsed="false">
      <c r="A292" s="52"/>
      <c r="B292" s="52"/>
      <c r="C292" s="51"/>
      <c r="D292" s="52"/>
      <c r="E292" s="53" t="str">
        <f aca="false">IF(ISNUMBER(C292),CHOOSE(WEEKDAY(C292),"Domingo","Segunda","Terça","Quarta","Quinta","Sexta","Sábado"),"")</f>
        <v/>
      </c>
      <c r="F292" s="53" t="str">
        <f aca="true">IF(NOT(ISNUMBER(C292)),"",IF(C292=TODAY(),"HOJE",IF(C292=TODAY()+1,"AMANHÃ",IF(C292&lt;TODAY(),"Realizada",IF(C292-TODAY()&lt;=7,"Em "&amp;(C292-TODAY())&amp;" dias","Agendada")))))</f>
        <v/>
      </c>
      <c r="G292" s="53" t="str">
        <f aca="false">IF(OR(A292="",NOT(ISNUMBER(C292))),"",IF(COUNTIFS($A$2:$A$301,A292,$C$2:$C$301,C292)&gt;1,"⚠ Folga duplicada",IF(COUNTIFS($B$2:$B$301,B292,$C$2:$C$301,C292)&gt;1,"⚠ "&amp;COUNTIFS($B$2:$B$301,B292,$C$2:$C$301,C292)&amp;" pessoas do setor de folga no dia","")))</f>
        <v/>
      </c>
      <c r="J292" s="0" t="str">
        <f aca="true">IF(AND(ISNUMBER(C292),C292=TODAY()),C292+ROW()/100000,"")</f>
        <v/>
      </c>
      <c r="K292" s="0" t="str">
        <f aca="true">IF(AND(ISNUMBER(C292),C292&gt;TODAY(),C292&lt;=TODAY()+7),C292+ROW()/100000,"")</f>
        <v/>
      </c>
      <c r="L292" s="0" t="str">
        <f aca="false">IF(AND(ISNUMBER(C292),C292=CALENDÁRIO!$L$4),ROW(),"")</f>
        <v/>
      </c>
    </row>
    <row r="293" customFormat="false" ht="15" hidden="false" customHeight="true" outlineLevel="0" collapsed="false">
      <c r="A293" s="52"/>
      <c r="B293" s="52"/>
      <c r="C293" s="51"/>
      <c r="D293" s="52"/>
      <c r="E293" s="53" t="str">
        <f aca="false">IF(ISNUMBER(C293),CHOOSE(WEEKDAY(C293),"Domingo","Segunda","Terça","Quarta","Quinta","Sexta","Sábado"),"")</f>
        <v/>
      </c>
      <c r="F293" s="53" t="str">
        <f aca="true">IF(NOT(ISNUMBER(C293)),"",IF(C293=TODAY(),"HOJE",IF(C293=TODAY()+1,"AMANHÃ",IF(C293&lt;TODAY(),"Realizada",IF(C293-TODAY()&lt;=7,"Em "&amp;(C293-TODAY())&amp;" dias","Agendada")))))</f>
        <v/>
      </c>
      <c r="G293" s="53" t="str">
        <f aca="false">IF(OR(A293="",NOT(ISNUMBER(C293))),"",IF(COUNTIFS($A$2:$A$301,A293,$C$2:$C$301,C293)&gt;1,"⚠ Folga duplicada",IF(COUNTIFS($B$2:$B$301,B293,$C$2:$C$301,C293)&gt;1,"⚠ "&amp;COUNTIFS($B$2:$B$301,B293,$C$2:$C$301,C293)&amp;" pessoas do setor de folga no dia","")))</f>
        <v/>
      </c>
      <c r="J293" s="0" t="str">
        <f aca="true">IF(AND(ISNUMBER(C293),C293=TODAY()),C293+ROW()/100000,"")</f>
        <v/>
      </c>
      <c r="K293" s="0" t="str">
        <f aca="true">IF(AND(ISNUMBER(C293),C293&gt;TODAY(),C293&lt;=TODAY()+7),C293+ROW()/100000,"")</f>
        <v/>
      </c>
      <c r="L293" s="0" t="str">
        <f aca="false">IF(AND(ISNUMBER(C293),C293=CALENDÁRIO!$L$4),ROW(),"")</f>
        <v/>
      </c>
    </row>
    <row r="294" customFormat="false" ht="15" hidden="false" customHeight="true" outlineLevel="0" collapsed="false">
      <c r="A294" s="52"/>
      <c r="B294" s="52"/>
      <c r="C294" s="51"/>
      <c r="D294" s="52"/>
      <c r="E294" s="53" t="str">
        <f aca="false">IF(ISNUMBER(C294),CHOOSE(WEEKDAY(C294),"Domingo","Segunda","Terça","Quarta","Quinta","Sexta","Sábado"),"")</f>
        <v/>
      </c>
      <c r="F294" s="53" t="str">
        <f aca="true">IF(NOT(ISNUMBER(C294)),"",IF(C294=TODAY(),"HOJE",IF(C294=TODAY()+1,"AMANHÃ",IF(C294&lt;TODAY(),"Realizada",IF(C294-TODAY()&lt;=7,"Em "&amp;(C294-TODAY())&amp;" dias","Agendada")))))</f>
        <v/>
      </c>
      <c r="G294" s="53" t="str">
        <f aca="false">IF(OR(A294="",NOT(ISNUMBER(C294))),"",IF(COUNTIFS($A$2:$A$301,A294,$C$2:$C$301,C294)&gt;1,"⚠ Folga duplicada",IF(COUNTIFS($B$2:$B$301,B294,$C$2:$C$301,C294)&gt;1,"⚠ "&amp;COUNTIFS($B$2:$B$301,B294,$C$2:$C$301,C294)&amp;" pessoas do setor de folga no dia","")))</f>
        <v/>
      </c>
      <c r="J294" s="0" t="str">
        <f aca="true">IF(AND(ISNUMBER(C294),C294=TODAY()),C294+ROW()/100000,"")</f>
        <v/>
      </c>
      <c r="K294" s="0" t="str">
        <f aca="true">IF(AND(ISNUMBER(C294),C294&gt;TODAY(),C294&lt;=TODAY()+7),C294+ROW()/100000,"")</f>
        <v/>
      </c>
      <c r="L294" s="0" t="str">
        <f aca="false">IF(AND(ISNUMBER(C294),C294=CALENDÁRIO!$L$4),ROW(),"")</f>
        <v/>
      </c>
    </row>
    <row r="295" customFormat="false" ht="15" hidden="false" customHeight="true" outlineLevel="0" collapsed="false">
      <c r="A295" s="52"/>
      <c r="B295" s="52"/>
      <c r="C295" s="51"/>
      <c r="D295" s="52"/>
      <c r="E295" s="53" t="str">
        <f aca="false">IF(ISNUMBER(C295),CHOOSE(WEEKDAY(C295),"Domingo","Segunda","Terça","Quarta","Quinta","Sexta","Sábado"),"")</f>
        <v/>
      </c>
      <c r="F295" s="53" t="str">
        <f aca="true">IF(NOT(ISNUMBER(C295)),"",IF(C295=TODAY(),"HOJE",IF(C295=TODAY()+1,"AMANHÃ",IF(C295&lt;TODAY(),"Realizada",IF(C295-TODAY()&lt;=7,"Em "&amp;(C295-TODAY())&amp;" dias","Agendada")))))</f>
        <v/>
      </c>
      <c r="G295" s="53" t="str">
        <f aca="false">IF(OR(A295="",NOT(ISNUMBER(C295))),"",IF(COUNTIFS($A$2:$A$301,A295,$C$2:$C$301,C295)&gt;1,"⚠ Folga duplicada",IF(COUNTIFS($B$2:$B$301,B295,$C$2:$C$301,C295)&gt;1,"⚠ "&amp;COUNTIFS($B$2:$B$301,B295,$C$2:$C$301,C295)&amp;" pessoas do setor de folga no dia","")))</f>
        <v/>
      </c>
      <c r="J295" s="0" t="str">
        <f aca="true">IF(AND(ISNUMBER(C295),C295=TODAY()),C295+ROW()/100000,"")</f>
        <v/>
      </c>
      <c r="K295" s="0" t="str">
        <f aca="true">IF(AND(ISNUMBER(C295),C295&gt;TODAY(),C295&lt;=TODAY()+7),C295+ROW()/100000,"")</f>
        <v/>
      </c>
      <c r="L295" s="0" t="str">
        <f aca="false">IF(AND(ISNUMBER(C295),C295=CALENDÁRIO!$L$4),ROW(),"")</f>
        <v/>
      </c>
    </row>
    <row r="296" customFormat="false" ht="15" hidden="false" customHeight="true" outlineLevel="0" collapsed="false">
      <c r="A296" s="52"/>
      <c r="B296" s="52"/>
      <c r="C296" s="51"/>
      <c r="D296" s="52"/>
      <c r="E296" s="53" t="str">
        <f aca="false">IF(ISNUMBER(C296),CHOOSE(WEEKDAY(C296),"Domingo","Segunda","Terça","Quarta","Quinta","Sexta","Sábado"),"")</f>
        <v/>
      </c>
      <c r="F296" s="53" t="str">
        <f aca="true">IF(NOT(ISNUMBER(C296)),"",IF(C296=TODAY(),"HOJE",IF(C296=TODAY()+1,"AMANHÃ",IF(C296&lt;TODAY(),"Realizada",IF(C296-TODAY()&lt;=7,"Em "&amp;(C296-TODAY())&amp;" dias","Agendada")))))</f>
        <v/>
      </c>
      <c r="G296" s="53" t="str">
        <f aca="false">IF(OR(A296="",NOT(ISNUMBER(C296))),"",IF(COUNTIFS($A$2:$A$301,A296,$C$2:$C$301,C296)&gt;1,"⚠ Folga duplicada",IF(COUNTIFS($B$2:$B$301,B296,$C$2:$C$301,C296)&gt;1,"⚠ "&amp;COUNTIFS($B$2:$B$301,B296,$C$2:$C$301,C296)&amp;" pessoas do setor de folga no dia","")))</f>
        <v/>
      </c>
      <c r="J296" s="0" t="str">
        <f aca="true">IF(AND(ISNUMBER(C296),C296=TODAY()),C296+ROW()/100000,"")</f>
        <v/>
      </c>
      <c r="K296" s="0" t="str">
        <f aca="true">IF(AND(ISNUMBER(C296),C296&gt;TODAY(),C296&lt;=TODAY()+7),C296+ROW()/100000,"")</f>
        <v/>
      </c>
      <c r="L296" s="0" t="str">
        <f aca="false">IF(AND(ISNUMBER(C296),C296=CALENDÁRIO!$L$4),ROW(),"")</f>
        <v/>
      </c>
    </row>
    <row r="297" customFormat="false" ht="15" hidden="false" customHeight="true" outlineLevel="0" collapsed="false">
      <c r="A297" s="52"/>
      <c r="B297" s="52"/>
      <c r="C297" s="51"/>
      <c r="D297" s="52"/>
      <c r="E297" s="53" t="str">
        <f aca="false">IF(ISNUMBER(C297),CHOOSE(WEEKDAY(C297),"Domingo","Segunda","Terça","Quarta","Quinta","Sexta","Sábado"),"")</f>
        <v/>
      </c>
      <c r="F297" s="53" t="str">
        <f aca="true">IF(NOT(ISNUMBER(C297)),"",IF(C297=TODAY(),"HOJE",IF(C297=TODAY()+1,"AMANHÃ",IF(C297&lt;TODAY(),"Realizada",IF(C297-TODAY()&lt;=7,"Em "&amp;(C297-TODAY())&amp;" dias","Agendada")))))</f>
        <v/>
      </c>
      <c r="G297" s="53" t="str">
        <f aca="false">IF(OR(A297="",NOT(ISNUMBER(C297))),"",IF(COUNTIFS($A$2:$A$301,A297,$C$2:$C$301,C297)&gt;1,"⚠ Folga duplicada",IF(COUNTIFS($B$2:$B$301,B297,$C$2:$C$301,C297)&gt;1,"⚠ "&amp;COUNTIFS($B$2:$B$301,B297,$C$2:$C$301,C297)&amp;" pessoas do setor de folga no dia","")))</f>
        <v/>
      </c>
      <c r="J297" s="0" t="str">
        <f aca="true">IF(AND(ISNUMBER(C297),C297=TODAY()),C297+ROW()/100000,"")</f>
        <v/>
      </c>
      <c r="K297" s="0" t="str">
        <f aca="true">IF(AND(ISNUMBER(C297),C297&gt;TODAY(),C297&lt;=TODAY()+7),C297+ROW()/100000,"")</f>
        <v/>
      </c>
      <c r="L297" s="0" t="str">
        <f aca="false">IF(AND(ISNUMBER(C297),C297=CALENDÁRIO!$L$4),ROW(),"")</f>
        <v/>
      </c>
    </row>
    <row r="298" customFormat="false" ht="15" hidden="false" customHeight="true" outlineLevel="0" collapsed="false">
      <c r="A298" s="52"/>
      <c r="B298" s="52"/>
      <c r="C298" s="51"/>
      <c r="D298" s="52"/>
      <c r="E298" s="53" t="str">
        <f aca="false">IF(ISNUMBER(C298),CHOOSE(WEEKDAY(C298),"Domingo","Segunda","Terça","Quarta","Quinta","Sexta","Sábado"),"")</f>
        <v/>
      </c>
      <c r="F298" s="53" t="str">
        <f aca="true">IF(NOT(ISNUMBER(C298)),"",IF(C298=TODAY(),"HOJE",IF(C298=TODAY()+1,"AMANHÃ",IF(C298&lt;TODAY(),"Realizada",IF(C298-TODAY()&lt;=7,"Em "&amp;(C298-TODAY())&amp;" dias","Agendada")))))</f>
        <v/>
      </c>
      <c r="G298" s="53" t="str">
        <f aca="false">IF(OR(A298="",NOT(ISNUMBER(C298))),"",IF(COUNTIFS($A$2:$A$301,A298,$C$2:$C$301,C298)&gt;1,"⚠ Folga duplicada",IF(COUNTIFS($B$2:$B$301,B298,$C$2:$C$301,C298)&gt;1,"⚠ "&amp;COUNTIFS($B$2:$B$301,B298,$C$2:$C$301,C298)&amp;" pessoas do setor de folga no dia","")))</f>
        <v/>
      </c>
      <c r="J298" s="0" t="str">
        <f aca="true">IF(AND(ISNUMBER(C298),C298=TODAY()),C298+ROW()/100000,"")</f>
        <v/>
      </c>
      <c r="K298" s="0" t="str">
        <f aca="true">IF(AND(ISNUMBER(C298),C298&gt;TODAY(),C298&lt;=TODAY()+7),C298+ROW()/100000,"")</f>
        <v/>
      </c>
      <c r="L298" s="0" t="str">
        <f aca="false">IF(AND(ISNUMBER(C298),C298=CALENDÁRIO!$L$4),ROW(),"")</f>
        <v/>
      </c>
    </row>
    <row r="299" customFormat="false" ht="15" hidden="false" customHeight="true" outlineLevel="0" collapsed="false">
      <c r="A299" s="52"/>
      <c r="B299" s="52"/>
      <c r="C299" s="51"/>
      <c r="D299" s="52"/>
      <c r="E299" s="53" t="str">
        <f aca="false">IF(ISNUMBER(C299),CHOOSE(WEEKDAY(C299),"Domingo","Segunda","Terça","Quarta","Quinta","Sexta","Sábado"),"")</f>
        <v/>
      </c>
      <c r="F299" s="53" t="str">
        <f aca="true">IF(NOT(ISNUMBER(C299)),"",IF(C299=TODAY(),"HOJE",IF(C299=TODAY()+1,"AMANHÃ",IF(C299&lt;TODAY(),"Realizada",IF(C299-TODAY()&lt;=7,"Em "&amp;(C299-TODAY())&amp;" dias","Agendada")))))</f>
        <v/>
      </c>
      <c r="G299" s="53" t="str">
        <f aca="false">IF(OR(A299="",NOT(ISNUMBER(C299))),"",IF(COUNTIFS($A$2:$A$301,A299,$C$2:$C$301,C299)&gt;1,"⚠ Folga duplicada",IF(COUNTIFS($B$2:$B$301,B299,$C$2:$C$301,C299)&gt;1,"⚠ "&amp;COUNTIFS($B$2:$B$301,B299,$C$2:$C$301,C299)&amp;" pessoas do setor de folga no dia","")))</f>
        <v/>
      </c>
      <c r="J299" s="0" t="str">
        <f aca="true">IF(AND(ISNUMBER(C299),C299=TODAY()),C299+ROW()/100000,"")</f>
        <v/>
      </c>
      <c r="K299" s="0" t="str">
        <f aca="true">IF(AND(ISNUMBER(C299),C299&gt;TODAY(),C299&lt;=TODAY()+7),C299+ROW()/100000,"")</f>
        <v/>
      </c>
      <c r="L299" s="0" t="str">
        <f aca="false">IF(AND(ISNUMBER(C299),C299=CALENDÁRIO!$L$4),ROW(),"")</f>
        <v/>
      </c>
    </row>
    <row r="300" customFormat="false" ht="15" hidden="false" customHeight="true" outlineLevel="0" collapsed="false">
      <c r="A300" s="52"/>
      <c r="B300" s="52"/>
      <c r="C300" s="51"/>
      <c r="D300" s="52"/>
      <c r="E300" s="53" t="str">
        <f aca="false">IF(ISNUMBER(C300),CHOOSE(WEEKDAY(C300),"Domingo","Segunda","Terça","Quarta","Quinta","Sexta","Sábado"),"")</f>
        <v/>
      </c>
      <c r="F300" s="53" t="str">
        <f aca="true">IF(NOT(ISNUMBER(C300)),"",IF(C300=TODAY(),"HOJE",IF(C300=TODAY()+1,"AMANHÃ",IF(C300&lt;TODAY(),"Realizada",IF(C300-TODAY()&lt;=7,"Em "&amp;(C300-TODAY())&amp;" dias","Agendada")))))</f>
        <v/>
      </c>
      <c r="G300" s="53" t="str">
        <f aca="false">IF(OR(A300="",NOT(ISNUMBER(C300))),"",IF(COUNTIFS($A$2:$A$301,A300,$C$2:$C$301,C300)&gt;1,"⚠ Folga duplicada",IF(COUNTIFS($B$2:$B$301,B300,$C$2:$C$301,C300)&gt;1,"⚠ "&amp;COUNTIFS($B$2:$B$301,B300,$C$2:$C$301,C300)&amp;" pessoas do setor de folga no dia","")))</f>
        <v/>
      </c>
      <c r="J300" s="0" t="str">
        <f aca="true">IF(AND(ISNUMBER(C300),C300=TODAY()),C300+ROW()/100000,"")</f>
        <v/>
      </c>
      <c r="K300" s="0" t="str">
        <f aca="true">IF(AND(ISNUMBER(C300),C300&gt;TODAY(),C300&lt;=TODAY()+7),C300+ROW()/100000,"")</f>
        <v/>
      </c>
      <c r="L300" s="0" t="str">
        <f aca="false">IF(AND(ISNUMBER(C300),C300=CALENDÁRIO!$L$4),ROW(),"")</f>
        <v/>
      </c>
    </row>
    <row r="301" customFormat="false" ht="15" hidden="false" customHeight="true" outlineLevel="0" collapsed="false">
      <c r="A301" s="52"/>
      <c r="B301" s="52"/>
      <c r="C301" s="51"/>
      <c r="D301" s="52"/>
      <c r="E301" s="53" t="str">
        <f aca="false">IF(ISNUMBER(C301),CHOOSE(WEEKDAY(C301),"Domingo","Segunda","Terça","Quarta","Quinta","Sexta","Sábado"),"")</f>
        <v/>
      </c>
      <c r="F301" s="53" t="str">
        <f aca="true">IF(NOT(ISNUMBER(C301)),"",IF(C301=TODAY(),"HOJE",IF(C301=TODAY()+1,"AMANHÃ",IF(C301&lt;TODAY(),"Realizada",IF(C301-TODAY()&lt;=7,"Em "&amp;(C301-TODAY())&amp;" dias","Agendada")))))</f>
        <v/>
      </c>
      <c r="G301" s="53" t="str">
        <f aca="false">IF(OR(A301="",NOT(ISNUMBER(C301))),"",IF(COUNTIFS($A$2:$A$301,A301,$C$2:$C$301,C301)&gt;1,"⚠ Folga duplicada",IF(COUNTIFS($B$2:$B$301,B301,$C$2:$C$301,C301)&gt;1,"⚠ "&amp;COUNTIFS($B$2:$B$301,B301,$C$2:$C$301,C301)&amp;" pessoas do setor de folga no dia","")))</f>
        <v/>
      </c>
      <c r="J301" s="0" t="str">
        <f aca="true">IF(AND(ISNUMBER(C301),C301=TODAY()),C301+ROW()/100000,"")</f>
        <v/>
      </c>
      <c r="K301" s="0" t="str">
        <f aca="true">IF(AND(ISNUMBER(C301),C301&gt;TODAY(),C301&lt;=TODAY()+7),C301+ROW()/100000,"")</f>
        <v/>
      </c>
      <c r="L301" s="0" t="str">
        <f aca="false">IF(AND(ISNUMBER(C301),C301=CALENDÁRIO!$L$4),ROW(),"")</f>
        <v/>
      </c>
    </row>
  </sheetData>
  <autoFilter ref="A1:G301"/>
  <conditionalFormatting sqref="A2:G301">
    <cfRule type="expression" priority="2" aboveAverage="0" equalAverage="0" bottom="0" percent="0" rank="0" text="" dxfId="0">
      <formula>AND(ISNUMBER($C2),$C2=TODAY())</formula>
    </cfRule>
    <cfRule type="expression" priority="3" aboveAverage="0" equalAverage="0" bottom="0" percent="0" rank="0" text="" dxfId="6">
      <formula>AND(ISNUMBER($C2),$C2&gt;TODAY(),$C2&lt;=TODAY()+7)</formula>
    </cfRule>
    <cfRule type="expression" priority="4" aboveAverage="0" equalAverage="0" bottom="0" percent="0" rank="0" text="" dxfId="13">
      <formula>AND(ISNUMBER($C2),$C2&lt;TODAY())</formula>
    </cfRule>
  </conditionalFormatting>
  <conditionalFormatting sqref="G2:G301">
    <cfRule type="expression" priority="5" aboveAverage="0" equalAverage="0" bottom="0" percent="0" rank="0" text="" dxfId="2">
      <formula>LEFT($G2,1)="⚠"</formula>
    </cfRule>
  </conditionalFormatting>
  <dataValidations count="2">
    <dataValidation allowBlank="true" error="Digite uma data válida no formato dd/mm/aaaa." errorStyle="stop" errorTitle="Data inválida" operator="between" prompt="Digite a data da folga (dd/mm/aaaa). Para uma nova folga do mesmo funcionário, use uma nova linha." promptTitle="Data" showDropDown="false" showErrorMessage="true" showInputMessage="tru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E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6" width="32"/>
    <col collapsed="false" customWidth="true" hidden="false" outlineLevel="0" max="2" min="2" style="46" width="24"/>
    <col collapsed="false" customWidth="true" hidden="false" outlineLevel="0" max="4" min="3" style="46" width="18"/>
    <col collapsed="false" customWidth="true" hidden="false" outlineLevel="0" max="5" min="5" style="46" width="44.99"/>
  </cols>
  <sheetData>
    <row r="1" customFormat="false" ht="31.5" hidden="false" customHeight="true" outlineLevel="0" collapsed="false">
      <c r="A1" s="47" t="s">
        <v>11</v>
      </c>
      <c r="B1" s="47" t="s">
        <v>12</v>
      </c>
      <c r="C1" s="47" t="s">
        <v>22</v>
      </c>
      <c r="D1" s="47" t="s">
        <v>73</v>
      </c>
      <c r="E1" s="47" t="s">
        <v>14</v>
      </c>
    </row>
    <row r="2" customFormat="false" ht="15" hidden="false" customHeight="true" outlineLevel="0" collapsed="false">
      <c r="A2" s="52"/>
      <c r="B2" s="52"/>
      <c r="C2" s="51"/>
      <c r="D2" s="52"/>
      <c r="E2" s="52"/>
    </row>
    <row r="3" customFormat="false" ht="15" hidden="false" customHeight="true" outlineLevel="0" collapsed="false">
      <c r="A3" s="52"/>
      <c r="B3" s="52"/>
      <c r="C3" s="51"/>
      <c r="D3" s="52"/>
      <c r="E3" s="52"/>
    </row>
    <row r="4" customFormat="false" ht="15" hidden="false" customHeight="true" outlineLevel="0" collapsed="false">
      <c r="A4" s="52"/>
      <c r="B4" s="52"/>
      <c r="C4" s="51"/>
      <c r="D4" s="52"/>
      <c r="E4" s="52"/>
    </row>
    <row r="5" customFormat="false" ht="15" hidden="false" customHeight="true" outlineLevel="0" collapsed="false">
      <c r="A5" s="52"/>
      <c r="B5" s="52"/>
      <c r="C5" s="51"/>
      <c r="D5" s="52"/>
      <c r="E5" s="52"/>
    </row>
    <row r="6" customFormat="false" ht="15" hidden="false" customHeight="true" outlineLevel="0" collapsed="false">
      <c r="A6" s="52"/>
      <c r="B6" s="52"/>
      <c r="C6" s="51"/>
      <c r="D6" s="52"/>
      <c r="E6" s="52"/>
    </row>
    <row r="7" customFormat="false" ht="15" hidden="false" customHeight="true" outlineLevel="0" collapsed="false">
      <c r="A7" s="52"/>
      <c r="B7" s="52"/>
      <c r="C7" s="51"/>
      <c r="D7" s="52"/>
      <c r="E7" s="52"/>
    </row>
    <row r="8" customFormat="false" ht="15" hidden="false" customHeight="true" outlineLevel="0" collapsed="false">
      <c r="A8" s="52"/>
      <c r="B8" s="52"/>
      <c r="C8" s="51"/>
      <c r="D8" s="52"/>
      <c r="E8" s="52"/>
    </row>
    <row r="9" customFormat="false" ht="15" hidden="false" customHeight="true" outlineLevel="0" collapsed="false">
      <c r="A9" s="52"/>
      <c r="B9" s="52"/>
      <c r="C9" s="51"/>
      <c r="D9" s="52"/>
      <c r="E9" s="52"/>
    </row>
    <row r="10" customFormat="false" ht="15" hidden="false" customHeight="true" outlineLevel="0" collapsed="false">
      <c r="A10" s="52"/>
      <c r="B10" s="52"/>
      <c r="C10" s="51"/>
      <c r="D10" s="52"/>
      <c r="E10" s="52"/>
    </row>
    <row r="11" customFormat="false" ht="15" hidden="false" customHeight="true" outlineLevel="0" collapsed="false">
      <c r="A11" s="52"/>
      <c r="B11" s="52"/>
      <c r="C11" s="51"/>
      <c r="D11" s="52"/>
      <c r="E11" s="52"/>
    </row>
    <row r="12" customFormat="false" ht="15" hidden="false" customHeight="true" outlineLevel="0" collapsed="false">
      <c r="A12" s="52"/>
      <c r="B12" s="52"/>
      <c r="C12" s="51"/>
      <c r="D12" s="52"/>
      <c r="E12" s="52"/>
    </row>
    <row r="13" customFormat="false" ht="15" hidden="false" customHeight="true" outlineLevel="0" collapsed="false">
      <c r="A13" s="52"/>
      <c r="B13" s="52"/>
      <c r="C13" s="51"/>
      <c r="D13" s="52"/>
      <c r="E13" s="52"/>
    </row>
    <row r="14" customFormat="false" ht="15" hidden="false" customHeight="true" outlineLevel="0" collapsed="false">
      <c r="A14" s="52"/>
      <c r="B14" s="52"/>
      <c r="C14" s="51"/>
      <c r="D14" s="52"/>
      <c r="E14" s="52"/>
    </row>
    <row r="15" customFormat="false" ht="15" hidden="false" customHeight="true" outlineLevel="0" collapsed="false">
      <c r="A15" s="52"/>
      <c r="B15" s="52"/>
      <c r="C15" s="51"/>
      <c r="D15" s="52"/>
      <c r="E15" s="52"/>
    </row>
    <row r="16" customFormat="false" ht="15" hidden="false" customHeight="true" outlineLevel="0" collapsed="false">
      <c r="A16" s="52"/>
      <c r="B16" s="52"/>
      <c r="C16" s="51"/>
      <c r="D16" s="52"/>
      <c r="E16" s="52"/>
    </row>
    <row r="17" customFormat="false" ht="15" hidden="false" customHeight="true" outlineLevel="0" collapsed="false">
      <c r="A17" s="52"/>
      <c r="B17" s="52"/>
      <c r="C17" s="51"/>
      <c r="D17" s="52"/>
      <c r="E17" s="52"/>
    </row>
    <row r="18" customFormat="false" ht="15" hidden="false" customHeight="true" outlineLevel="0" collapsed="false">
      <c r="A18" s="52"/>
      <c r="B18" s="52"/>
      <c r="C18" s="51"/>
      <c r="D18" s="52"/>
      <c r="E18" s="52"/>
    </row>
    <row r="19" customFormat="false" ht="15" hidden="false" customHeight="true" outlineLevel="0" collapsed="false">
      <c r="A19" s="52"/>
      <c r="B19" s="52"/>
      <c r="C19" s="51"/>
      <c r="D19" s="52"/>
      <c r="E19" s="52"/>
    </row>
    <row r="20" customFormat="false" ht="15" hidden="false" customHeight="true" outlineLevel="0" collapsed="false">
      <c r="A20" s="52"/>
      <c r="B20" s="52"/>
      <c r="C20" s="51"/>
      <c r="D20" s="52"/>
      <c r="E20" s="52"/>
    </row>
    <row r="21" customFormat="false" ht="15" hidden="false" customHeight="true" outlineLevel="0" collapsed="false">
      <c r="A21" s="52"/>
      <c r="B21" s="52"/>
      <c r="C21" s="51"/>
      <c r="D21" s="52"/>
      <c r="E21" s="52"/>
    </row>
    <row r="22" customFormat="false" ht="15" hidden="false" customHeight="true" outlineLevel="0" collapsed="false">
      <c r="A22" s="52"/>
      <c r="B22" s="52"/>
      <c r="C22" s="51"/>
      <c r="D22" s="52"/>
      <c r="E22" s="52"/>
    </row>
    <row r="23" customFormat="false" ht="15" hidden="false" customHeight="true" outlineLevel="0" collapsed="false">
      <c r="A23" s="52"/>
      <c r="B23" s="52"/>
      <c r="C23" s="51"/>
      <c r="D23" s="52"/>
      <c r="E23" s="52"/>
    </row>
    <row r="24" customFormat="false" ht="15" hidden="false" customHeight="true" outlineLevel="0" collapsed="false">
      <c r="A24" s="52"/>
      <c r="B24" s="52"/>
      <c r="C24" s="51"/>
      <c r="D24" s="52"/>
      <c r="E24" s="52"/>
    </row>
    <row r="25" customFormat="false" ht="15" hidden="false" customHeight="true" outlineLevel="0" collapsed="false">
      <c r="A25" s="52"/>
      <c r="B25" s="52"/>
      <c r="C25" s="51"/>
      <c r="D25" s="52"/>
      <c r="E25" s="52"/>
    </row>
    <row r="26" customFormat="false" ht="15" hidden="false" customHeight="true" outlineLevel="0" collapsed="false">
      <c r="A26" s="52"/>
      <c r="B26" s="52"/>
      <c r="C26" s="51"/>
      <c r="D26" s="52"/>
      <c r="E26" s="52"/>
    </row>
    <row r="27" customFormat="false" ht="15" hidden="false" customHeight="true" outlineLevel="0" collapsed="false">
      <c r="A27" s="52"/>
      <c r="B27" s="52"/>
      <c r="C27" s="51"/>
      <c r="D27" s="52"/>
      <c r="E27" s="52"/>
    </row>
    <row r="28" customFormat="false" ht="15" hidden="false" customHeight="true" outlineLevel="0" collapsed="false">
      <c r="A28" s="52"/>
      <c r="B28" s="52"/>
      <c r="C28" s="51"/>
      <c r="D28" s="52"/>
      <c r="E28" s="52"/>
    </row>
    <row r="29" customFormat="false" ht="15" hidden="false" customHeight="true" outlineLevel="0" collapsed="false">
      <c r="A29" s="52"/>
      <c r="B29" s="52"/>
      <c r="C29" s="51"/>
      <c r="D29" s="52"/>
      <c r="E29" s="52"/>
    </row>
    <row r="30" customFormat="false" ht="15" hidden="false" customHeight="true" outlineLevel="0" collapsed="false">
      <c r="A30" s="52"/>
      <c r="B30" s="52"/>
      <c r="C30" s="51"/>
      <c r="D30" s="52"/>
      <c r="E30" s="52"/>
    </row>
    <row r="31" customFormat="false" ht="15" hidden="false" customHeight="true" outlineLevel="0" collapsed="false">
      <c r="A31" s="52"/>
      <c r="B31" s="52"/>
      <c r="C31" s="51"/>
      <c r="D31" s="52"/>
      <c r="E31" s="52"/>
    </row>
    <row r="32" customFormat="false" ht="15" hidden="false" customHeight="true" outlineLevel="0" collapsed="false">
      <c r="A32" s="52"/>
      <c r="B32" s="52"/>
      <c r="C32" s="51"/>
      <c r="D32" s="52"/>
      <c r="E32" s="52"/>
    </row>
    <row r="33" customFormat="false" ht="15" hidden="false" customHeight="true" outlineLevel="0" collapsed="false">
      <c r="A33" s="52"/>
      <c r="B33" s="52"/>
      <c r="C33" s="51"/>
      <c r="D33" s="52"/>
      <c r="E33" s="52"/>
    </row>
    <row r="34" customFormat="false" ht="15" hidden="false" customHeight="true" outlineLevel="0" collapsed="false">
      <c r="A34" s="52"/>
      <c r="B34" s="52"/>
      <c r="C34" s="51"/>
      <c r="D34" s="52"/>
      <c r="E34" s="52"/>
    </row>
    <row r="35" customFormat="false" ht="15" hidden="false" customHeight="true" outlineLevel="0" collapsed="false">
      <c r="A35" s="52"/>
      <c r="B35" s="52"/>
      <c r="C35" s="51"/>
      <c r="D35" s="52"/>
      <c r="E35" s="52"/>
    </row>
    <row r="36" customFormat="false" ht="15" hidden="false" customHeight="true" outlineLevel="0" collapsed="false">
      <c r="A36" s="52"/>
      <c r="B36" s="52"/>
      <c r="C36" s="51"/>
      <c r="D36" s="52"/>
      <c r="E36" s="52"/>
    </row>
    <row r="37" customFormat="false" ht="15" hidden="false" customHeight="true" outlineLevel="0" collapsed="false">
      <c r="A37" s="52"/>
      <c r="B37" s="52"/>
      <c r="C37" s="51"/>
      <c r="D37" s="52"/>
      <c r="E37" s="52"/>
    </row>
    <row r="38" customFormat="false" ht="15" hidden="false" customHeight="true" outlineLevel="0" collapsed="false">
      <c r="A38" s="52"/>
      <c r="B38" s="52"/>
      <c r="C38" s="51"/>
      <c r="D38" s="52"/>
      <c r="E38" s="52"/>
    </row>
    <row r="39" customFormat="false" ht="15" hidden="false" customHeight="true" outlineLevel="0" collapsed="false">
      <c r="A39" s="52"/>
      <c r="B39" s="52"/>
      <c r="C39" s="51"/>
      <c r="D39" s="52"/>
      <c r="E39" s="52"/>
    </row>
    <row r="40" customFormat="false" ht="15" hidden="false" customHeight="true" outlineLevel="0" collapsed="false">
      <c r="A40" s="52"/>
      <c r="B40" s="52"/>
      <c r="C40" s="51"/>
      <c r="D40" s="52"/>
      <c r="E40" s="52"/>
    </row>
    <row r="41" customFormat="false" ht="15" hidden="false" customHeight="true" outlineLevel="0" collapsed="false">
      <c r="A41" s="52"/>
      <c r="B41" s="52"/>
      <c r="C41" s="51"/>
      <c r="D41" s="52"/>
      <c r="E41" s="52"/>
    </row>
    <row r="42" customFormat="false" ht="15" hidden="false" customHeight="true" outlineLevel="0" collapsed="false">
      <c r="A42" s="52"/>
      <c r="B42" s="52"/>
      <c r="C42" s="51"/>
      <c r="D42" s="52"/>
      <c r="E42" s="52"/>
    </row>
    <row r="43" customFormat="false" ht="15" hidden="false" customHeight="true" outlineLevel="0" collapsed="false">
      <c r="A43" s="52"/>
      <c r="B43" s="52"/>
      <c r="C43" s="51"/>
      <c r="D43" s="52"/>
      <c r="E43" s="52"/>
    </row>
    <row r="44" customFormat="false" ht="15" hidden="false" customHeight="true" outlineLevel="0" collapsed="false">
      <c r="A44" s="52"/>
      <c r="B44" s="52"/>
      <c r="C44" s="51"/>
      <c r="D44" s="52"/>
      <c r="E44" s="52"/>
    </row>
    <row r="45" customFormat="false" ht="15" hidden="false" customHeight="true" outlineLevel="0" collapsed="false">
      <c r="A45" s="52"/>
      <c r="B45" s="52"/>
      <c r="C45" s="51"/>
      <c r="D45" s="52"/>
      <c r="E45" s="52"/>
    </row>
    <row r="46" customFormat="false" ht="15" hidden="false" customHeight="true" outlineLevel="0" collapsed="false">
      <c r="A46" s="52"/>
      <c r="B46" s="52"/>
      <c r="C46" s="51"/>
      <c r="D46" s="52"/>
      <c r="E46" s="52"/>
    </row>
    <row r="47" customFormat="false" ht="15" hidden="false" customHeight="true" outlineLevel="0" collapsed="false">
      <c r="A47" s="52"/>
      <c r="B47" s="52"/>
      <c r="C47" s="51"/>
      <c r="D47" s="52"/>
      <c r="E47" s="52"/>
    </row>
    <row r="48" customFormat="false" ht="15" hidden="false" customHeight="true" outlineLevel="0" collapsed="false">
      <c r="A48" s="52"/>
      <c r="B48" s="52"/>
      <c r="C48" s="51"/>
      <c r="D48" s="52"/>
      <c r="E48" s="52"/>
    </row>
    <row r="49" customFormat="false" ht="15" hidden="false" customHeight="true" outlineLevel="0" collapsed="false">
      <c r="A49" s="52"/>
      <c r="B49" s="52"/>
      <c r="C49" s="51"/>
      <c r="D49" s="52"/>
      <c r="E49" s="52"/>
    </row>
    <row r="50" customFormat="false" ht="15" hidden="false" customHeight="true" outlineLevel="0" collapsed="false">
      <c r="A50" s="52"/>
      <c r="B50" s="52"/>
      <c r="C50" s="51"/>
      <c r="D50" s="52"/>
      <c r="E50" s="52"/>
    </row>
    <row r="51" customFormat="false" ht="15" hidden="false" customHeight="true" outlineLevel="0" collapsed="false">
      <c r="A51" s="52"/>
      <c r="B51" s="52"/>
      <c r="C51" s="51"/>
      <c r="D51" s="52"/>
      <c r="E51" s="52"/>
    </row>
    <row r="52" customFormat="false" ht="15" hidden="false" customHeight="true" outlineLevel="0" collapsed="false">
      <c r="A52" s="52"/>
      <c r="B52" s="52"/>
      <c r="C52" s="51"/>
      <c r="D52" s="52"/>
      <c r="E52" s="52"/>
    </row>
    <row r="53" customFormat="false" ht="15" hidden="false" customHeight="true" outlineLevel="0" collapsed="false">
      <c r="A53" s="52"/>
      <c r="B53" s="52"/>
      <c r="C53" s="51"/>
      <c r="D53" s="52"/>
      <c r="E53" s="52"/>
    </row>
    <row r="54" customFormat="false" ht="15" hidden="false" customHeight="true" outlineLevel="0" collapsed="false">
      <c r="A54" s="52"/>
      <c r="B54" s="52"/>
      <c r="C54" s="51"/>
      <c r="D54" s="52"/>
      <c r="E54" s="52"/>
    </row>
    <row r="55" customFormat="false" ht="15" hidden="false" customHeight="true" outlineLevel="0" collapsed="false">
      <c r="A55" s="52"/>
      <c r="B55" s="52"/>
      <c r="C55" s="51"/>
      <c r="D55" s="52"/>
      <c r="E55" s="52"/>
    </row>
    <row r="56" customFormat="false" ht="15" hidden="false" customHeight="true" outlineLevel="0" collapsed="false">
      <c r="A56" s="52"/>
      <c r="B56" s="52"/>
      <c r="C56" s="51"/>
      <c r="D56" s="52"/>
      <c r="E56" s="52"/>
    </row>
    <row r="57" customFormat="false" ht="15" hidden="false" customHeight="true" outlineLevel="0" collapsed="false">
      <c r="A57" s="52"/>
      <c r="B57" s="52"/>
      <c r="C57" s="51"/>
      <c r="D57" s="52"/>
      <c r="E57" s="52"/>
    </row>
    <row r="58" customFormat="false" ht="15" hidden="false" customHeight="true" outlineLevel="0" collapsed="false">
      <c r="A58" s="52"/>
      <c r="B58" s="52"/>
      <c r="C58" s="51"/>
      <c r="D58" s="52"/>
      <c r="E58" s="52"/>
    </row>
    <row r="59" customFormat="false" ht="15" hidden="false" customHeight="true" outlineLevel="0" collapsed="false">
      <c r="A59" s="52"/>
      <c r="B59" s="52"/>
      <c r="C59" s="51"/>
      <c r="D59" s="52"/>
      <c r="E59" s="52"/>
    </row>
    <row r="60" customFormat="false" ht="15" hidden="false" customHeight="true" outlineLevel="0" collapsed="false">
      <c r="A60" s="52"/>
      <c r="B60" s="52"/>
      <c r="C60" s="51"/>
      <c r="D60" s="52"/>
      <c r="E60" s="52"/>
    </row>
    <row r="61" customFormat="false" ht="15" hidden="false" customHeight="true" outlineLevel="0" collapsed="false">
      <c r="A61" s="52"/>
      <c r="B61" s="52"/>
      <c r="C61" s="51"/>
      <c r="D61" s="52"/>
      <c r="E61" s="52"/>
    </row>
    <row r="62" customFormat="false" ht="15" hidden="false" customHeight="true" outlineLevel="0" collapsed="false">
      <c r="A62" s="52"/>
      <c r="B62" s="52"/>
      <c r="C62" s="51"/>
      <c r="D62" s="52"/>
      <c r="E62" s="52"/>
    </row>
    <row r="63" customFormat="false" ht="15" hidden="false" customHeight="true" outlineLevel="0" collapsed="false">
      <c r="A63" s="52"/>
      <c r="B63" s="52"/>
      <c r="C63" s="51"/>
      <c r="D63" s="52"/>
      <c r="E63" s="52"/>
    </row>
    <row r="64" customFormat="false" ht="15" hidden="false" customHeight="true" outlineLevel="0" collapsed="false">
      <c r="A64" s="52"/>
      <c r="B64" s="52"/>
      <c r="C64" s="51"/>
      <c r="D64" s="52"/>
      <c r="E64" s="52"/>
    </row>
    <row r="65" customFormat="false" ht="15" hidden="false" customHeight="true" outlineLevel="0" collapsed="false">
      <c r="A65" s="52"/>
      <c r="B65" s="52"/>
      <c r="C65" s="51"/>
      <c r="D65" s="52"/>
      <c r="E65" s="52"/>
    </row>
    <row r="66" customFormat="false" ht="15" hidden="false" customHeight="true" outlineLevel="0" collapsed="false">
      <c r="A66" s="52"/>
      <c r="B66" s="52"/>
      <c r="C66" s="51"/>
      <c r="D66" s="52"/>
      <c r="E66" s="52"/>
    </row>
    <row r="67" customFormat="false" ht="15" hidden="false" customHeight="true" outlineLevel="0" collapsed="false">
      <c r="A67" s="52"/>
      <c r="B67" s="52"/>
      <c r="C67" s="51"/>
      <c r="D67" s="52"/>
      <c r="E67" s="52"/>
    </row>
    <row r="68" customFormat="false" ht="15" hidden="false" customHeight="true" outlineLevel="0" collapsed="false">
      <c r="A68" s="52"/>
      <c r="B68" s="52"/>
      <c r="C68" s="51"/>
      <c r="D68" s="52"/>
      <c r="E68" s="52"/>
    </row>
    <row r="69" customFormat="false" ht="15" hidden="false" customHeight="true" outlineLevel="0" collapsed="false">
      <c r="A69" s="52"/>
      <c r="B69" s="52"/>
      <c r="C69" s="51"/>
      <c r="D69" s="52"/>
      <c r="E69" s="52"/>
    </row>
    <row r="70" customFormat="false" ht="15" hidden="false" customHeight="true" outlineLevel="0" collapsed="false">
      <c r="A70" s="52"/>
      <c r="B70" s="52"/>
      <c r="C70" s="51"/>
      <c r="D70" s="52"/>
      <c r="E70" s="52"/>
    </row>
    <row r="71" customFormat="false" ht="15" hidden="false" customHeight="true" outlineLevel="0" collapsed="false">
      <c r="A71" s="52"/>
      <c r="B71" s="52"/>
      <c r="C71" s="51"/>
      <c r="D71" s="52"/>
      <c r="E71" s="52"/>
    </row>
    <row r="72" customFormat="false" ht="15" hidden="false" customHeight="true" outlineLevel="0" collapsed="false">
      <c r="A72" s="52"/>
      <c r="B72" s="52"/>
      <c r="C72" s="51"/>
      <c r="D72" s="52"/>
      <c r="E72" s="52"/>
    </row>
    <row r="73" customFormat="false" ht="15" hidden="false" customHeight="true" outlineLevel="0" collapsed="false">
      <c r="A73" s="52"/>
      <c r="B73" s="52"/>
      <c r="C73" s="51"/>
      <c r="D73" s="52"/>
      <c r="E73" s="52"/>
    </row>
    <row r="74" customFormat="false" ht="15" hidden="false" customHeight="true" outlineLevel="0" collapsed="false">
      <c r="A74" s="52"/>
      <c r="B74" s="52"/>
      <c r="C74" s="51"/>
      <c r="D74" s="52"/>
      <c r="E74" s="52"/>
    </row>
    <row r="75" customFormat="false" ht="15" hidden="false" customHeight="true" outlineLevel="0" collapsed="false">
      <c r="A75" s="52"/>
      <c r="B75" s="52"/>
      <c r="C75" s="51"/>
      <c r="D75" s="52"/>
      <c r="E75" s="52"/>
    </row>
    <row r="76" customFormat="false" ht="15" hidden="false" customHeight="true" outlineLevel="0" collapsed="false">
      <c r="A76" s="52"/>
      <c r="B76" s="52"/>
      <c r="C76" s="51"/>
      <c r="D76" s="52"/>
      <c r="E76" s="52"/>
    </row>
    <row r="77" customFormat="false" ht="15" hidden="false" customHeight="true" outlineLevel="0" collapsed="false">
      <c r="A77" s="52"/>
      <c r="B77" s="52"/>
      <c r="C77" s="51"/>
      <c r="D77" s="52"/>
      <c r="E77" s="52"/>
    </row>
    <row r="78" customFormat="false" ht="15" hidden="false" customHeight="true" outlineLevel="0" collapsed="false">
      <c r="A78" s="52"/>
      <c r="B78" s="52"/>
      <c r="C78" s="51"/>
      <c r="D78" s="52"/>
      <c r="E78" s="52"/>
    </row>
    <row r="79" customFormat="false" ht="15" hidden="false" customHeight="true" outlineLevel="0" collapsed="false">
      <c r="A79" s="52"/>
      <c r="B79" s="52"/>
      <c r="C79" s="51"/>
      <c r="D79" s="52"/>
      <c r="E79" s="52"/>
    </row>
    <row r="80" customFormat="false" ht="15" hidden="false" customHeight="true" outlineLevel="0" collapsed="false">
      <c r="A80" s="52"/>
      <c r="B80" s="52"/>
      <c r="C80" s="51"/>
      <c r="D80" s="52"/>
      <c r="E80" s="52"/>
    </row>
    <row r="81" customFormat="false" ht="15" hidden="false" customHeight="true" outlineLevel="0" collapsed="false">
      <c r="A81" s="52"/>
      <c r="B81" s="52"/>
      <c r="C81" s="51"/>
      <c r="D81" s="52"/>
      <c r="E81" s="52"/>
    </row>
    <row r="82" customFormat="false" ht="15" hidden="false" customHeight="true" outlineLevel="0" collapsed="false">
      <c r="A82" s="52"/>
      <c r="B82" s="52"/>
      <c r="C82" s="51"/>
      <c r="D82" s="52"/>
      <c r="E82" s="52"/>
    </row>
    <row r="83" customFormat="false" ht="15" hidden="false" customHeight="true" outlineLevel="0" collapsed="false">
      <c r="A83" s="52"/>
      <c r="B83" s="52"/>
      <c r="C83" s="51"/>
      <c r="D83" s="52"/>
      <c r="E83" s="52"/>
    </row>
    <row r="84" customFormat="false" ht="15" hidden="false" customHeight="true" outlineLevel="0" collapsed="false">
      <c r="A84" s="52"/>
      <c r="B84" s="52"/>
      <c r="C84" s="51"/>
      <c r="D84" s="52"/>
      <c r="E84" s="52"/>
    </row>
    <row r="85" customFormat="false" ht="15" hidden="false" customHeight="true" outlineLevel="0" collapsed="false">
      <c r="A85" s="52"/>
      <c r="B85" s="52"/>
      <c r="C85" s="51"/>
      <c r="D85" s="52"/>
      <c r="E85" s="52"/>
    </row>
    <row r="86" customFormat="false" ht="15" hidden="false" customHeight="true" outlineLevel="0" collapsed="false">
      <c r="A86" s="52"/>
      <c r="B86" s="52"/>
      <c r="C86" s="51"/>
      <c r="D86" s="52"/>
      <c r="E86" s="52"/>
    </row>
    <row r="87" customFormat="false" ht="15" hidden="false" customHeight="true" outlineLevel="0" collapsed="false">
      <c r="A87" s="52"/>
      <c r="B87" s="52"/>
      <c r="C87" s="51"/>
      <c r="D87" s="52"/>
      <c r="E87" s="52"/>
    </row>
    <row r="88" customFormat="false" ht="15" hidden="false" customHeight="true" outlineLevel="0" collapsed="false">
      <c r="A88" s="52"/>
      <c r="B88" s="52"/>
      <c r="C88" s="51"/>
      <c r="D88" s="52"/>
      <c r="E88" s="52"/>
    </row>
    <row r="89" customFormat="false" ht="15" hidden="false" customHeight="true" outlineLevel="0" collapsed="false">
      <c r="A89" s="52"/>
      <c r="B89" s="52"/>
      <c r="C89" s="51"/>
      <c r="D89" s="52"/>
      <c r="E89" s="52"/>
    </row>
    <row r="90" customFormat="false" ht="15" hidden="false" customHeight="true" outlineLevel="0" collapsed="false">
      <c r="A90" s="52"/>
      <c r="B90" s="52"/>
      <c r="C90" s="51"/>
      <c r="D90" s="52"/>
      <c r="E90" s="52"/>
    </row>
    <row r="91" customFormat="false" ht="15" hidden="false" customHeight="true" outlineLevel="0" collapsed="false">
      <c r="A91" s="52"/>
      <c r="B91" s="52"/>
      <c r="C91" s="51"/>
      <c r="D91" s="52"/>
      <c r="E91" s="52"/>
    </row>
    <row r="92" customFormat="false" ht="15" hidden="false" customHeight="true" outlineLevel="0" collapsed="false">
      <c r="A92" s="52"/>
      <c r="B92" s="52"/>
      <c r="C92" s="51"/>
      <c r="D92" s="52"/>
      <c r="E92" s="52"/>
    </row>
    <row r="93" customFormat="false" ht="15" hidden="false" customHeight="true" outlineLevel="0" collapsed="false">
      <c r="A93" s="52"/>
      <c r="B93" s="52"/>
      <c r="C93" s="51"/>
      <c r="D93" s="52"/>
      <c r="E93" s="52"/>
    </row>
    <row r="94" customFormat="false" ht="15" hidden="false" customHeight="true" outlineLevel="0" collapsed="false">
      <c r="A94" s="52"/>
      <c r="B94" s="52"/>
      <c r="C94" s="51"/>
      <c r="D94" s="52"/>
      <c r="E94" s="52"/>
    </row>
    <row r="95" customFormat="false" ht="15" hidden="false" customHeight="true" outlineLevel="0" collapsed="false">
      <c r="A95" s="52"/>
      <c r="B95" s="52"/>
      <c r="C95" s="51"/>
      <c r="D95" s="52"/>
      <c r="E95" s="52"/>
    </row>
    <row r="96" customFormat="false" ht="15" hidden="false" customHeight="true" outlineLevel="0" collapsed="false">
      <c r="A96" s="52"/>
      <c r="B96" s="52"/>
      <c r="C96" s="51"/>
      <c r="D96" s="52"/>
      <c r="E96" s="52"/>
    </row>
    <row r="97" customFormat="false" ht="15" hidden="false" customHeight="true" outlineLevel="0" collapsed="false">
      <c r="A97" s="52"/>
      <c r="B97" s="52"/>
      <c r="C97" s="51"/>
      <c r="D97" s="52"/>
      <c r="E97" s="52"/>
    </row>
    <row r="98" customFormat="false" ht="15" hidden="false" customHeight="true" outlineLevel="0" collapsed="false">
      <c r="A98" s="52"/>
      <c r="B98" s="52"/>
      <c r="C98" s="51"/>
      <c r="D98" s="52"/>
      <c r="E98" s="52"/>
    </row>
    <row r="99" customFormat="false" ht="15" hidden="false" customHeight="true" outlineLevel="0" collapsed="false">
      <c r="A99" s="52"/>
      <c r="B99" s="52"/>
      <c r="C99" s="51"/>
      <c r="D99" s="52"/>
      <c r="E99" s="52"/>
    </row>
    <row r="100" customFormat="false" ht="15" hidden="false" customHeight="true" outlineLevel="0" collapsed="false">
      <c r="A100" s="52"/>
      <c r="B100" s="52"/>
      <c r="C100" s="51"/>
      <c r="D100" s="52"/>
      <c r="E100" s="52"/>
    </row>
    <row r="101" customFormat="false" ht="15" hidden="false" customHeight="true" outlineLevel="0" collapsed="false">
      <c r="A101" s="52"/>
      <c r="B101" s="52"/>
      <c r="C101" s="51"/>
      <c r="D101" s="52"/>
      <c r="E101" s="52"/>
    </row>
    <row r="102" customFormat="false" ht="15" hidden="false" customHeight="true" outlineLevel="0" collapsed="false">
      <c r="A102" s="52"/>
      <c r="B102" s="52"/>
      <c r="C102" s="51"/>
      <c r="D102" s="52"/>
      <c r="E102" s="52"/>
    </row>
    <row r="103" customFormat="false" ht="15" hidden="false" customHeight="true" outlineLevel="0" collapsed="false">
      <c r="A103" s="52"/>
      <c r="B103" s="52"/>
      <c r="C103" s="51"/>
      <c r="D103" s="52"/>
      <c r="E103" s="52"/>
    </row>
    <row r="104" customFormat="false" ht="15" hidden="false" customHeight="true" outlineLevel="0" collapsed="false">
      <c r="A104" s="52"/>
      <c r="B104" s="52"/>
      <c r="C104" s="51"/>
      <c r="D104" s="52"/>
      <c r="E104" s="52"/>
    </row>
    <row r="105" customFormat="false" ht="15" hidden="false" customHeight="true" outlineLevel="0" collapsed="false">
      <c r="A105" s="52"/>
      <c r="B105" s="52"/>
      <c r="C105" s="51"/>
      <c r="D105" s="52"/>
      <c r="E105" s="52"/>
    </row>
    <row r="106" customFormat="false" ht="15" hidden="false" customHeight="true" outlineLevel="0" collapsed="false">
      <c r="A106" s="52"/>
      <c r="B106" s="52"/>
      <c r="C106" s="51"/>
      <c r="D106" s="52"/>
      <c r="E106" s="52"/>
    </row>
    <row r="107" customFormat="false" ht="15" hidden="false" customHeight="true" outlineLevel="0" collapsed="false">
      <c r="A107" s="52"/>
      <c r="B107" s="52"/>
      <c r="C107" s="51"/>
      <c r="D107" s="52"/>
      <c r="E107" s="52"/>
    </row>
    <row r="108" customFormat="false" ht="15" hidden="false" customHeight="true" outlineLevel="0" collapsed="false">
      <c r="A108" s="52"/>
      <c r="B108" s="52"/>
      <c r="C108" s="51"/>
      <c r="D108" s="52"/>
      <c r="E108" s="52"/>
    </row>
    <row r="109" customFormat="false" ht="15" hidden="false" customHeight="true" outlineLevel="0" collapsed="false">
      <c r="A109" s="52"/>
      <c r="B109" s="52"/>
      <c r="C109" s="51"/>
      <c r="D109" s="52"/>
      <c r="E109" s="52"/>
    </row>
    <row r="110" customFormat="false" ht="15" hidden="false" customHeight="true" outlineLevel="0" collapsed="false">
      <c r="A110" s="52"/>
      <c r="B110" s="52"/>
      <c r="C110" s="51"/>
      <c r="D110" s="52"/>
      <c r="E110" s="52"/>
    </row>
    <row r="111" customFormat="false" ht="15" hidden="false" customHeight="true" outlineLevel="0" collapsed="false">
      <c r="A111" s="52"/>
      <c r="B111" s="52"/>
      <c r="C111" s="51"/>
      <c r="D111" s="52"/>
      <c r="E111" s="52"/>
    </row>
    <row r="112" customFormat="false" ht="15" hidden="false" customHeight="true" outlineLevel="0" collapsed="false">
      <c r="A112" s="52"/>
      <c r="B112" s="52"/>
      <c r="C112" s="51"/>
      <c r="D112" s="52"/>
      <c r="E112" s="52"/>
    </row>
    <row r="113" customFormat="false" ht="15" hidden="false" customHeight="true" outlineLevel="0" collapsed="false">
      <c r="A113" s="52"/>
      <c r="B113" s="52"/>
      <c r="C113" s="51"/>
      <c r="D113" s="52"/>
      <c r="E113" s="52"/>
    </row>
    <row r="114" customFormat="false" ht="15" hidden="false" customHeight="true" outlineLevel="0" collapsed="false">
      <c r="A114" s="52"/>
      <c r="B114" s="52"/>
      <c r="C114" s="51"/>
      <c r="D114" s="52"/>
      <c r="E114" s="52"/>
    </row>
    <row r="115" customFormat="false" ht="15" hidden="false" customHeight="true" outlineLevel="0" collapsed="false">
      <c r="A115" s="52"/>
      <c r="B115" s="52"/>
      <c r="C115" s="51"/>
      <c r="D115" s="52"/>
      <c r="E115" s="52"/>
    </row>
    <row r="116" customFormat="false" ht="15" hidden="false" customHeight="true" outlineLevel="0" collapsed="false">
      <c r="A116" s="52"/>
      <c r="B116" s="52"/>
      <c r="C116" s="51"/>
      <c r="D116" s="52"/>
      <c r="E116" s="52"/>
    </row>
    <row r="117" customFormat="false" ht="15" hidden="false" customHeight="true" outlineLevel="0" collapsed="false">
      <c r="A117" s="52"/>
      <c r="B117" s="52"/>
      <c r="C117" s="51"/>
      <c r="D117" s="52"/>
      <c r="E117" s="52"/>
    </row>
    <row r="118" customFormat="false" ht="15" hidden="false" customHeight="true" outlineLevel="0" collapsed="false">
      <c r="A118" s="52"/>
      <c r="B118" s="52"/>
      <c r="C118" s="51"/>
      <c r="D118" s="52"/>
      <c r="E118" s="52"/>
    </row>
    <row r="119" customFormat="false" ht="15" hidden="false" customHeight="true" outlineLevel="0" collapsed="false">
      <c r="A119" s="52"/>
      <c r="B119" s="52"/>
      <c r="C119" s="51"/>
      <c r="D119" s="52"/>
      <c r="E119" s="52"/>
    </row>
    <row r="120" customFormat="false" ht="15" hidden="false" customHeight="true" outlineLevel="0" collapsed="false">
      <c r="A120" s="52"/>
      <c r="B120" s="52"/>
      <c r="C120" s="51"/>
      <c r="D120" s="52"/>
      <c r="E120" s="52"/>
    </row>
    <row r="121" customFormat="false" ht="15" hidden="false" customHeight="true" outlineLevel="0" collapsed="false">
      <c r="A121" s="52"/>
      <c r="B121" s="52"/>
      <c r="C121" s="51"/>
      <c r="D121" s="52"/>
      <c r="E121" s="52"/>
    </row>
    <row r="122" customFormat="false" ht="15" hidden="false" customHeight="true" outlineLevel="0" collapsed="false">
      <c r="A122" s="52"/>
      <c r="B122" s="52"/>
      <c r="C122" s="51"/>
      <c r="D122" s="52"/>
      <c r="E122" s="52"/>
    </row>
    <row r="123" customFormat="false" ht="15" hidden="false" customHeight="true" outlineLevel="0" collapsed="false">
      <c r="A123" s="52"/>
      <c r="B123" s="52"/>
      <c r="C123" s="51"/>
      <c r="D123" s="52"/>
      <c r="E123" s="52"/>
    </row>
    <row r="124" customFormat="false" ht="15" hidden="false" customHeight="true" outlineLevel="0" collapsed="false">
      <c r="A124" s="52"/>
      <c r="B124" s="52"/>
      <c r="C124" s="51"/>
      <c r="D124" s="52"/>
      <c r="E124" s="52"/>
    </row>
    <row r="125" customFormat="false" ht="15" hidden="false" customHeight="true" outlineLevel="0" collapsed="false">
      <c r="A125" s="52"/>
      <c r="B125" s="52"/>
      <c r="C125" s="51"/>
      <c r="D125" s="52"/>
      <c r="E125" s="52"/>
    </row>
    <row r="126" customFormat="false" ht="15" hidden="false" customHeight="true" outlineLevel="0" collapsed="false">
      <c r="A126" s="52"/>
      <c r="B126" s="52"/>
      <c r="C126" s="51"/>
      <c r="D126" s="52"/>
      <c r="E126" s="52"/>
    </row>
    <row r="127" customFormat="false" ht="15" hidden="false" customHeight="true" outlineLevel="0" collapsed="false">
      <c r="A127" s="52"/>
      <c r="B127" s="52"/>
      <c r="C127" s="51"/>
      <c r="D127" s="52"/>
      <c r="E127" s="52"/>
    </row>
    <row r="128" customFormat="false" ht="15" hidden="false" customHeight="true" outlineLevel="0" collapsed="false">
      <c r="A128" s="52"/>
      <c r="B128" s="52"/>
      <c r="C128" s="51"/>
      <c r="D128" s="52"/>
      <c r="E128" s="52"/>
    </row>
    <row r="129" customFormat="false" ht="15" hidden="false" customHeight="true" outlineLevel="0" collapsed="false">
      <c r="A129" s="52"/>
      <c r="B129" s="52"/>
      <c r="C129" s="51"/>
      <c r="D129" s="52"/>
      <c r="E129" s="52"/>
    </row>
    <row r="130" customFormat="false" ht="15" hidden="false" customHeight="true" outlineLevel="0" collapsed="false">
      <c r="A130" s="52"/>
      <c r="B130" s="52"/>
      <c r="C130" s="51"/>
      <c r="D130" s="52"/>
      <c r="E130" s="52"/>
    </row>
    <row r="131" customFormat="false" ht="15" hidden="false" customHeight="true" outlineLevel="0" collapsed="false">
      <c r="A131" s="52"/>
      <c r="B131" s="52"/>
      <c r="C131" s="51"/>
      <c r="D131" s="52"/>
      <c r="E131" s="52"/>
    </row>
    <row r="132" customFormat="false" ht="15" hidden="false" customHeight="true" outlineLevel="0" collapsed="false">
      <c r="A132" s="52"/>
      <c r="B132" s="52"/>
      <c r="C132" s="51"/>
      <c r="D132" s="52"/>
      <c r="E132" s="52"/>
    </row>
    <row r="133" customFormat="false" ht="15" hidden="false" customHeight="true" outlineLevel="0" collapsed="false">
      <c r="A133" s="52"/>
      <c r="B133" s="52"/>
      <c r="C133" s="51"/>
      <c r="D133" s="52"/>
      <c r="E133" s="52"/>
    </row>
    <row r="134" customFormat="false" ht="15" hidden="false" customHeight="true" outlineLevel="0" collapsed="false">
      <c r="A134" s="52"/>
      <c r="B134" s="52"/>
      <c r="C134" s="51"/>
      <c r="D134" s="52"/>
      <c r="E134" s="52"/>
    </row>
    <row r="135" customFormat="false" ht="15" hidden="false" customHeight="true" outlineLevel="0" collapsed="false">
      <c r="A135" s="52"/>
      <c r="B135" s="52"/>
      <c r="C135" s="51"/>
      <c r="D135" s="52"/>
      <c r="E135" s="52"/>
    </row>
    <row r="136" customFormat="false" ht="15" hidden="false" customHeight="true" outlineLevel="0" collapsed="false">
      <c r="A136" s="52"/>
      <c r="B136" s="52"/>
      <c r="C136" s="51"/>
      <c r="D136" s="52"/>
      <c r="E136" s="52"/>
    </row>
    <row r="137" customFormat="false" ht="15" hidden="false" customHeight="true" outlineLevel="0" collapsed="false">
      <c r="A137" s="52"/>
      <c r="B137" s="52"/>
      <c r="C137" s="51"/>
      <c r="D137" s="52"/>
      <c r="E137" s="52"/>
    </row>
    <row r="138" customFormat="false" ht="15" hidden="false" customHeight="true" outlineLevel="0" collapsed="false">
      <c r="A138" s="52"/>
      <c r="B138" s="52"/>
      <c r="C138" s="51"/>
      <c r="D138" s="52"/>
      <c r="E138" s="52"/>
    </row>
    <row r="139" customFormat="false" ht="15" hidden="false" customHeight="true" outlineLevel="0" collapsed="false">
      <c r="A139" s="52"/>
      <c r="B139" s="52"/>
      <c r="C139" s="51"/>
      <c r="D139" s="52"/>
      <c r="E139" s="52"/>
    </row>
    <row r="140" customFormat="false" ht="15" hidden="false" customHeight="true" outlineLevel="0" collapsed="false">
      <c r="A140" s="52"/>
      <c r="B140" s="52"/>
      <c r="C140" s="51"/>
      <c r="D140" s="52"/>
      <c r="E140" s="52"/>
    </row>
    <row r="141" customFormat="false" ht="15" hidden="false" customHeight="true" outlineLevel="0" collapsed="false">
      <c r="A141" s="52"/>
      <c r="B141" s="52"/>
      <c r="C141" s="51"/>
      <c r="D141" s="52"/>
      <c r="E141" s="52"/>
    </row>
    <row r="142" customFormat="false" ht="15" hidden="false" customHeight="true" outlineLevel="0" collapsed="false">
      <c r="A142" s="52"/>
      <c r="B142" s="52"/>
      <c r="C142" s="51"/>
      <c r="D142" s="52"/>
      <c r="E142" s="52"/>
    </row>
    <row r="143" customFormat="false" ht="15" hidden="false" customHeight="true" outlineLevel="0" collapsed="false">
      <c r="A143" s="52"/>
      <c r="B143" s="52"/>
      <c r="C143" s="51"/>
      <c r="D143" s="52"/>
      <c r="E143" s="52"/>
    </row>
    <row r="144" customFormat="false" ht="15" hidden="false" customHeight="true" outlineLevel="0" collapsed="false">
      <c r="A144" s="52"/>
      <c r="B144" s="52"/>
      <c r="C144" s="51"/>
      <c r="D144" s="52"/>
      <c r="E144" s="52"/>
    </row>
    <row r="145" customFormat="false" ht="15" hidden="false" customHeight="true" outlineLevel="0" collapsed="false">
      <c r="A145" s="52"/>
      <c r="B145" s="52"/>
      <c r="C145" s="51"/>
      <c r="D145" s="52"/>
      <c r="E145" s="52"/>
    </row>
    <row r="146" customFormat="false" ht="15" hidden="false" customHeight="true" outlineLevel="0" collapsed="false">
      <c r="A146" s="52"/>
      <c r="B146" s="52"/>
      <c r="C146" s="51"/>
      <c r="D146" s="52"/>
      <c r="E146" s="52"/>
    </row>
    <row r="147" customFormat="false" ht="15" hidden="false" customHeight="true" outlineLevel="0" collapsed="false">
      <c r="A147" s="52"/>
      <c r="B147" s="52"/>
      <c r="C147" s="51"/>
      <c r="D147" s="52"/>
      <c r="E147" s="52"/>
    </row>
    <row r="148" customFormat="false" ht="15" hidden="false" customHeight="true" outlineLevel="0" collapsed="false">
      <c r="A148" s="52"/>
      <c r="B148" s="52"/>
      <c r="C148" s="51"/>
      <c r="D148" s="52"/>
      <c r="E148" s="52"/>
    </row>
    <row r="149" customFormat="false" ht="15" hidden="false" customHeight="true" outlineLevel="0" collapsed="false">
      <c r="A149" s="52"/>
      <c r="B149" s="52"/>
      <c r="C149" s="51"/>
      <c r="D149" s="52"/>
      <c r="E149" s="52"/>
    </row>
    <row r="150" customFormat="false" ht="15" hidden="false" customHeight="true" outlineLevel="0" collapsed="false">
      <c r="A150" s="52"/>
      <c r="B150" s="52"/>
      <c r="C150" s="51"/>
      <c r="D150" s="52"/>
      <c r="E150" s="52"/>
    </row>
    <row r="151" customFormat="false" ht="15" hidden="false" customHeight="true" outlineLevel="0" collapsed="false">
      <c r="A151" s="52"/>
      <c r="B151" s="52"/>
      <c r="C151" s="51"/>
      <c r="D151" s="52"/>
      <c r="E151" s="52"/>
    </row>
    <row r="152" customFormat="false" ht="15" hidden="false" customHeight="true" outlineLevel="0" collapsed="false">
      <c r="A152" s="52"/>
      <c r="B152" s="52"/>
      <c r="C152" s="51"/>
      <c r="D152" s="52"/>
      <c r="E152" s="52"/>
    </row>
    <row r="153" customFormat="false" ht="15" hidden="false" customHeight="true" outlineLevel="0" collapsed="false">
      <c r="A153" s="52"/>
      <c r="B153" s="52"/>
      <c r="C153" s="51"/>
      <c r="D153" s="52"/>
      <c r="E153" s="52"/>
    </row>
    <row r="154" customFormat="false" ht="15" hidden="false" customHeight="true" outlineLevel="0" collapsed="false">
      <c r="A154" s="52"/>
      <c r="B154" s="52"/>
      <c r="C154" s="51"/>
      <c r="D154" s="52"/>
      <c r="E154" s="52"/>
    </row>
    <row r="155" customFormat="false" ht="15" hidden="false" customHeight="true" outlineLevel="0" collapsed="false">
      <c r="A155" s="52"/>
      <c r="B155" s="52"/>
      <c r="C155" s="51"/>
      <c r="D155" s="52"/>
      <c r="E155" s="52"/>
    </row>
    <row r="156" customFormat="false" ht="15" hidden="false" customHeight="true" outlineLevel="0" collapsed="false">
      <c r="A156" s="52"/>
      <c r="B156" s="52"/>
      <c r="C156" s="51"/>
      <c r="D156" s="52"/>
      <c r="E156" s="52"/>
    </row>
    <row r="157" customFormat="false" ht="15" hidden="false" customHeight="true" outlineLevel="0" collapsed="false">
      <c r="A157" s="52"/>
      <c r="B157" s="52"/>
      <c r="C157" s="51"/>
      <c r="D157" s="52"/>
      <c r="E157" s="52"/>
    </row>
    <row r="158" customFormat="false" ht="15" hidden="false" customHeight="true" outlineLevel="0" collapsed="false">
      <c r="A158" s="52"/>
      <c r="B158" s="52"/>
      <c r="C158" s="51"/>
      <c r="D158" s="52"/>
      <c r="E158" s="52"/>
    </row>
    <row r="159" customFormat="false" ht="15" hidden="false" customHeight="true" outlineLevel="0" collapsed="false">
      <c r="A159" s="52"/>
      <c r="B159" s="52"/>
      <c r="C159" s="51"/>
      <c r="D159" s="52"/>
      <c r="E159" s="52"/>
    </row>
    <row r="160" customFormat="false" ht="15" hidden="false" customHeight="true" outlineLevel="0" collapsed="false">
      <c r="A160" s="52"/>
      <c r="B160" s="52"/>
      <c r="C160" s="51"/>
      <c r="D160" s="52"/>
      <c r="E160" s="52"/>
    </row>
    <row r="161" customFormat="false" ht="15" hidden="false" customHeight="true" outlineLevel="0" collapsed="false">
      <c r="A161" s="52"/>
      <c r="B161" s="52"/>
      <c r="C161" s="51"/>
      <c r="D161" s="52"/>
      <c r="E161" s="52"/>
    </row>
    <row r="162" customFormat="false" ht="15" hidden="false" customHeight="true" outlineLevel="0" collapsed="false">
      <c r="A162" s="52"/>
      <c r="B162" s="52"/>
      <c r="C162" s="51"/>
      <c r="D162" s="52"/>
      <c r="E162" s="52"/>
    </row>
    <row r="163" customFormat="false" ht="15" hidden="false" customHeight="true" outlineLevel="0" collapsed="false">
      <c r="A163" s="52"/>
      <c r="B163" s="52"/>
      <c r="C163" s="51"/>
      <c r="D163" s="52"/>
      <c r="E163" s="52"/>
    </row>
    <row r="164" customFormat="false" ht="15" hidden="false" customHeight="true" outlineLevel="0" collapsed="false">
      <c r="A164" s="52"/>
      <c r="B164" s="52"/>
      <c r="C164" s="51"/>
      <c r="D164" s="52"/>
      <c r="E164" s="52"/>
    </row>
    <row r="165" customFormat="false" ht="15" hidden="false" customHeight="true" outlineLevel="0" collapsed="false">
      <c r="A165" s="52"/>
      <c r="B165" s="52"/>
      <c r="C165" s="51"/>
      <c r="D165" s="52"/>
      <c r="E165" s="52"/>
    </row>
    <row r="166" customFormat="false" ht="15" hidden="false" customHeight="true" outlineLevel="0" collapsed="false">
      <c r="A166" s="52"/>
      <c r="B166" s="52"/>
      <c r="C166" s="51"/>
      <c r="D166" s="52"/>
      <c r="E166" s="52"/>
    </row>
    <row r="167" customFormat="false" ht="15" hidden="false" customHeight="true" outlineLevel="0" collapsed="false">
      <c r="A167" s="52"/>
      <c r="B167" s="52"/>
      <c r="C167" s="51"/>
      <c r="D167" s="52"/>
      <c r="E167" s="52"/>
    </row>
    <row r="168" customFormat="false" ht="15" hidden="false" customHeight="true" outlineLevel="0" collapsed="false">
      <c r="A168" s="52"/>
      <c r="B168" s="52"/>
      <c r="C168" s="51"/>
      <c r="D168" s="52"/>
      <c r="E168" s="52"/>
    </row>
    <row r="169" customFormat="false" ht="15" hidden="false" customHeight="true" outlineLevel="0" collapsed="false">
      <c r="A169" s="52"/>
      <c r="B169" s="52"/>
      <c r="C169" s="51"/>
      <c r="D169" s="52"/>
      <c r="E169" s="52"/>
    </row>
    <row r="170" customFormat="false" ht="15" hidden="false" customHeight="true" outlineLevel="0" collapsed="false">
      <c r="A170" s="52"/>
      <c r="B170" s="52"/>
      <c r="C170" s="51"/>
      <c r="D170" s="52"/>
      <c r="E170" s="52"/>
    </row>
    <row r="171" customFormat="false" ht="15" hidden="false" customHeight="true" outlineLevel="0" collapsed="false">
      <c r="A171" s="52"/>
      <c r="B171" s="52"/>
      <c r="C171" s="51"/>
      <c r="D171" s="52"/>
      <c r="E171" s="52"/>
    </row>
    <row r="172" customFormat="false" ht="15" hidden="false" customHeight="true" outlineLevel="0" collapsed="false">
      <c r="A172" s="52"/>
      <c r="B172" s="52"/>
      <c r="C172" s="51"/>
      <c r="D172" s="52"/>
      <c r="E172" s="52"/>
    </row>
    <row r="173" customFormat="false" ht="15" hidden="false" customHeight="true" outlineLevel="0" collapsed="false">
      <c r="A173" s="52"/>
      <c r="B173" s="52"/>
      <c r="C173" s="51"/>
      <c r="D173" s="52"/>
      <c r="E173" s="52"/>
    </row>
    <row r="174" customFormat="false" ht="15" hidden="false" customHeight="true" outlineLevel="0" collapsed="false">
      <c r="A174" s="52"/>
      <c r="B174" s="52"/>
      <c r="C174" s="51"/>
      <c r="D174" s="52"/>
      <c r="E174" s="52"/>
    </row>
    <row r="175" customFormat="false" ht="15" hidden="false" customHeight="true" outlineLevel="0" collapsed="false">
      <c r="A175" s="52"/>
      <c r="B175" s="52"/>
      <c r="C175" s="51"/>
      <c r="D175" s="52"/>
      <c r="E175" s="52"/>
    </row>
    <row r="176" customFormat="false" ht="15" hidden="false" customHeight="true" outlineLevel="0" collapsed="false">
      <c r="A176" s="52"/>
      <c r="B176" s="52"/>
      <c r="C176" s="51"/>
      <c r="D176" s="52"/>
      <c r="E176" s="52"/>
    </row>
    <row r="177" customFormat="false" ht="15" hidden="false" customHeight="true" outlineLevel="0" collapsed="false">
      <c r="A177" s="52"/>
      <c r="B177" s="52"/>
      <c r="C177" s="51"/>
      <c r="D177" s="52"/>
      <c r="E177" s="52"/>
    </row>
    <row r="178" customFormat="false" ht="15" hidden="false" customHeight="true" outlineLevel="0" collapsed="false">
      <c r="A178" s="52"/>
      <c r="B178" s="52"/>
      <c r="C178" s="51"/>
      <c r="D178" s="52"/>
      <c r="E178" s="52"/>
    </row>
    <row r="179" customFormat="false" ht="15" hidden="false" customHeight="true" outlineLevel="0" collapsed="false">
      <c r="A179" s="52"/>
      <c r="B179" s="52"/>
      <c r="C179" s="51"/>
      <c r="D179" s="52"/>
      <c r="E179" s="52"/>
    </row>
    <row r="180" customFormat="false" ht="15" hidden="false" customHeight="true" outlineLevel="0" collapsed="false">
      <c r="A180" s="52"/>
      <c r="B180" s="52"/>
      <c r="C180" s="51"/>
      <c r="D180" s="52"/>
      <c r="E180" s="52"/>
    </row>
    <row r="181" customFormat="false" ht="15" hidden="false" customHeight="true" outlineLevel="0" collapsed="false">
      <c r="A181" s="52"/>
      <c r="B181" s="52"/>
      <c r="C181" s="51"/>
      <c r="D181" s="52"/>
      <c r="E181" s="52"/>
    </row>
    <row r="182" customFormat="false" ht="15" hidden="false" customHeight="true" outlineLevel="0" collapsed="false">
      <c r="A182" s="52"/>
      <c r="B182" s="52"/>
      <c r="C182" s="51"/>
      <c r="D182" s="52"/>
      <c r="E182" s="52"/>
    </row>
    <row r="183" customFormat="false" ht="15" hidden="false" customHeight="true" outlineLevel="0" collapsed="false">
      <c r="A183" s="52"/>
      <c r="B183" s="52"/>
      <c r="C183" s="51"/>
      <c r="D183" s="52"/>
      <c r="E183" s="52"/>
    </row>
    <row r="184" customFormat="false" ht="15" hidden="false" customHeight="true" outlineLevel="0" collapsed="false">
      <c r="A184" s="52"/>
      <c r="B184" s="52"/>
      <c r="C184" s="51"/>
      <c r="D184" s="52"/>
      <c r="E184" s="52"/>
    </row>
    <row r="185" customFormat="false" ht="15" hidden="false" customHeight="true" outlineLevel="0" collapsed="false">
      <c r="A185" s="52"/>
      <c r="B185" s="52"/>
      <c r="C185" s="51"/>
      <c r="D185" s="52"/>
      <c r="E185" s="52"/>
    </row>
    <row r="186" customFormat="false" ht="15" hidden="false" customHeight="true" outlineLevel="0" collapsed="false">
      <c r="A186" s="52"/>
      <c r="B186" s="52"/>
      <c r="C186" s="51"/>
      <c r="D186" s="52"/>
      <c r="E186" s="52"/>
    </row>
    <row r="187" customFormat="false" ht="15" hidden="false" customHeight="true" outlineLevel="0" collapsed="false">
      <c r="A187" s="52"/>
      <c r="B187" s="52"/>
      <c r="C187" s="51"/>
      <c r="D187" s="52"/>
      <c r="E187" s="52"/>
    </row>
    <row r="188" customFormat="false" ht="15" hidden="false" customHeight="true" outlineLevel="0" collapsed="false">
      <c r="A188" s="52"/>
      <c r="B188" s="52"/>
      <c r="C188" s="51"/>
      <c r="D188" s="52"/>
      <c r="E188" s="52"/>
    </row>
    <row r="189" customFormat="false" ht="15" hidden="false" customHeight="true" outlineLevel="0" collapsed="false">
      <c r="A189" s="52"/>
      <c r="B189" s="52"/>
      <c r="C189" s="51"/>
      <c r="D189" s="52"/>
      <c r="E189" s="52"/>
    </row>
    <row r="190" customFormat="false" ht="15" hidden="false" customHeight="true" outlineLevel="0" collapsed="false">
      <c r="A190" s="52"/>
      <c r="B190" s="52"/>
      <c r="C190" s="51"/>
      <c r="D190" s="52"/>
      <c r="E190" s="52"/>
    </row>
    <row r="191" customFormat="false" ht="15" hidden="false" customHeight="true" outlineLevel="0" collapsed="false">
      <c r="A191" s="52"/>
      <c r="B191" s="52"/>
      <c r="C191" s="51"/>
      <c r="D191" s="52"/>
      <c r="E191" s="52"/>
    </row>
    <row r="192" customFormat="false" ht="15" hidden="false" customHeight="true" outlineLevel="0" collapsed="false">
      <c r="A192" s="52"/>
      <c r="B192" s="52"/>
      <c r="C192" s="51"/>
      <c r="D192" s="52"/>
      <c r="E192" s="52"/>
    </row>
    <row r="193" customFormat="false" ht="15" hidden="false" customHeight="true" outlineLevel="0" collapsed="false">
      <c r="A193" s="52"/>
      <c r="B193" s="52"/>
      <c r="C193" s="51"/>
      <c r="D193" s="52"/>
      <c r="E193" s="52"/>
    </row>
    <row r="194" customFormat="false" ht="15" hidden="false" customHeight="true" outlineLevel="0" collapsed="false">
      <c r="A194" s="52"/>
      <c r="B194" s="52"/>
      <c r="C194" s="51"/>
      <c r="D194" s="52"/>
      <c r="E194" s="52"/>
    </row>
    <row r="195" customFormat="false" ht="15" hidden="false" customHeight="true" outlineLevel="0" collapsed="false">
      <c r="A195" s="52"/>
      <c r="B195" s="52"/>
      <c r="C195" s="51"/>
      <c r="D195" s="52"/>
      <c r="E195" s="52"/>
    </row>
    <row r="196" customFormat="false" ht="15" hidden="false" customHeight="true" outlineLevel="0" collapsed="false">
      <c r="A196" s="52"/>
      <c r="B196" s="52"/>
      <c r="C196" s="51"/>
      <c r="D196" s="52"/>
      <c r="E196" s="52"/>
    </row>
    <row r="197" customFormat="false" ht="15" hidden="false" customHeight="true" outlineLevel="0" collapsed="false">
      <c r="A197" s="52"/>
      <c r="B197" s="52"/>
      <c r="C197" s="51"/>
      <c r="D197" s="52"/>
      <c r="E197" s="52"/>
    </row>
    <row r="198" customFormat="false" ht="15" hidden="false" customHeight="true" outlineLevel="0" collapsed="false">
      <c r="A198" s="52"/>
      <c r="B198" s="52"/>
      <c r="C198" s="51"/>
      <c r="D198" s="52"/>
      <c r="E198" s="52"/>
    </row>
    <row r="199" customFormat="false" ht="15" hidden="false" customHeight="true" outlineLevel="0" collapsed="false">
      <c r="A199" s="52"/>
      <c r="B199" s="52"/>
      <c r="C199" s="51"/>
      <c r="D199" s="52"/>
      <c r="E199" s="52"/>
    </row>
    <row r="200" customFormat="false" ht="15" hidden="false" customHeight="true" outlineLevel="0" collapsed="false">
      <c r="A200" s="52"/>
      <c r="B200" s="52"/>
      <c r="C200" s="51"/>
      <c r="D200" s="52"/>
      <c r="E200" s="52"/>
    </row>
    <row r="201" customFormat="false" ht="15" hidden="false" customHeight="true" outlineLevel="0" collapsed="false">
      <c r="A201" s="52"/>
      <c r="B201" s="52"/>
      <c r="C201" s="51"/>
      <c r="D201" s="52"/>
      <c r="E201" s="52"/>
    </row>
    <row r="202" customFormat="false" ht="15" hidden="false" customHeight="true" outlineLevel="0" collapsed="false">
      <c r="A202" s="52"/>
      <c r="B202" s="52"/>
      <c r="C202" s="51"/>
      <c r="D202" s="52"/>
      <c r="E202" s="52"/>
    </row>
    <row r="203" customFormat="false" ht="15" hidden="false" customHeight="true" outlineLevel="0" collapsed="false">
      <c r="A203" s="52"/>
      <c r="B203" s="52"/>
      <c r="C203" s="51"/>
      <c r="D203" s="52"/>
      <c r="E203" s="52"/>
    </row>
    <row r="204" customFormat="false" ht="15" hidden="false" customHeight="true" outlineLevel="0" collapsed="false">
      <c r="A204" s="52"/>
      <c r="B204" s="52"/>
      <c r="C204" s="51"/>
      <c r="D204" s="52"/>
      <c r="E204" s="52"/>
    </row>
    <row r="205" customFormat="false" ht="15" hidden="false" customHeight="true" outlineLevel="0" collapsed="false">
      <c r="A205" s="52"/>
      <c r="B205" s="52"/>
      <c r="C205" s="51"/>
      <c r="D205" s="52"/>
      <c r="E205" s="52"/>
    </row>
    <row r="206" customFormat="false" ht="15" hidden="false" customHeight="true" outlineLevel="0" collapsed="false">
      <c r="A206" s="52"/>
      <c r="B206" s="52"/>
      <c r="C206" s="51"/>
      <c r="D206" s="52"/>
      <c r="E206" s="52"/>
    </row>
    <row r="207" customFormat="false" ht="15" hidden="false" customHeight="true" outlineLevel="0" collapsed="false">
      <c r="A207" s="52"/>
      <c r="B207" s="52"/>
      <c r="C207" s="51"/>
      <c r="D207" s="52"/>
      <c r="E207" s="52"/>
    </row>
    <row r="208" customFormat="false" ht="15" hidden="false" customHeight="true" outlineLevel="0" collapsed="false">
      <c r="A208" s="52"/>
      <c r="B208" s="52"/>
      <c r="C208" s="51"/>
      <c r="D208" s="52"/>
      <c r="E208" s="52"/>
    </row>
    <row r="209" customFormat="false" ht="15" hidden="false" customHeight="true" outlineLevel="0" collapsed="false">
      <c r="A209" s="52"/>
      <c r="B209" s="52"/>
      <c r="C209" s="51"/>
      <c r="D209" s="52"/>
      <c r="E209" s="52"/>
    </row>
    <row r="210" customFormat="false" ht="15" hidden="false" customHeight="true" outlineLevel="0" collapsed="false">
      <c r="A210" s="52"/>
      <c r="B210" s="52"/>
      <c r="C210" s="51"/>
      <c r="D210" s="52"/>
      <c r="E210" s="52"/>
    </row>
    <row r="211" customFormat="false" ht="15" hidden="false" customHeight="true" outlineLevel="0" collapsed="false">
      <c r="A211" s="52"/>
      <c r="B211" s="52"/>
      <c r="C211" s="51"/>
      <c r="D211" s="52"/>
      <c r="E211" s="52"/>
    </row>
    <row r="212" customFormat="false" ht="15" hidden="false" customHeight="true" outlineLevel="0" collapsed="false">
      <c r="A212" s="52"/>
      <c r="B212" s="52"/>
      <c r="C212" s="51"/>
      <c r="D212" s="52"/>
      <c r="E212" s="52"/>
    </row>
    <row r="213" customFormat="false" ht="15" hidden="false" customHeight="true" outlineLevel="0" collapsed="false">
      <c r="A213" s="52"/>
      <c r="B213" s="52"/>
      <c r="C213" s="51"/>
      <c r="D213" s="52"/>
      <c r="E213" s="52"/>
    </row>
    <row r="214" customFormat="false" ht="15" hidden="false" customHeight="true" outlineLevel="0" collapsed="false">
      <c r="A214" s="52"/>
      <c r="B214" s="52"/>
      <c r="C214" s="51"/>
      <c r="D214" s="52"/>
      <c r="E214" s="52"/>
    </row>
    <row r="215" customFormat="false" ht="15" hidden="false" customHeight="true" outlineLevel="0" collapsed="false">
      <c r="A215" s="52"/>
      <c r="B215" s="52"/>
      <c r="C215" s="51"/>
      <c r="D215" s="52"/>
      <c r="E215" s="52"/>
    </row>
    <row r="216" customFormat="false" ht="15" hidden="false" customHeight="true" outlineLevel="0" collapsed="false">
      <c r="A216" s="52"/>
      <c r="B216" s="52"/>
      <c r="C216" s="51"/>
      <c r="D216" s="52"/>
      <c r="E216" s="52"/>
    </row>
    <row r="217" customFormat="false" ht="15" hidden="false" customHeight="true" outlineLevel="0" collapsed="false">
      <c r="A217" s="52"/>
      <c r="B217" s="52"/>
      <c r="C217" s="51"/>
      <c r="D217" s="52"/>
      <c r="E217" s="52"/>
    </row>
    <row r="218" customFormat="false" ht="15" hidden="false" customHeight="true" outlineLevel="0" collapsed="false">
      <c r="A218" s="52"/>
      <c r="B218" s="52"/>
      <c r="C218" s="51"/>
      <c r="D218" s="52"/>
      <c r="E218" s="52"/>
    </row>
    <row r="219" customFormat="false" ht="15" hidden="false" customHeight="true" outlineLevel="0" collapsed="false">
      <c r="A219" s="52"/>
      <c r="B219" s="52"/>
      <c r="C219" s="51"/>
      <c r="D219" s="52"/>
      <c r="E219" s="52"/>
    </row>
    <row r="220" customFormat="false" ht="15" hidden="false" customHeight="true" outlineLevel="0" collapsed="false">
      <c r="A220" s="52"/>
      <c r="B220" s="52"/>
      <c r="C220" s="51"/>
      <c r="D220" s="52"/>
      <c r="E220" s="52"/>
    </row>
    <row r="221" customFormat="false" ht="15" hidden="false" customHeight="true" outlineLevel="0" collapsed="false">
      <c r="A221" s="52"/>
      <c r="B221" s="52"/>
      <c r="C221" s="51"/>
      <c r="D221" s="52"/>
      <c r="E221" s="52"/>
    </row>
    <row r="222" customFormat="false" ht="15" hidden="false" customHeight="true" outlineLevel="0" collapsed="false">
      <c r="A222" s="52"/>
      <c r="B222" s="52"/>
      <c r="C222" s="51"/>
      <c r="D222" s="52"/>
      <c r="E222" s="52"/>
    </row>
    <row r="223" customFormat="false" ht="15" hidden="false" customHeight="true" outlineLevel="0" collapsed="false">
      <c r="A223" s="52"/>
      <c r="B223" s="52"/>
      <c r="C223" s="51"/>
      <c r="D223" s="52"/>
      <c r="E223" s="52"/>
    </row>
    <row r="224" customFormat="false" ht="15" hidden="false" customHeight="true" outlineLevel="0" collapsed="false">
      <c r="A224" s="52"/>
      <c r="B224" s="52"/>
      <c r="C224" s="51"/>
      <c r="D224" s="52"/>
      <c r="E224" s="52"/>
    </row>
    <row r="225" customFormat="false" ht="15" hidden="false" customHeight="true" outlineLevel="0" collapsed="false">
      <c r="A225" s="52"/>
      <c r="B225" s="52"/>
      <c r="C225" s="51"/>
      <c r="D225" s="52"/>
      <c r="E225" s="52"/>
    </row>
    <row r="226" customFormat="false" ht="15" hidden="false" customHeight="true" outlineLevel="0" collapsed="false">
      <c r="A226" s="52"/>
      <c r="B226" s="52"/>
      <c r="C226" s="51"/>
      <c r="D226" s="52"/>
      <c r="E226" s="52"/>
    </row>
    <row r="227" customFormat="false" ht="15" hidden="false" customHeight="true" outlineLevel="0" collapsed="false">
      <c r="A227" s="52"/>
      <c r="B227" s="52"/>
      <c r="C227" s="51"/>
      <c r="D227" s="52"/>
      <c r="E227" s="52"/>
    </row>
    <row r="228" customFormat="false" ht="15" hidden="false" customHeight="true" outlineLevel="0" collapsed="false">
      <c r="A228" s="52"/>
      <c r="B228" s="52"/>
      <c r="C228" s="51"/>
      <c r="D228" s="52"/>
      <c r="E228" s="52"/>
    </row>
    <row r="229" customFormat="false" ht="15" hidden="false" customHeight="true" outlineLevel="0" collapsed="false">
      <c r="A229" s="52"/>
      <c r="B229" s="52"/>
      <c r="C229" s="51"/>
      <c r="D229" s="52"/>
      <c r="E229" s="52"/>
    </row>
    <row r="230" customFormat="false" ht="15" hidden="false" customHeight="true" outlineLevel="0" collapsed="false">
      <c r="A230" s="52"/>
      <c r="B230" s="52"/>
      <c r="C230" s="51"/>
      <c r="D230" s="52"/>
      <c r="E230" s="52"/>
    </row>
    <row r="231" customFormat="false" ht="15" hidden="false" customHeight="true" outlineLevel="0" collapsed="false">
      <c r="A231" s="52"/>
      <c r="B231" s="52"/>
      <c r="C231" s="51"/>
      <c r="D231" s="52"/>
      <c r="E231" s="52"/>
    </row>
    <row r="232" customFormat="false" ht="15" hidden="false" customHeight="true" outlineLevel="0" collapsed="false">
      <c r="A232" s="52"/>
      <c r="B232" s="52"/>
      <c r="C232" s="51"/>
      <c r="D232" s="52"/>
      <c r="E232" s="52"/>
    </row>
    <row r="233" customFormat="false" ht="15" hidden="false" customHeight="true" outlineLevel="0" collapsed="false">
      <c r="A233" s="52"/>
      <c r="B233" s="52"/>
      <c r="C233" s="51"/>
      <c r="D233" s="52"/>
      <c r="E233" s="52"/>
    </row>
    <row r="234" customFormat="false" ht="15" hidden="false" customHeight="true" outlineLevel="0" collapsed="false">
      <c r="A234" s="52"/>
      <c r="B234" s="52"/>
      <c r="C234" s="51"/>
      <c r="D234" s="52"/>
      <c r="E234" s="52"/>
    </row>
    <row r="235" customFormat="false" ht="15" hidden="false" customHeight="true" outlineLevel="0" collapsed="false">
      <c r="A235" s="52"/>
      <c r="B235" s="52"/>
      <c r="C235" s="51"/>
      <c r="D235" s="52"/>
      <c r="E235" s="52"/>
    </row>
    <row r="236" customFormat="false" ht="15" hidden="false" customHeight="true" outlineLevel="0" collapsed="false">
      <c r="A236" s="52"/>
      <c r="B236" s="52"/>
      <c r="C236" s="51"/>
      <c r="D236" s="52"/>
      <c r="E236" s="52"/>
    </row>
    <row r="237" customFormat="false" ht="15" hidden="false" customHeight="true" outlineLevel="0" collapsed="false">
      <c r="A237" s="52"/>
      <c r="B237" s="52"/>
      <c r="C237" s="51"/>
      <c r="D237" s="52"/>
      <c r="E237" s="52"/>
    </row>
    <row r="238" customFormat="false" ht="15" hidden="false" customHeight="true" outlineLevel="0" collapsed="false">
      <c r="A238" s="52"/>
      <c r="B238" s="52"/>
      <c r="C238" s="51"/>
      <c r="D238" s="52"/>
      <c r="E238" s="52"/>
    </row>
    <row r="239" customFormat="false" ht="15" hidden="false" customHeight="true" outlineLevel="0" collapsed="false">
      <c r="A239" s="52"/>
      <c r="B239" s="52"/>
      <c r="C239" s="51"/>
      <c r="D239" s="52"/>
      <c r="E239" s="52"/>
    </row>
    <row r="240" customFormat="false" ht="15" hidden="false" customHeight="true" outlineLevel="0" collapsed="false">
      <c r="A240" s="52"/>
      <c r="B240" s="52"/>
      <c r="C240" s="51"/>
      <c r="D240" s="52"/>
      <c r="E240" s="52"/>
    </row>
    <row r="241" customFormat="false" ht="15" hidden="false" customHeight="true" outlineLevel="0" collapsed="false">
      <c r="A241" s="52"/>
      <c r="B241" s="52"/>
      <c r="C241" s="51"/>
      <c r="D241" s="52"/>
      <c r="E241" s="52"/>
    </row>
    <row r="242" customFormat="false" ht="15" hidden="false" customHeight="true" outlineLevel="0" collapsed="false">
      <c r="A242" s="52"/>
      <c r="B242" s="52"/>
      <c r="C242" s="51"/>
      <c r="D242" s="52"/>
      <c r="E242" s="52"/>
    </row>
    <row r="243" customFormat="false" ht="15" hidden="false" customHeight="true" outlineLevel="0" collapsed="false">
      <c r="A243" s="52"/>
      <c r="B243" s="52"/>
      <c r="C243" s="51"/>
      <c r="D243" s="52"/>
      <c r="E243" s="52"/>
    </row>
    <row r="244" customFormat="false" ht="15" hidden="false" customHeight="true" outlineLevel="0" collapsed="false">
      <c r="A244" s="52"/>
      <c r="B244" s="52"/>
      <c r="C244" s="51"/>
      <c r="D244" s="52"/>
      <c r="E244" s="52"/>
    </row>
    <row r="245" customFormat="false" ht="15" hidden="false" customHeight="true" outlineLevel="0" collapsed="false">
      <c r="A245" s="52"/>
      <c r="B245" s="52"/>
      <c r="C245" s="51"/>
      <c r="D245" s="52"/>
      <c r="E245" s="52"/>
    </row>
    <row r="246" customFormat="false" ht="15" hidden="false" customHeight="true" outlineLevel="0" collapsed="false">
      <c r="A246" s="52"/>
      <c r="B246" s="52"/>
      <c r="C246" s="51"/>
      <c r="D246" s="52"/>
      <c r="E246" s="52"/>
    </row>
    <row r="247" customFormat="false" ht="15" hidden="false" customHeight="true" outlineLevel="0" collapsed="false">
      <c r="A247" s="52"/>
      <c r="B247" s="52"/>
      <c r="C247" s="51"/>
      <c r="D247" s="52"/>
      <c r="E247" s="52"/>
    </row>
    <row r="248" customFormat="false" ht="15" hidden="false" customHeight="true" outlineLevel="0" collapsed="false">
      <c r="A248" s="52"/>
      <c r="B248" s="52"/>
      <c r="C248" s="51"/>
      <c r="D248" s="52"/>
      <c r="E248" s="52"/>
    </row>
    <row r="249" customFormat="false" ht="15" hidden="false" customHeight="true" outlineLevel="0" collapsed="false">
      <c r="A249" s="52"/>
      <c r="B249" s="52"/>
      <c r="C249" s="51"/>
      <c r="D249" s="52"/>
      <c r="E249" s="52"/>
    </row>
    <row r="250" customFormat="false" ht="15" hidden="false" customHeight="true" outlineLevel="0" collapsed="false">
      <c r="A250" s="52"/>
      <c r="B250" s="52"/>
      <c r="C250" s="51"/>
      <c r="D250" s="52"/>
      <c r="E250" s="52"/>
    </row>
    <row r="251" customFormat="false" ht="15" hidden="false" customHeight="true" outlineLevel="0" collapsed="false">
      <c r="A251" s="52"/>
      <c r="B251" s="52"/>
      <c r="C251" s="51"/>
      <c r="D251" s="52"/>
      <c r="E251" s="52"/>
    </row>
    <row r="252" customFormat="false" ht="15" hidden="false" customHeight="true" outlineLevel="0" collapsed="false">
      <c r="A252" s="52"/>
      <c r="B252" s="52"/>
      <c r="C252" s="51"/>
      <c r="D252" s="52"/>
      <c r="E252" s="52"/>
    </row>
    <row r="253" customFormat="false" ht="15" hidden="false" customHeight="true" outlineLevel="0" collapsed="false">
      <c r="A253" s="52"/>
      <c r="B253" s="52"/>
      <c r="C253" s="51"/>
      <c r="D253" s="52"/>
      <c r="E253" s="52"/>
    </row>
    <row r="254" customFormat="false" ht="15" hidden="false" customHeight="true" outlineLevel="0" collapsed="false">
      <c r="A254" s="52"/>
      <c r="B254" s="52"/>
      <c r="C254" s="51"/>
      <c r="D254" s="52"/>
      <c r="E254" s="52"/>
    </row>
    <row r="255" customFormat="false" ht="15" hidden="false" customHeight="true" outlineLevel="0" collapsed="false">
      <c r="A255" s="52"/>
      <c r="B255" s="52"/>
      <c r="C255" s="51"/>
      <c r="D255" s="52"/>
      <c r="E255" s="52"/>
    </row>
    <row r="256" customFormat="false" ht="15" hidden="false" customHeight="true" outlineLevel="0" collapsed="false">
      <c r="A256" s="52"/>
      <c r="B256" s="52"/>
      <c r="C256" s="51"/>
      <c r="D256" s="52"/>
      <c r="E256" s="52"/>
    </row>
    <row r="257" customFormat="false" ht="15" hidden="false" customHeight="true" outlineLevel="0" collapsed="false">
      <c r="A257" s="52"/>
      <c r="B257" s="52"/>
      <c r="C257" s="51"/>
      <c r="D257" s="52"/>
      <c r="E257" s="52"/>
    </row>
    <row r="258" customFormat="false" ht="15" hidden="false" customHeight="true" outlineLevel="0" collapsed="false">
      <c r="A258" s="52"/>
      <c r="B258" s="52"/>
      <c r="C258" s="51"/>
      <c r="D258" s="52"/>
      <c r="E258" s="52"/>
    </row>
    <row r="259" customFormat="false" ht="15" hidden="false" customHeight="true" outlineLevel="0" collapsed="false">
      <c r="A259" s="52"/>
      <c r="B259" s="52"/>
      <c r="C259" s="51"/>
      <c r="D259" s="52"/>
      <c r="E259" s="52"/>
    </row>
    <row r="260" customFormat="false" ht="15" hidden="false" customHeight="true" outlineLevel="0" collapsed="false">
      <c r="A260" s="52"/>
      <c r="B260" s="52"/>
      <c r="C260" s="51"/>
      <c r="D260" s="52"/>
      <c r="E260" s="52"/>
    </row>
    <row r="261" customFormat="false" ht="15" hidden="false" customHeight="true" outlineLevel="0" collapsed="false">
      <c r="A261" s="52"/>
      <c r="B261" s="52"/>
      <c r="C261" s="51"/>
      <c r="D261" s="52"/>
      <c r="E261" s="52"/>
    </row>
    <row r="262" customFormat="false" ht="15" hidden="false" customHeight="true" outlineLevel="0" collapsed="false">
      <c r="A262" s="52"/>
      <c r="B262" s="52"/>
      <c r="C262" s="51"/>
      <c r="D262" s="52"/>
      <c r="E262" s="52"/>
    </row>
    <row r="263" customFormat="false" ht="15" hidden="false" customHeight="true" outlineLevel="0" collapsed="false">
      <c r="A263" s="52"/>
      <c r="B263" s="52"/>
      <c r="C263" s="51"/>
      <c r="D263" s="52"/>
      <c r="E263" s="52"/>
    </row>
    <row r="264" customFormat="false" ht="15" hidden="false" customHeight="true" outlineLevel="0" collapsed="false">
      <c r="A264" s="52"/>
      <c r="B264" s="52"/>
      <c r="C264" s="51"/>
      <c r="D264" s="52"/>
      <c r="E264" s="52"/>
    </row>
    <row r="265" customFormat="false" ht="15" hidden="false" customHeight="true" outlineLevel="0" collapsed="false">
      <c r="A265" s="52"/>
      <c r="B265" s="52"/>
      <c r="C265" s="51"/>
      <c r="D265" s="52"/>
      <c r="E265" s="52"/>
    </row>
    <row r="266" customFormat="false" ht="15" hidden="false" customHeight="true" outlineLevel="0" collapsed="false">
      <c r="A266" s="52"/>
      <c r="B266" s="52"/>
      <c r="C266" s="51"/>
      <c r="D266" s="52"/>
      <c r="E266" s="52"/>
    </row>
    <row r="267" customFormat="false" ht="15" hidden="false" customHeight="true" outlineLevel="0" collapsed="false">
      <c r="A267" s="52"/>
      <c r="B267" s="52"/>
      <c r="C267" s="51"/>
      <c r="D267" s="52"/>
      <c r="E267" s="52"/>
    </row>
    <row r="268" customFormat="false" ht="15" hidden="false" customHeight="true" outlineLevel="0" collapsed="false">
      <c r="A268" s="52"/>
      <c r="B268" s="52"/>
      <c r="C268" s="51"/>
      <c r="D268" s="52"/>
      <c r="E268" s="52"/>
    </row>
    <row r="269" customFormat="false" ht="15" hidden="false" customHeight="true" outlineLevel="0" collapsed="false">
      <c r="A269" s="52"/>
      <c r="B269" s="52"/>
      <c r="C269" s="51"/>
      <c r="D269" s="52"/>
      <c r="E269" s="52"/>
    </row>
    <row r="270" customFormat="false" ht="15" hidden="false" customHeight="true" outlineLevel="0" collapsed="false">
      <c r="A270" s="52"/>
      <c r="B270" s="52"/>
      <c r="C270" s="51"/>
      <c r="D270" s="52"/>
      <c r="E270" s="52"/>
    </row>
    <row r="271" customFormat="false" ht="15" hidden="false" customHeight="true" outlineLevel="0" collapsed="false">
      <c r="A271" s="52"/>
      <c r="B271" s="52"/>
      <c r="C271" s="51"/>
      <c r="D271" s="52"/>
      <c r="E271" s="52"/>
    </row>
    <row r="272" customFormat="false" ht="15" hidden="false" customHeight="true" outlineLevel="0" collapsed="false">
      <c r="A272" s="52"/>
      <c r="B272" s="52"/>
      <c r="C272" s="51"/>
      <c r="D272" s="52"/>
      <c r="E272" s="52"/>
    </row>
    <row r="273" customFormat="false" ht="15" hidden="false" customHeight="true" outlineLevel="0" collapsed="false">
      <c r="A273" s="52"/>
      <c r="B273" s="52"/>
      <c r="C273" s="51"/>
      <c r="D273" s="52"/>
      <c r="E273" s="52"/>
    </row>
    <row r="274" customFormat="false" ht="15" hidden="false" customHeight="true" outlineLevel="0" collapsed="false">
      <c r="A274" s="52"/>
      <c r="B274" s="52"/>
      <c r="C274" s="51"/>
      <c r="D274" s="52"/>
      <c r="E274" s="52"/>
    </row>
    <row r="275" customFormat="false" ht="15" hidden="false" customHeight="true" outlineLevel="0" collapsed="false">
      <c r="A275" s="52"/>
      <c r="B275" s="52"/>
      <c r="C275" s="51"/>
      <c r="D275" s="52"/>
      <c r="E275" s="52"/>
    </row>
    <row r="276" customFormat="false" ht="15" hidden="false" customHeight="true" outlineLevel="0" collapsed="false">
      <c r="A276" s="52"/>
      <c r="B276" s="52"/>
      <c r="C276" s="51"/>
      <c r="D276" s="52"/>
      <c r="E276" s="52"/>
    </row>
    <row r="277" customFormat="false" ht="15" hidden="false" customHeight="true" outlineLevel="0" collapsed="false">
      <c r="A277" s="52"/>
      <c r="B277" s="52"/>
      <c r="C277" s="51"/>
      <c r="D277" s="52"/>
      <c r="E277" s="52"/>
    </row>
    <row r="278" customFormat="false" ht="15" hidden="false" customHeight="true" outlineLevel="0" collapsed="false">
      <c r="A278" s="52"/>
      <c r="B278" s="52"/>
      <c r="C278" s="51"/>
      <c r="D278" s="52"/>
      <c r="E278" s="52"/>
    </row>
    <row r="279" customFormat="false" ht="15" hidden="false" customHeight="true" outlineLevel="0" collapsed="false">
      <c r="A279" s="52"/>
      <c r="B279" s="52"/>
      <c r="C279" s="51"/>
      <c r="D279" s="52"/>
      <c r="E279" s="52"/>
    </row>
    <row r="280" customFormat="false" ht="15" hidden="false" customHeight="true" outlineLevel="0" collapsed="false">
      <c r="A280" s="52"/>
      <c r="B280" s="52"/>
      <c r="C280" s="51"/>
      <c r="D280" s="52"/>
      <c r="E280" s="52"/>
    </row>
    <row r="281" customFormat="false" ht="15" hidden="false" customHeight="true" outlineLevel="0" collapsed="false">
      <c r="A281" s="52"/>
      <c r="B281" s="52"/>
      <c r="C281" s="51"/>
      <c r="D281" s="52"/>
      <c r="E281" s="52"/>
    </row>
    <row r="282" customFormat="false" ht="15" hidden="false" customHeight="true" outlineLevel="0" collapsed="false">
      <c r="A282" s="52"/>
      <c r="B282" s="52"/>
      <c r="C282" s="51"/>
      <c r="D282" s="52"/>
      <c r="E282" s="52"/>
    </row>
    <row r="283" customFormat="false" ht="15" hidden="false" customHeight="true" outlineLevel="0" collapsed="false">
      <c r="A283" s="52"/>
      <c r="B283" s="52"/>
      <c r="C283" s="51"/>
      <c r="D283" s="52"/>
      <c r="E283" s="52"/>
    </row>
    <row r="284" customFormat="false" ht="15" hidden="false" customHeight="true" outlineLevel="0" collapsed="false">
      <c r="A284" s="52"/>
      <c r="B284" s="52"/>
      <c r="C284" s="51"/>
      <c r="D284" s="52"/>
      <c r="E284" s="52"/>
    </row>
    <row r="285" customFormat="false" ht="15" hidden="false" customHeight="true" outlineLevel="0" collapsed="false">
      <c r="A285" s="52"/>
      <c r="B285" s="52"/>
      <c r="C285" s="51"/>
      <c r="D285" s="52"/>
      <c r="E285" s="52"/>
    </row>
    <row r="286" customFormat="false" ht="15" hidden="false" customHeight="true" outlineLevel="0" collapsed="false">
      <c r="A286" s="52"/>
      <c r="B286" s="52"/>
      <c r="C286" s="51"/>
      <c r="D286" s="52"/>
      <c r="E286" s="52"/>
    </row>
    <row r="287" customFormat="false" ht="15" hidden="false" customHeight="true" outlineLevel="0" collapsed="false">
      <c r="A287" s="52"/>
      <c r="B287" s="52"/>
      <c r="C287" s="51"/>
      <c r="D287" s="52"/>
      <c r="E287" s="52"/>
    </row>
    <row r="288" customFormat="false" ht="15" hidden="false" customHeight="true" outlineLevel="0" collapsed="false">
      <c r="A288" s="52"/>
      <c r="B288" s="52"/>
      <c r="C288" s="51"/>
      <c r="D288" s="52"/>
      <c r="E288" s="52"/>
    </row>
    <row r="289" customFormat="false" ht="15" hidden="false" customHeight="true" outlineLevel="0" collapsed="false">
      <c r="A289" s="52"/>
      <c r="B289" s="52"/>
      <c r="C289" s="51"/>
      <c r="D289" s="52"/>
      <c r="E289" s="52"/>
    </row>
    <row r="290" customFormat="false" ht="15" hidden="false" customHeight="true" outlineLevel="0" collapsed="false">
      <c r="A290" s="52"/>
      <c r="B290" s="52"/>
      <c r="C290" s="51"/>
      <c r="D290" s="52"/>
      <c r="E290" s="52"/>
    </row>
    <row r="291" customFormat="false" ht="15" hidden="false" customHeight="true" outlineLevel="0" collapsed="false">
      <c r="A291" s="52"/>
      <c r="B291" s="52"/>
      <c r="C291" s="51"/>
      <c r="D291" s="52"/>
      <c r="E291" s="52"/>
    </row>
    <row r="292" customFormat="false" ht="15" hidden="false" customHeight="true" outlineLevel="0" collapsed="false">
      <c r="A292" s="52"/>
      <c r="B292" s="52"/>
      <c r="C292" s="51"/>
      <c r="D292" s="52"/>
      <c r="E292" s="52"/>
    </row>
    <row r="293" customFormat="false" ht="15" hidden="false" customHeight="true" outlineLevel="0" collapsed="false">
      <c r="A293" s="52"/>
      <c r="B293" s="52"/>
      <c r="C293" s="51"/>
      <c r="D293" s="52"/>
      <c r="E293" s="52"/>
    </row>
    <row r="294" customFormat="false" ht="15" hidden="false" customHeight="true" outlineLevel="0" collapsed="false">
      <c r="A294" s="52"/>
      <c r="B294" s="52"/>
      <c r="C294" s="51"/>
      <c r="D294" s="52"/>
      <c r="E294" s="52"/>
    </row>
    <row r="295" customFormat="false" ht="15" hidden="false" customHeight="true" outlineLevel="0" collapsed="false">
      <c r="A295" s="52"/>
      <c r="B295" s="52"/>
      <c r="C295" s="51"/>
      <c r="D295" s="52"/>
      <c r="E295" s="52"/>
    </row>
    <row r="296" customFormat="false" ht="15" hidden="false" customHeight="true" outlineLevel="0" collapsed="false">
      <c r="A296" s="52"/>
      <c r="B296" s="52"/>
      <c r="C296" s="51"/>
      <c r="D296" s="52"/>
      <c r="E296" s="52"/>
    </row>
    <row r="297" customFormat="false" ht="15" hidden="false" customHeight="true" outlineLevel="0" collapsed="false">
      <c r="A297" s="52"/>
      <c r="B297" s="52"/>
      <c r="C297" s="51"/>
      <c r="D297" s="52"/>
      <c r="E297" s="52"/>
    </row>
    <row r="298" customFormat="false" ht="15" hidden="false" customHeight="true" outlineLevel="0" collapsed="false">
      <c r="A298" s="52"/>
      <c r="B298" s="52"/>
      <c r="C298" s="51"/>
      <c r="D298" s="52"/>
      <c r="E298" s="52"/>
    </row>
    <row r="299" customFormat="false" ht="15" hidden="false" customHeight="true" outlineLevel="0" collapsed="false">
      <c r="A299" s="52"/>
      <c r="B299" s="52"/>
      <c r="C299" s="51"/>
      <c r="D299" s="52"/>
      <c r="E299" s="52"/>
    </row>
    <row r="300" customFormat="false" ht="15" hidden="false" customHeight="true" outlineLevel="0" collapsed="false">
      <c r="A300" s="52"/>
      <c r="B300" s="52"/>
      <c r="C300" s="51"/>
      <c r="D300" s="52"/>
      <c r="E300" s="52"/>
    </row>
    <row r="301" customFormat="false" ht="15" hidden="false" customHeight="true" outlineLevel="0" collapsed="false">
      <c r="A301" s="52"/>
      <c r="B301" s="52"/>
      <c r="C301" s="51"/>
      <c r="D301" s="52"/>
      <c r="E301" s="52"/>
    </row>
  </sheetData>
  <autoFilter ref="A1:E301"/>
  <conditionalFormatting sqref="A2:E301">
    <cfRule type="expression" priority="2" aboveAverage="0" equalAverage="0" bottom="0" percent="0" rank="0" text="" dxfId="1">
      <formula>$D2="FOLGA"</formula>
    </cfRule>
    <cfRule type="expression" priority="3" aboveAverage="0" equalAverage="0" bottom="0" percent="0" rank="0" text="" dxfId="14">
      <formula>$D2="TRABALHA"</formula>
    </cfRule>
    <cfRule type="expression" priority="4" aboveAverage="0" equalAverage="0" bottom="0" percent="0" rank="0" text="" dxfId="15">
      <formula>AND($A2&lt;&gt;"",$D2="")</formula>
    </cfRule>
  </conditionalFormatting>
  <dataValidations count="3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E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6" width="32"/>
    <col collapsed="false" customWidth="true" hidden="false" outlineLevel="0" max="2" min="2" style="46" width="24"/>
    <col collapsed="false" customWidth="true" hidden="false" outlineLevel="0" max="4" min="3" style="46" width="18"/>
    <col collapsed="false" customWidth="true" hidden="false" outlineLevel="0" max="5" min="5" style="46" width="44.99"/>
  </cols>
  <sheetData>
    <row r="1" customFormat="false" ht="31.5" hidden="false" customHeight="true" outlineLevel="0" collapsed="false">
      <c r="A1" s="47" t="s">
        <v>11</v>
      </c>
      <c r="B1" s="47" t="s">
        <v>12</v>
      </c>
      <c r="C1" s="47" t="s">
        <v>22</v>
      </c>
      <c r="D1" s="47" t="s">
        <v>73</v>
      </c>
      <c r="E1" s="47" t="s">
        <v>14</v>
      </c>
    </row>
    <row r="2" customFormat="false" ht="15" hidden="false" customHeight="true" outlineLevel="0" collapsed="false">
      <c r="A2" s="52"/>
      <c r="B2" s="52"/>
      <c r="C2" s="51"/>
      <c r="D2" s="52"/>
      <c r="E2" s="52"/>
    </row>
    <row r="3" customFormat="false" ht="15" hidden="false" customHeight="true" outlineLevel="0" collapsed="false">
      <c r="A3" s="52"/>
      <c r="B3" s="52"/>
      <c r="C3" s="51"/>
      <c r="D3" s="52"/>
      <c r="E3" s="52"/>
    </row>
    <row r="4" customFormat="false" ht="15" hidden="false" customHeight="true" outlineLevel="0" collapsed="false">
      <c r="A4" s="52"/>
      <c r="B4" s="52"/>
      <c r="C4" s="51"/>
      <c r="D4" s="52"/>
      <c r="E4" s="52"/>
    </row>
    <row r="5" customFormat="false" ht="15" hidden="false" customHeight="true" outlineLevel="0" collapsed="false">
      <c r="A5" s="52"/>
      <c r="B5" s="52"/>
      <c r="C5" s="51"/>
      <c r="D5" s="52"/>
      <c r="E5" s="52"/>
    </row>
    <row r="6" customFormat="false" ht="15" hidden="false" customHeight="true" outlineLevel="0" collapsed="false">
      <c r="A6" s="52"/>
      <c r="B6" s="52"/>
      <c r="C6" s="51"/>
      <c r="D6" s="52"/>
      <c r="E6" s="52"/>
    </row>
    <row r="7" customFormat="false" ht="15" hidden="false" customHeight="true" outlineLevel="0" collapsed="false">
      <c r="A7" s="52"/>
      <c r="B7" s="52"/>
      <c r="C7" s="51"/>
      <c r="D7" s="52"/>
      <c r="E7" s="52"/>
    </row>
    <row r="8" customFormat="false" ht="15" hidden="false" customHeight="true" outlineLevel="0" collapsed="false">
      <c r="A8" s="52"/>
      <c r="B8" s="52"/>
      <c r="C8" s="51"/>
      <c r="D8" s="52"/>
      <c r="E8" s="52"/>
    </row>
    <row r="9" customFormat="false" ht="15" hidden="false" customHeight="true" outlineLevel="0" collapsed="false">
      <c r="A9" s="52"/>
      <c r="B9" s="52"/>
      <c r="C9" s="51"/>
      <c r="D9" s="52"/>
      <c r="E9" s="52"/>
    </row>
    <row r="10" customFormat="false" ht="15" hidden="false" customHeight="true" outlineLevel="0" collapsed="false">
      <c r="A10" s="52"/>
      <c r="B10" s="52"/>
      <c r="C10" s="51"/>
      <c r="D10" s="52"/>
      <c r="E10" s="52"/>
    </row>
    <row r="11" customFormat="false" ht="15" hidden="false" customHeight="true" outlineLevel="0" collapsed="false">
      <c r="A11" s="52"/>
      <c r="B11" s="52"/>
      <c r="C11" s="51"/>
      <c r="D11" s="52"/>
      <c r="E11" s="52"/>
    </row>
    <row r="12" customFormat="false" ht="15" hidden="false" customHeight="true" outlineLevel="0" collapsed="false">
      <c r="A12" s="52"/>
      <c r="B12" s="52"/>
      <c r="C12" s="51"/>
      <c r="D12" s="52"/>
      <c r="E12" s="52"/>
    </row>
    <row r="13" customFormat="false" ht="15" hidden="false" customHeight="true" outlineLevel="0" collapsed="false">
      <c r="A13" s="52"/>
      <c r="B13" s="52"/>
      <c r="C13" s="51"/>
      <c r="D13" s="52"/>
      <c r="E13" s="52"/>
    </row>
    <row r="14" customFormat="false" ht="15" hidden="false" customHeight="true" outlineLevel="0" collapsed="false">
      <c r="A14" s="52"/>
      <c r="B14" s="52"/>
      <c r="C14" s="51"/>
      <c r="D14" s="52"/>
      <c r="E14" s="52"/>
    </row>
    <row r="15" customFormat="false" ht="15" hidden="false" customHeight="true" outlineLevel="0" collapsed="false">
      <c r="A15" s="52"/>
      <c r="B15" s="52"/>
      <c r="C15" s="51"/>
      <c r="D15" s="52"/>
      <c r="E15" s="52"/>
    </row>
    <row r="16" customFormat="false" ht="15" hidden="false" customHeight="true" outlineLevel="0" collapsed="false">
      <c r="A16" s="52"/>
      <c r="B16" s="52"/>
      <c r="C16" s="51"/>
      <c r="D16" s="52"/>
      <c r="E16" s="52"/>
    </row>
    <row r="17" customFormat="false" ht="15" hidden="false" customHeight="true" outlineLevel="0" collapsed="false">
      <c r="A17" s="52"/>
      <c r="B17" s="52"/>
      <c r="C17" s="51"/>
      <c r="D17" s="52"/>
      <c r="E17" s="52"/>
    </row>
    <row r="18" customFormat="false" ht="15" hidden="false" customHeight="true" outlineLevel="0" collapsed="false">
      <c r="A18" s="52"/>
      <c r="B18" s="52"/>
      <c r="C18" s="51"/>
      <c r="D18" s="52"/>
      <c r="E18" s="52"/>
    </row>
    <row r="19" customFormat="false" ht="15" hidden="false" customHeight="true" outlineLevel="0" collapsed="false">
      <c r="A19" s="52"/>
      <c r="B19" s="52"/>
      <c r="C19" s="51"/>
      <c r="D19" s="52"/>
      <c r="E19" s="52"/>
    </row>
    <row r="20" customFormat="false" ht="15" hidden="false" customHeight="true" outlineLevel="0" collapsed="false">
      <c r="A20" s="52"/>
      <c r="B20" s="52"/>
      <c r="C20" s="51"/>
      <c r="D20" s="52"/>
      <c r="E20" s="52"/>
    </row>
    <row r="21" customFormat="false" ht="15" hidden="false" customHeight="true" outlineLevel="0" collapsed="false">
      <c r="A21" s="52"/>
      <c r="B21" s="52"/>
      <c r="C21" s="51"/>
      <c r="D21" s="52"/>
      <c r="E21" s="52"/>
    </row>
    <row r="22" customFormat="false" ht="15" hidden="false" customHeight="true" outlineLevel="0" collapsed="false">
      <c r="A22" s="52"/>
      <c r="B22" s="52"/>
      <c r="C22" s="51"/>
      <c r="D22" s="52"/>
      <c r="E22" s="52"/>
    </row>
    <row r="23" customFormat="false" ht="15" hidden="false" customHeight="true" outlineLevel="0" collapsed="false">
      <c r="A23" s="52"/>
      <c r="B23" s="52"/>
      <c r="C23" s="51"/>
      <c r="D23" s="52"/>
      <c r="E23" s="52"/>
    </row>
    <row r="24" customFormat="false" ht="15" hidden="false" customHeight="true" outlineLevel="0" collapsed="false">
      <c r="A24" s="52"/>
      <c r="B24" s="52"/>
      <c r="C24" s="51"/>
      <c r="D24" s="52"/>
      <c r="E24" s="52"/>
    </row>
    <row r="25" customFormat="false" ht="15" hidden="false" customHeight="true" outlineLevel="0" collapsed="false">
      <c r="A25" s="52"/>
      <c r="B25" s="52"/>
      <c r="C25" s="51"/>
      <c r="D25" s="52"/>
      <c r="E25" s="52"/>
    </row>
    <row r="26" customFormat="false" ht="15" hidden="false" customHeight="true" outlineLevel="0" collapsed="false">
      <c r="A26" s="52"/>
      <c r="B26" s="52"/>
      <c r="C26" s="51"/>
      <c r="D26" s="52"/>
      <c r="E26" s="52"/>
    </row>
    <row r="27" customFormat="false" ht="15" hidden="false" customHeight="true" outlineLevel="0" collapsed="false">
      <c r="A27" s="52"/>
      <c r="B27" s="52"/>
      <c r="C27" s="51"/>
      <c r="D27" s="52"/>
      <c r="E27" s="52"/>
    </row>
    <row r="28" customFormat="false" ht="15" hidden="false" customHeight="true" outlineLevel="0" collapsed="false">
      <c r="A28" s="52"/>
      <c r="B28" s="52"/>
      <c r="C28" s="51"/>
      <c r="D28" s="52"/>
      <c r="E28" s="52"/>
    </row>
    <row r="29" customFormat="false" ht="15" hidden="false" customHeight="true" outlineLevel="0" collapsed="false">
      <c r="A29" s="52"/>
      <c r="B29" s="52"/>
      <c r="C29" s="51"/>
      <c r="D29" s="52"/>
      <c r="E29" s="52"/>
    </row>
    <row r="30" customFormat="false" ht="15" hidden="false" customHeight="true" outlineLevel="0" collapsed="false">
      <c r="A30" s="52"/>
      <c r="B30" s="52"/>
      <c r="C30" s="51"/>
      <c r="D30" s="52"/>
      <c r="E30" s="52"/>
    </row>
    <row r="31" customFormat="false" ht="15" hidden="false" customHeight="true" outlineLevel="0" collapsed="false">
      <c r="A31" s="52"/>
      <c r="B31" s="52"/>
      <c r="C31" s="51"/>
      <c r="D31" s="52"/>
      <c r="E31" s="52"/>
    </row>
    <row r="32" customFormat="false" ht="15" hidden="false" customHeight="true" outlineLevel="0" collapsed="false">
      <c r="A32" s="52"/>
      <c r="B32" s="52"/>
      <c r="C32" s="51"/>
      <c r="D32" s="52"/>
      <c r="E32" s="52"/>
    </row>
    <row r="33" customFormat="false" ht="15" hidden="false" customHeight="true" outlineLevel="0" collapsed="false">
      <c r="A33" s="52"/>
      <c r="B33" s="52"/>
      <c r="C33" s="51"/>
      <c r="D33" s="52"/>
      <c r="E33" s="52"/>
    </row>
    <row r="34" customFormat="false" ht="15" hidden="false" customHeight="true" outlineLevel="0" collapsed="false">
      <c r="A34" s="52"/>
      <c r="B34" s="52"/>
      <c r="C34" s="51"/>
      <c r="D34" s="52"/>
      <c r="E34" s="52"/>
    </row>
    <row r="35" customFormat="false" ht="15" hidden="false" customHeight="true" outlineLevel="0" collapsed="false">
      <c r="A35" s="52"/>
      <c r="B35" s="52"/>
      <c r="C35" s="51"/>
      <c r="D35" s="52"/>
      <c r="E35" s="52"/>
    </row>
    <row r="36" customFormat="false" ht="15" hidden="false" customHeight="true" outlineLevel="0" collapsed="false">
      <c r="A36" s="52"/>
      <c r="B36" s="52"/>
      <c r="C36" s="51"/>
      <c r="D36" s="52"/>
      <c r="E36" s="52"/>
    </row>
    <row r="37" customFormat="false" ht="15" hidden="false" customHeight="true" outlineLevel="0" collapsed="false">
      <c r="A37" s="52"/>
      <c r="B37" s="52"/>
      <c r="C37" s="51"/>
      <c r="D37" s="52"/>
      <c r="E37" s="52"/>
    </row>
    <row r="38" customFormat="false" ht="15" hidden="false" customHeight="true" outlineLevel="0" collapsed="false">
      <c r="A38" s="52"/>
      <c r="B38" s="52"/>
      <c r="C38" s="51"/>
      <c r="D38" s="52"/>
      <c r="E38" s="52"/>
    </row>
    <row r="39" customFormat="false" ht="15" hidden="false" customHeight="true" outlineLevel="0" collapsed="false">
      <c r="A39" s="52"/>
      <c r="B39" s="52"/>
      <c r="C39" s="51"/>
      <c r="D39" s="52"/>
      <c r="E39" s="52"/>
    </row>
    <row r="40" customFormat="false" ht="15" hidden="false" customHeight="true" outlineLevel="0" collapsed="false">
      <c r="A40" s="52"/>
      <c r="B40" s="52"/>
      <c r="C40" s="51"/>
      <c r="D40" s="52"/>
      <c r="E40" s="52"/>
    </row>
    <row r="41" customFormat="false" ht="15" hidden="false" customHeight="true" outlineLevel="0" collapsed="false">
      <c r="A41" s="52"/>
      <c r="B41" s="52"/>
      <c r="C41" s="51"/>
      <c r="D41" s="52"/>
      <c r="E41" s="52"/>
    </row>
    <row r="42" customFormat="false" ht="15" hidden="false" customHeight="true" outlineLevel="0" collapsed="false">
      <c r="A42" s="52"/>
      <c r="B42" s="52"/>
      <c r="C42" s="51"/>
      <c r="D42" s="52"/>
      <c r="E42" s="52"/>
    </row>
    <row r="43" customFormat="false" ht="15" hidden="false" customHeight="true" outlineLevel="0" collapsed="false">
      <c r="A43" s="52"/>
      <c r="B43" s="52"/>
      <c r="C43" s="51"/>
      <c r="D43" s="52"/>
      <c r="E43" s="52"/>
    </row>
    <row r="44" customFormat="false" ht="15" hidden="false" customHeight="true" outlineLevel="0" collapsed="false">
      <c r="A44" s="52"/>
      <c r="B44" s="52"/>
      <c r="C44" s="51"/>
      <c r="D44" s="52"/>
      <c r="E44" s="52"/>
    </row>
    <row r="45" customFormat="false" ht="15" hidden="false" customHeight="true" outlineLevel="0" collapsed="false">
      <c r="A45" s="52"/>
      <c r="B45" s="52"/>
      <c r="C45" s="51"/>
      <c r="D45" s="52"/>
      <c r="E45" s="52"/>
    </row>
    <row r="46" customFormat="false" ht="15" hidden="false" customHeight="true" outlineLevel="0" collapsed="false">
      <c r="A46" s="52"/>
      <c r="B46" s="52"/>
      <c r="C46" s="51"/>
      <c r="D46" s="52"/>
      <c r="E46" s="52"/>
    </row>
    <row r="47" customFormat="false" ht="15" hidden="false" customHeight="true" outlineLevel="0" collapsed="false">
      <c r="A47" s="52"/>
      <c r="B47" s="52"/>
      <c r="C47" s="51"/>
      <c r="D47" s="52"/>
      <c r="E47" s="52"/>
    </row>
    <row r="48" customFormat="false" ht="15" hidden="false" customHeight="true" outlineLevel="0" collapsed="false">
      <c r="A48" s="52"/>
      <c r="B48" s="52"/>
      <c r="C48" s="51"/>
      <c r="D48" s="52"/>
      <c r="E48" s="52"/>
    </row>
    <row r="49" customFormat="false" ht="15" hidden="false" customHeight="true" outlineLevel="0" collapsed="false">
      <c r="A49" s="52"/>
      <c r="B49" s="52"/>
      <c r="C49" s="51"/>
      <c r="D49" s="52"/>
      <c r="E49" s="52"/>
    </row>
    <row r="50" customFormat="false" ht="15" hidden="false" customHeight="true" outlineLevel="0" collapsed="false">
      <c r="A50" s="52"/>
      <c r="B50" s="52"/>
      <c r="C50" s="51"/>
      <c r="D50" s="52"/>
      <c r="E50" s="52"/>
    </row>
    <row r="51" customFormat="false" ht="15" hidden="false" customHeight="true" outlineLevel="0" collapsed="false">
      <c r="A51" s="52"/>
      <c r="B51" s="52"/>
      <c r="C51" s="51"/>
      <c r="D51" s="52"/>
      <c r="E51" s="52"/>
    </row>
    <row r="52" customFormat="false" ht="15" hidden="false" customHeight="true" outlineLevel="0" collapsed="false">
      <c r="A52" s="52"/>
      <c r="B52" s="52"/>
      <c r="C52" s="51"/>
      <c r="D52" s="52"/>
      <c r="E52" s="52"/>
    </row>
    <row r="53" customFormat="false" ht="15" hidden="false" customHeight="true" outlineLevel="0" collapsed="false">
      <c r="A53" s="52"/>
      <c r="B53" s="52"/>
      <c r="C53" s="51"/>
      <c r="D53" s="52"/>
      <c r="E53" s="52"/>
    </row>
    <row r="54" customFormat="false" ht="15" hidden="false" customHeight="true" outlineLevel="0" collapsed="false">
      <c r="A54" s="52"/>
      <c r="B54" s="52"/>
      <c r="C54" s="51"/>
      <c r="D54" s="52"/>
      <c r="E54" s="52"/>
    </row>
    <row r="55" customFormat="false" ht="15" hidden="false" customHeight="true" outlineLevel="0" collapsed="false">
      <c r="A55" s="52"/>
      <c r="B55" s="52"/>
      <c r="C55" s="51"/>
      <c r="D55" s="52"/>
      <c r="E55" s="52"/>
    </row>
    <row r="56" customFormat="false" ht="15" hidden="false" customHeight="true" outlineLevel="0" collapsed="false">
      <c r="A56" s="52"/>
      <c r="B56" s="52"/>
      <c r="C56" s="51"/>
      <c r="D56" s="52"/>
      <c r="E56" s="52"/>
    </row>
    <row r="57" customFormat="false" ht="15" hidden="false" customHeight="true" outlineLevel="0" collapsed="false">
      <c r="A57" s="52"/>
      <c r="B57" s="52"/>
      <c r="C57" s="51"/>
      <c r="D57" s="52"/>
      <c r="E57" s="52"/>
    </row>
    <row r="58" customFormat="false" ht="15" hidden="false" customHeight="true" outlineLevel="0" collapsed="false">
      <c r="A58" s="52"/>
      <c r="B58" s="52"/>
      <c r="C58" s="51"/>
      <c r="D58" s="52"/>
      <c r="E58" s="52"/>
    </row>
    <row r="59" customFormat="false" ht="15" hidden="false" customHeight="true" outlineLevel="0" collapsed="false">
      <c r="A59" s="52"/>
      <c r="B59" s="52"/>
      <c r="C59" s="51"/>
      <c r="D59" s="52"/>
      <c r="E59" s="52"/>
    </row>
    <row r="60" customFormat="false" ht="15" hidden="false" customHeight="true" outlineLevel="0" collapsed="false">
      <c r="A60" s="52"/>
      <c r="B60" s="52"/>
      <c r="C60" s="51"/>
      <c r="D60" s="52"/>
      <c r="E60" s="52"/>
    </row>
    <row r="61" customFormat="false" ht="15" hidden="false" customHeight="true" outlineLevel="0" collapsed="false">
      <c r="A61" s="52"/>
      <c r="B61" s="52"/>
      <c r="C61" s="51"/>
      <c r="D61" s="52"/>
      <c r="E61" s="52"/>
    </row>
    <row r="62" customFormat="false" ht="15" hidden="false" customHeight="true" outlineLevel="0" collapsed="false">
      <c r="A62" s="52"/>
      <c r="B62" s="52"/>
      <c r="C62" s="51"/>
      <c r="D62" s="52"/>
      <c r="E62" s="52"/>
    </row>
    <row r="63" customFormat="false" ht="15" hidden="false" customHeight="true" outlineLevel="0" collapsed="false">
      <c r="A63" s="52"/>
      <c r="B63" s="52"/>
      <c r="C63" s="51"/>
      <c r="D63" s="52"/>
      <c r="E63" s="52"/>
    </row>
    <row r="64" customFormat="false" ht="15" hidden="false" customHeight="true" outlineLevel="0" collapsed="false">
      <c r="A64" s="52"/>
      <c r="B64" s="52"/>
      <c r="C64" s="51"/>
      <c r="D64" s="52"/>
      <c r="E64" s="52"/>
    </row>
    <row r="65" customFormat="false" ht="15" hidden="false" customHeight="true" outlineLevel="0" collapsed="false">
      <c r="A65" s="52"/>
      <c r="B65" s="52"/>
      <c r="C65" s="51"/>
      <c r="D65" s="52"/>
      <c r="E65" s="52"/>
    </row>
    <row r="66" customFormat="false" ht="15" hidden="false" customHeight="true" outlineLevel="0" collapsed="false">
      <c r="A66" s="52"/>
      <c r="B66" s="52"/>
      <c r="C66" s="51"/>
      <c r="D66" s="52"/>
      <c r="E66" s="52"/>
    </row>
    <row r="67" customFormat="false" ht="15" hidden="false" customHeight="true" outlineLevel="0" collapsed="false">
      <c r="A67" s="52"/>
      <c r="B67" s="52"/>
      <c r="C67" s="51"/>
      <c r="D67" s="52"/>
      <c r="E67" s="52"/>
    </row>
    <row r="68" customFormat="false" ht="15" hidden="false" customHeight="true" outlineLevel="0" collapsed="false">
      <c r="A68" s="52"/>
      <c r="B68" s="52"/>
      <c r="C68" s="51"/>
      <c r="D68" s="52"/>
      <c r="E68" s="52"/>
    </row>
    <row r="69" customFormat="false" ht="15" hidden="false" customHeight="true" outlineLevel="0" collapsed="false">
      <c r="A69" s="52"/>
      <c r="B69" s="52"/>
      <c r="C69" s="51"/>
      <c r="D69" s="52"/>
      <c r="E69" s="52"/>
    </row>
    <row r="70" customFormat="false" ht="15" hidden="false" customHeight="true" outlineLevel="0" collapsed="false">
      <c r="A70" s="52"/>
      <c r="B70" s="52"/>
      <c r="C70" s="51"/>
      <c r="D70" s="52"/>
      <c r="E70" s="52"/>
    </row>
    <row r="71" customFormat="false" ht="15" hidden="false" customHeight="true" outlineLevel="0" collapsed="false">
      <c r="A71" s="52"/>
      <c r="B71" s="52"/>
      <c r="C71" s="51"/>
      <c r="D71" s="52"/>
      <c r="E71" s="52"/>
    </row>
    <row r="72" customFormat="false" ht="15" hidden="false" customHeight="true" outlineLevel="0" collapsed="false">
      <c r="A72" s="52"/>
      <c r="B72" s="52"/>
      <c r="C72" s="51"/>
      <c r="D72" s="52"/>
      <c r="E72" s="52"/>
    </row>
    <row r="73" customFormat="false" ht="15" hidden="false" customHeight="true" outlineLevel="0" collapsed="false">
      <c r="A73" s="52"/>
      <c r="B73" s="52"/>
      <c r="C73" s="51"/>
      <c r="D73" s="52"/>
      <c r="E73" s="52"/>
    </row>
    <row r="74" customFormat="false" ht="15" hidden="false" customHeight="true" outlineLevel="0" collapsed="false">
      <c r="A74" s="52"/>
      <c r="B74" s="52"/>
      <c r="C74" s="51"/>
      <c r="D74" s="52"/>
      <c r="E74" s="52"/>
    </row>
    <row r="75" customFormat="false" ht="15" hidden="false" customHeight="true" outlineLevel="0" collapsed="false">
      <c r="A75" s="52"/>
      <c r="B75" s="52"/>
      <c r="C75" s="51"/>
      <c r="D75" s="52"/>
      <c r="E75" s="52"/>
    </row>
    <row r="76" customFormat="false" ht="15" hidden="false" customHeight="true" outlineLevel="0" collapsed="false">
      <c r="A76" s="52"/>
      <c r="B76" s="52"/>
      <c r="C76" s="51"/>
      <c r="D76" s="52"/>
      <c r="E76" s="52"/>
    </row>
    <row r="77" customFormat="false" ht="15" hidden="false" customHeight="true" outlineLevel="0" collapsed="false">
      <c r="A77" s="52"/>
      <c r="B77" s="52"/>
      <c r="C77" s="51"/>
      <c r="D77" s="52"/>
      <c r="E77" s="52"/>
    </row>
    <row r="78" customFormat="false" ht="15" hidden="false" customHeight="true" outlineLevel="0" collapsed="false">
      <c r="A78" s="52"/>
      <c r="B78" s="52"/>
      <c r="C78" s="51"/>
      <c r="D78" s="52"/>
      <c r="E78" s="52"/>
    </row>
    <row r="79" customFormat="false" ht="15" hidden="false" customHeight="true" outlineLevel="0" collapsed="false">
      <c r="A79" s="52"/>
      <c r="B79" s="52"/>
      <c r="C79" s="51"/>
      <c r="D79" s="52"/>
      <c r="E79" s="52"/>
    </row>
    <row r="80" customFormat="false" ht="15" hidden="false" customHeight="true" outlineLevel="0" collapsed="false">
      <c r="A80" s="52"/>
      <c r="B80" s="52"/>
      <c r="C80" s="51"/>
      <c r="D80" s="52"/>
      <c r="E80" s="52"/>
    </row>
    <row r="81" customFormat="false" ht="15" hidden="false" customHeight="true" outlineLevel="0" collapsed="false">
      <c r="A81" s="52"/>
      <c r="B81" s="52"/>
      <c r="C81" s="51"/>
      <c r="D81" s="52"/>
      <c r="E81" s="52"/>
    </row>
    <row r="82" customFormat="false" ht="15" hidden="false" customHeight="true" outlineLevel="0" collapsed="false">
      <c r="A82" s="52"/>
      <c r="B82" s="52"/>
      <c r="C82" s="51"/>
      <c r="D82" s="52"/>
      <c r="E82" s="52"/>
    </row>
    <row r="83" customFormat="false" ht="15" hidden="false" customHeight="true" outlineLevel="0" collapsed="false">
      <c r="A83" s="52"/>
      <c r="B83" s="52"/>
      <c r="C83" s="51"/>
      <c r="D83" s="52"/>
      <c r="E83" s="52"/>
    </row>
    <row r="84" customFormat="false" ht="15" hidden="false" customHeight="true" outlineLevel="0" collapsed="false">
      <c r="A84" s="52"/>
      <c r="B84" s="52"/>
      <c r="C84" s="51"/>
      <c r="D84" s="52"/>
      <c r="E84" s="52"/>
    </row>
    <row r="85" customFormat="false" ht="15" hidden="false" customHeight="true" outlineLevel="0" collapsed="false">
      <c r="A85" s="52"/>
      <c r="B85" s="52"/>
      <c r="C85" s="51"/>
      <c r="D85" s="52"/>
      <c r="E85" s="52"/>
    </row>
    <row r="86" customFormat="false" ht="15" hidden="false" customHeight="true" outlineLevel="0" collapsed="false">
      <c r="A86" s="52"/>
      <c r="B86" s="52"/>
      <c r="C86" s="51"/>
      <c r="D86" s="52"/>
      <c r="E86" s="52"/>
    </row>
    <row r="87" customFormat="false" ht="15" hidden="false" customHeight="true" outlineLevel="0" collapsed="false">
      <c r="A87" s="52"/>
      <c r="B87" s="52"/>
      <c r="C87" s="51"/>
      <c r="D87" s="52"/>
      <c r="E87" s="52"/>
    </row>
    <row r="88" customFormat="false" ht="15" hidden="false" customHeight="true" outlineLevel="0" collapsed="false">
      <c r="A88" s="52"/>
      <c r="B88" s="52"/>
      <c r="C88" s="51"/>
      <c r="D88" s="52"/>
      <c r="E88" s="52"/>
    </row>
    <row r="89" customFormat="false" ht="15" hidden="false" customHeight="true" outlineLevel="0" collapsed="false">
      <c r="A89" s="52"/>
      <c r="B89" s="52"/>
      <c r="C89" s="51"/>
      <c r="D89" s="52"/>
      <c r="E89" s="52"/>
    </row>
    <row r="90" customFormat="false" ht="15" hidden="false" customHeight="true" outlineLevel="0" collapsed="false">
      <c r="A90" s="52"/>
      <c r="B90" s="52"/>
      <c r="C90" s="51"/>
      <c r="D90" s="52"/>
      <c r="E90" s="52"/>
    </row>
    <row r="91" customFormat="false" ht="15" hidden="false" customHeight="true" outlineLevel="0" collapsed="false">
      <c r="A91" s="52"/>
      <c r="B91" s="52"/>
      <c r="C91" s="51"/>
      <c r="D91" s="52"/>
      <c r="E91" s="52"/>
    </row>
    <row r="92" customFormat="false" ht="15" hidden="false" customHeight="true" outlineLevel="0" collapsed="false">
      <c r="A92" s="52"/>
      <c r="B92" s="52"/>
      <c r="C92" s="51"/>
      <c r="D92" s="52"/>
      <c r="E92" s="52"/>
    </row>
    <row r="93" customFormat="false" ht="15" hidden="false" customHeight="true" outlineLevel="0" collapsed="false">
      <c r="A93" s="52"/>
      <c r="B93" s="52"/>
      <c r="C93" s="51"/>
      <c r="D93" s="52"/>
      <c r="E93" s="52"/>
    </row>
    <row r="94" customFormat="false" ht="15" hidden="false" customHeight="true" outlineLevel="0" collapsed="false">
      <c r="A94" s="52"/>
      <c r="B94" s="52"/>
      <c r="C94" s="51"/>
      <c r="D94" s="52"/>
      <c r="E94" s="52"/>
    </row>
    <row r="95" customFormat="false" ht="15" hidden="false" customHeight="true" outlineLevel="0" collapsed="false">
      <c r="A95" s="52"/>
      <c r="B95" s="52"/>
      <c r="C95" s="51"/>
      <c r="D95" s="52"/>
      <c r="E95" s="52"/>
    </row>
    <row r="96" customFormat="false" ht="15" hidden="false" customHeight="true" outlineLevel="0" collapsed="false">
      <c r="A96" s="52"/>
      <c r="B96" s="52"/>
      <c r="C96" s="51"/>
      <c r="D96" s="52"/>
      <c r="E96" s="52"/>
    </row>
    <row r="97" customFormat="false" ht="15" hidden="false" customHeight="true" outlineLevel="0" collapsed="false">
      <c r="A97" s="52"/>
      <c r="B97" s="52"/>
      <c r="C97" s="51"/>
      <c r="D97" s="52"/>
      <c r="E97" s="52"/>
    </row>
    <row r="98" customFormat="false" ht="15" hidden="false" customHeight="true" outlineLevel="0" collapsed="false">
      <c r="A98" s="52"/>
      <c r="B98" s="52"/>
      <c r="C98" s="51"/>
      <c r="D98" s="52"/>
      <c r="E98" s="52"/>
    </row>
    <row r="99" customFormat="false" ht="15" hidden="false" customHeight="true" outlineLevel="0" collapsed="false">
      <c r="A99" s="52"/>
      <c r="B99" s="52"/>
      <c r="C99" s="51"/>
      <c r="D99" s="52"/>
      <c r="E99" s="52"/>
    </row>
    <row r="100" customFormat="false" ht="15" hidden="false" customHeight="true" outlineLevel="0" collapsed="false">
      <c r="A100" s="52"/>
      <c r="B100" s="52"/>
      <c r="C100" s="51"/>
      <c r="D100" s="52"/>
      <c r="E100" s="52"/>
    </row>
    <row r="101" customFormat="false" ht="15" hidden="false" customHeight="true" outlineLevel="0" collapsed="false">
      <c r="A101" s="52"/>
      <c r="B101" s="52"/>
      <c r="C101" s="51"/>
      <c r="D101" s="52"/>
      <c r="E101" s="52"/>
    </row>
    <row r="102" customFormat="false" ht="15" hidden="false" customHeight="true" outlineLevel="0" collapsed="false">
      <c r="A102" s="52"/>
      <c r="B102" s="52"/>
      <c r="C102" s="51"/>
      <c r="D102" s="52"/>
      <c r="E102" s="52"/>
    </row>
    <row r="103" customFormat="false" ht="15" hidden="false" customHeight="true" outlineLevel="0" collapsed="false">
      <c r="A103" s="52"/>
      <c r="B103" s="52"/>
      <c r="C103" s="51"/>
      <c r="D103" s="52"/>
      <c r="E103" s="52"/>
    </row>
    <row r="104" customFormat="false" ht="15" hidden="false" customHeight="true" outlineLevel="0" collapsed="false">
      <c r="A104" s="52"/>
      <c r="B104" s="52"/>
      <c r="C104" s="51"/>
      <c r="D104" s="52"/>
      <c r="E104" s="52"/>
    </row>
    <row r="105" customFormat="false" ht="15" hidden="false" customHeight="true" outlineLevel="0" collapsed="false">
      <c r="A105" s="52"/>
      <c r="B105" s="52"/>
      <c r="C105" s="51"/>
      <c r="D105" s="52"/>
      <c r="E105" s="52"/>
    </row>
    <row r="106" customFormat="false" ht="15" hidden="false" customHeight="true" outlineLevel="0" collapsed="false">
      <c r="A106" s="52"/>
      <c r="B106" s="52"/>
      <c r="C106" s="51"/>
      <c r="D106" s="52"/>
      <c r="E106" s="52"/>
    </row>
    <row r="107" customFormat="false" ht="15" hidden="false" customHeight="true" outlineLevel="0" collapsed="false">
      <c r="A107" s="52"/>
      <c r="B107" s="52"/>
      <c r="C107" s="51"/>
      <c r="D107" s="52"/>
      <c r="E107" s="52"/>
    </row>
    <row r="108" customFormat="false" ht="15" hidden="false" customHeight="true" outlineLevel="0" collapsed="false">
      <c r="A108" s="52"/>
      <c r="B108" s="52"/>
      <c r="C108" s="51"/>
      <c r="D108" s="52"/>
      <c r="E108" s="52"/>
    </row>
    <row r="109" customFormat="false" ht="15" hidden="false" customHeight="true" outlineLevel="0" collapsed="false">
      <c r="A109" s="52"/>
      <c r="B109" s="52"/>
      <c r="C109" s="51"/>
      <c r="D109" s="52"/>
      <c r="E109" s="52"/>
    </row>
    <row r="110" customFormat="false" ht="15" hidden="false" customHeight="true" outlineLevel="0" collapsed="false">
      <c r="A110" s="52"/>
      <c r="B110" s="52"/>
      <c r="C110" s="51"/>
      <c r="D110" s="52"/>
      <c r="E110" s="52"/>
    </row>
    <row r="111" customFormat="false" ht="15" hidden="false" customHeight="true" outlineLevel="0" collapsed="false">
      <c r="A111" s="52"/>
      <c r="B111" s="52"/>
      <c r="C111" s="51"/>
      <c r="D111" s="52"/>
      <c r="E111" s="52"/>
    </row>
    <row r="112" customFormat="false" ht="15" hidden="false" customHeight="true" outlineLevel="0" collapsed="false">
      <c r="A112" s="52"/>
      <c r="B112" s="52"/>
      <c r="C112" s="51"/>
      <c r="D112" s="52"/>
      <c r="E112" s="52"/>
    </row>
    <row r="113" customFormat="false" ht="15" hidden="false" customHeight="true" outlineLevel="0" collapsed="false">
      <c r="A113" s="52"/>
      <c r="B113" s="52"/>
      <c r="C113" s="51"/>
      <c r="D113" s="52"/>
      <c r="E113" s="52"/>
    </row>
    <row r="114" customFormat="false" ht="15" hidden="false" customHeight="true" outlineLevel="0" collapsed="false">
      <c r="A114" s="52"/>
      <c r="B114" s="52"/>
      <c r="C114" s="51"/>
      <c r="D114" s="52"/>
      <c r="E114" s="52"/>
    </row>
    <row r="115" customFormat="false" ht="15" hidden="false" customHeight="true" outlineLevel="0" collapsed="false">
      <c r="A115" s="52"/>
      <c r="B115" s="52"/>
      <c r="C115" s="51"/>
      <c r="D115" s="52"/>
      <c r="E115" s="52"/>
    </row>
    <row r="116" customFormat="false" ht="15" hidden="false" customHeight="true" outlineLevel="0" collapsed="false">
      <c r="A116" s="52"/>
      <c r="B116" s="52"/>
      <c r="C116" s="51"/>
      <c r="D116" s="52"/>
      <c r="E116" s="52"/>
    </row>
    <row r="117" customFormat="false" ht="15" hidden="false" customHeight="true" outlineLevel="0" collapsed="false">
      <c r="A117" s="52"/>
      <c r="B117" s="52"/>
      <c r="C117" s="51"/>
      <c r="D117" s="52"/>
      <c r="E117" s="52"/>
    </row>
    <row r="118" customFormat="false" ht="15" hidden="false" customHeight="true" outlineLevel="0" collapsed="false">
      <c r="A118" s="52"/>
      <c r="B118" s="52"/>
      <c r="C118" s="51"/>
      <c r="D118" s="52"/>
      <c r="E118" s="52"/>
    </row>
    <row r="119" customFormat="false" ht="15" hidden="false" customHeight="true" outlineLevel="0" collapsed="false">
      <c r="A119" s="52"/>
      <c r="B119" s="52"/>
      <c r="C119" s="51"/>
      <c r="D119" s="52"/>
      <c r="E119" s="52"/>
    </row>
    <row r="120" customFormat="false" ht="15" hidden="false" customHeight="true" outlineLevel="0" collapsed="false">
      <c r="A120" s="52"/>
      <c r="B120" s="52"/>
      <c r="C120" s="51"/>
      <c r="D120" s="52"/>
      <c r="E120" s="52"/>
    </row>
    <row r="121" customFormat="false" ht="15" hidden="false" customHeight="true" outlineLevel="0" collapsed="false">
      <c r="A121" s="52"/>
      <c r="B121" s="52"/>
      <c r="C121" s="51"/>
      <c r="D121" s="52"/>
      <c r="E121" s="52"/>
    </row>
    <row r="122" customFormat="false" ht="15" hidden="false" customHeight="true" outlineLevel="0" collapsed="false">
      <c r="A122" s="52"/>
      <c r="B122" s="52"/>
      <c r="C122" s="51"/>
      <c r="D122" s="52"/>
      <c r="E122" s="52"/>
    </row>
    <row r="123" customFormat="false" ht="15" hidden="false" customHeight="true" outlineLevel="0" collapsed="false">
      <c r="A123" s="52"/>
      <c r="B123" s="52"/>
      <c r="C123" s="51"/>
      <c r="D123" s="52"/>
      <c r="E123" s="52"/>
    </row>
    <row r="124" customFormat="false" ht="15" hidden="false" customHeight="true" outlineLevel="0" collapsed="false">
      <c r="A124" s="52"/>
      <c r="B124" s="52"/>
      <c r="C124" s="51"/>
      <c r="D124" s="52"/>
      <c r="E124" s="52"/>
    </row>
    <row r="125" customFormat="false" ht="15" hidden="false" customHeight="true" outlineLevel="0" collapsed="false">
      <c r="A125" s="52"/>
      <c r="B125" s="52"/>
      <c r="C125" s="51"/>
      <c r="D125" s="52"/>
      <c r="E125" s="52"/>
    </row>
    <row r="126" customFormat="false" ht="15" hidden="false" customHeight="true" outlineLevel="0" collapsed="false">
      <c r="A126" s="52"/>
      <c r="B126" s="52"/>
      <c r="C126" s="51"/>
      <c r="D126" s="52"/>
      <c r="E126" s="52"/>
    </row>
    <row r="127" customFormat="false" ht="15" hidden="false" customHeight="true" outlineLevel="0" collapsed="false">
      <c r="A127" s="52"/>
      <c r="B127" s="52"/>
      <c r="C127" s="51"/>
      <c r="D127" s="52"/>
      <c r="E127" s="52"/>
    </row>
    <row r="128" customFormat="false" ht="15" hidden="false" customHeight="true" outlineLevel="0" collapsed="false">
      <c r="A128" s="52"/>
      <c r="B128" s="52"/>
      <c r="C128" s="51"/>
      <c r="D128" s="52"/>
      <c r="E128" s="52"/>
    </row>
    <row r="129" customFormat="false" ht="15" hidden="false" customHeight="true" outlineLevel="0" collapsed="false">
      <c r="A129" s="52"/>
      <c r="B129" s="52"/>
      <c r="C129" s="51"/>
      <c r="D129" s="52"/>
      <c r="E129" s="52"/>
    </row>
    <row r="130" customFormat="false" ht="15" hidden="false" customHeight="true" outlineLevel="0" collapsed="false">
      <c r="A130" s="52"/>
      <c r="B130" s="52"/>
      <c r="C130" s="51"/>
      <c r="D130" s="52"/>
      <c r="E130" s="52"/>
    </row>
    <row r="131" customFormat="false" ht="15" hidden="false" customHeight="true" outlineLevel="0" collapsed="false">
      <c r="A131" s="52"/>
      <c r="B131" s="52"/>
      <c r="C131" s="51"/>
      <c r="D131" s="52"/>
      <c r="E131" s="52"/>
    </row>
    <row r="132" customFormat="false" ht="15" hidden="false" customHeight="true" outlineLevel="0" collapsed="false">
      <c r="A132" s="52"/>
      <c r="B132" s="52"/>
      <c r="C132" s="51"/>
      <c r="D132" s="52"/>
      <c r="E132" s="52"/>
    </row>
    <row r="133" customFormat="false" ht="15" hidden="false" customHeight="true" outlineLevel="0" collapsed="false">
      <c r="A133" s="52"/>
      <c r="B133" s="52"/>
      <c r="C133" s="51"/>
      <c r="D133" s="52"/>
      <c r="E133" s="52"/>
    </row>
    <row r="134" customFormat="false" ht="15" hidden="false" customHeight="true" outlineLevel="0" collapsed="false">
      <c r="A134" s="52"/>
      <c r="B134" s="52"/>
      <c r="C134" s="51"/>
      <c r="D134" s="52"/>
      <c r="E134" s="52"/>
    </row>
    <row r="135" customFormat="false" ht="15" hidden="false" customHeight="true" outlineLevel="0" collapsed="false">
      <c r="A135" s="52"/>
      <c r="B135" s="52"/>
      <c r="C135" s="51"/>
      <c r="D135" s="52"/>
      <c r="E135" s="52"/>
    </row>
    <row r="136" customFormat="false" ht="15" hidden="false" customHeight="true" outlineLevel="0" collapsed="false">
      <c r="A136" s="52"/>
      <c r="B136" s="52"/>
      <c r="C136" s="51"/>
      <c r="D136" s="52"/>
      <c r="E136" s="52"/>
    </row>
    <row r="137" customFormat="false" ht="15" hidden="false" customHeight="true" outlineLevel="0" collapsed="false">
      <c r="A137" s="52"/>
      <c r="B137" s="52"/>
      <c r="C137" s="51"/>
      <c r="D137" s="52"/>
      <c r="E137" s="52"/>
    </row>
    <row r="138" customFormat="false" ht="15" hidden="false" customHeight="true" outlineLevel="0" collapsed="false">
      <c r="A138" s="52"/>
      <c r="B138" s="52"/>
      <c r="C138" s="51"/>
      <c r="D138" s="52"/>
      <c r="E138" s="52"/>
    </row>
    <row r="139" customFormat="false" ht="15" hidden="false" customHeight="true" outlineLevel="0" collapsed="false">
      <c r="A139" s="52"/>
      <c r="B139" s="52"/>
      <c r="C139" s="51"/>
      <c r="D139" s="52"/>
      <c r="E139" s="52"/>
    </row>
    <row r="140" customFormat="false" ht="15" hidden="false" customHeight="true" outlineLevel="0" collapsed="false">
      <c r="A140" s="52"/>
      <c r="B140" s="52"/>
      <c r="C140" s="51"/>
      <c r="D140" s="52"/>
      <c r="E140" s="52"/>
    </row>
    <row r="141" customFormat="false" ht="15" hidden="false" customHeight="true" outlineLevel="0" collapsed="false">
      <c r="A141" s="52"/>
      <c r="B141" s="52"/>
      <c r="C141" s="51"/>
      <c r="D141" s="52"/>
      <c r="E141" s="52"/>
    </row>
    <row r="142" customFormat="false" ht="15" hidden="false" customHeight="true" outlineLevel="0" collapsed="false">
      <c r="A142" s="52"/>
      <c r="B142" s="52"/>
      <c r="C142" s="51"/>
      <c r="D142" s="52"/>
      <c r="E142" s="52"/>
    </row>
    <row r="143" customFormat="false" ht="15" hidden="false" customHeight="true" outlineLevel="0" collapsed="false">
      <c r="A143" s="52"/>
      <c r="B143" s="52"/>
      <c r="C143" s="51"/>
      <c r="D143" s="52"/>
      <c r="E143" s="52"/>
    </row>
    <row r="144" customFormat="false" ht="15" hidden="false" customHeight="true" outlineLevel="0" collapsed="false">
      <c r="A144" s="52"/>
      <c r="B144" s="52"/>
      <c r="C144" s="51"/>
      <c r="D144" s="52"/>
      <c r="E144" s="52"/>
    </row>
    <row r="145" customFormat="false" ht="15" hidden="false" customHeight="true" outlineLevel="0" collapsed="false">
      <c r="A145" s="52"/>
      <c r="B145" s="52"/>
      <c r="C145" s="51"/>
      <c r="D145" s="52"/>
      <c r="E145" s="52"/>
    </row>
    <row r="146" customFormat="false" ht="15" hidden="false" customHeight="true" outlineLevel="0" collapsed="false">
      <c r="A146" s="52"/>
      <c r="B146" s="52"/>
      <c r="C146" s="51"/>
      <c r="D146" s="52"/>
      <c r="E146" s="52"/>
    </row>
    <row r="147" customFormat="false" ht="15" hidden="false" customHeight="true" outlineLevel="0" collapsed="false">
      <c r="A147" s="52"/>
      <c r="B147" s="52"/>
      <c r="C147" s="51"/>
      <c r="D147" s="52"/>
      <c r="E147" s="52"/>
    </row>
    <row r="148" customFormat="false" ht="15" hidden="false" customHeight="true" outlineLevel="0" collapsed="false">
      <c r="A148" s="52"/>
      <c r="B148" s="52"/>
      <c r="C148" s="51"/>
      <c r="D148" s="52"/>
      <c r="E148" s="52"/>
    </row>
    <row r="149" customFormat="false" ht="15" hidden="false" customHeight="true" outlineLevel="0" collapsed="false">
      <c r="A149" s="52"/>
      <c r="B149" s="52"/>
      <c r="C149" s="51"/>
      <c r="D149" s="52"/>
      <c r="E149" s="52"/>
    </row>
    <row r="150" customFormat="false" ht="15" hidden="false" customHeight="true" outlineLevel="0" collapsed="false">
      <c r="A150" s="52"/>
      <c r="B150" s="52"/>
      <c r="C150" s="51"/>
      <c r="D150" s="52"/>
      <c r="E150" s="52"/>
    </row>
    <row r="151" customFormat="false" ht="15" hidden="false" customHeight="true" outlineLevel="0" collapsed="false">
      <c r="A151" s="52"/>
      <c r="B151" s="52"/>
      <c r="C151" s="51"/>
      <c r="D151" s="52"/>
      <c r="E151" s="52"/>
    </row>
    <row r="152" customFormat="false" ht="15" hidden="false" customHeight="true" outlineLevel="0" collapsed="false">
      <c r="A152" s="52"/>
      <c r="B152" s="52"/>
      <c r="C152" s="51"/>
      <c r="D152" s="52"/>
      <c r="E152" s="52"/>
    </row>
    <row r="153" customFormat="false" ht="15" hidden="false" customHeight="true" outlineLevel="0" collapsed="false">
      <c r="A153" s="52"/>
      <c r="B153" s="52"/>
      <c r="C153" s="51"/>
      <c r="D153" s="52"/>
      <c r="E153" s="52"/>
    </row>
    <row r="154" customFormat="false" ht="15" hidden="false" customHeight="true" outlineLevel="0" collapsed="false">
      <c r="A154" s="52"/>
      <c r="B154" s="52"/>
      <c r="C154" s="51"/>
      <c r="D154" s="52"/>
      <c r="E154" s="52"/>
    </row>
    <row r="155" customFormat="false" ht="15" hidden="false" customHeight="true" outlineLevel="0" collapsed="false">
      <c r="A155" s="52"/>
      <c r="B155" s="52"/>
      <c r="C155" s="51"/>
      <c r="D155" s="52"/>
      <c r="E155" s="52"/>
    </row>
    <row r="156" customFormat="false" ht="15" hidden="false" customHeight="true" outlineLevel="0" collapsed="false">
      <c r="A156" s="52"/>
      <c r="B156" s="52"/>
      <c r="C156" s="51"/>
      <c r="D156" s="52"/>
      <c r="E156" s="52"/>
    </row>
    <row r="157" customFormat="false" ht="15" hidden="false" customHeight="true" outlineLevel="0" collapsed="false">
      <c r="A157" s="52"/>
      <c r="B157" s="52"/>
      <c r="C157" s="51"/>
      <c r="D157" s="52"/>
      <c r="E157" s="52"/>
    </row>
    <row r="158" customFormat="false" ht="15" hidden="false" customHeight="true" outlineLevel="0" collapsed="false">
      <c r="A158" s="52"/>
      <c r="B158" s="52"/>
      <c r="C158" s="51"/>
      <c r="D158" s="52"/>
      <c r="E158" s="52"/>
    </row>
    <row r="159" customFormat="false" ht="15" hidden="false" customHeight="true" outlineLevel="0" collapsed="false">
      <c r="A159" s="52"/>
      <c r="B159" s="52"/>
      <c r="C159" s="51"/>
      <c r="D159" s="52"/>
      <c r="E159" s="52"/>
    </row>
    <row r="160" customFormat="false" ht="15" hidden="false" customHeight="true" outlineLevel="0" collapsed="false">
      <c r="A160" s="52"/>
      <c r="B160" s="52"/>
      <c r="C160" s="51"/>
      <c r="D160" s="52"/>
      <c r="E160" s="52"/>
    </row>
    <row r="161" customFormat="false" ht="15" hidden="false" customHeight="true" outlineLevel="0" collapsed="false">
      <c r="A161" s="52"/>
      <c r="B161" s="52"/>
      <c r="C161" s="51"/>
      <c r="D161" s="52"/>
      <c r="E161" s="52"/>
    </row>
    <row r="162" customFormat="false" ht="15" hidden="false" customHeight="true" outlineLevel="0" collapsed="false">
      <c r="A162" s="52"/>
      <c r="B162" s="52"/>
      <c r="C162" s="51"/>
      <c r="D162" s="52"/>
      <c r="E162" s="52"/>
    </row>
    <row r="163" customFormat="false" ht="15" hidden="false" customHeight="true" outlineLevel="0" collapsed="false">
      <c r="A163" s="52"/>
      <c r="B163" s="52"/>
      <c r="C163" s="51"/>
      <c r="D163" s="52"/>
      <c r="E163" s="52"/>
    </row>
    <row r="164" customFormat="false" ht="15" hidden="false" customHeight="true" outlineLevel="0" collapsed="false">
      <c r="A164" s="52"/>
      <c r="B164" s="52"/>
      <c r="C164" s="51"/>
      <c r="D164" s="52"/>
      <c r="E164" s="52"/>
    </row>
    <row r="165" customFormat="false" ht="15" hidden="false" customHeight="true" outlineLevel="0" collapsed="false">
      <c r="A165" s="52"/>
      <c r="B165" s="52"/>
      <c r="C165" s="51"/>
      <c r="D165" s="52"/>
      <c r="E165" s="52"/>
    </row>
    <row r="166" customFormat="false" ht="15" hidden="false" customHeight="true" outlineLevel="0" collapsed="false">
      <c r="A166" s="52"/>
      <c r="B166" s="52"/>
      <c r="C166" s="51"/>
      <c r="D166" s="52"/>
      <c r="E166" s="52"/>
    </row>
    <row r="167" customFormat="false" ht="15" hidden="false" customHeight="true" outlineLevel="0" collapsed="false">
      <c r="A167" s="52"/>
      <c r="B167" s="52"/>
      <c r="C167" s="51"/>
      <c r="D167" s="52"/>
      <c r="E167" s="52"/>
    </row>
    <row r="168" customFormat="false" ht="15" hidden="false" customHeight="true" outlineLevel="0" collapsed="false">
      <c r="A168" s="52"/>
      <c r="B168" s="52"/>
      <c r="C168" s="51"/>
      <c r="D168" s="52"/>
      <c r="E168" s="52"/>
    </row>
    <row r="169" customFormat="false" ht="15" hidden="false" customHeight="true" outlineLevel="0" collapsed="false">
      <c r="A169" s="52"/>
      <c r="B169" s="52"/>
      <c r="C169" s="51"/>
      <c r="D169" s="52"/>
      <c r="E169" s="52"/>
    </row>
    <row r="170" customFormat="false" ht="15" hidden="false" customHeight="true" outlineLevel="0" collapsed="false">
      <c r="A170" s="52"/>
      <c r="B170" s="52"/>
      <c r="C170" s="51"/>
      <c r="D170" s="52"/>
      <c r="E170" s="52"/>
    </row>
    <row r="171" customFormat="false" ht="15" hidden="false" customHeight="true" outlineLevel="0" collapsed="false">
      <c r="A171" s="52"/>
      <c r="B171" s="52"/>
      <c r="C171" s="51"/>
      <c r="D171" s="52"/>
      <c r="E171" s="52"/>
    </row>
    <row r="172" customFormat="false" ht="15" hidden="false" customHeight="true" outlineLevel="0" collapsed="false">
      <c r="A172" s="52"/>
      <c r="B172" s="52"/>
      <c r="C172" s="51"/>
      <c r="D172" s="52"/>
      <c r="E172" s="52"/>
    </row>
    <row r="173" customFormat="false" ht="15" hidden="false" customHeight="true" outlineLevel="0" collapsed="false">
      <c r="A173" s="52"/>
      <c r="B173" s="52"/>
      <c r="C173" s="51"/>
      <c r="D173" s="52"/>
      <c r="E173" s="52"/>
    </row>
    <row r="174" customFormat="false" ht="15" hidden="false" customHeight="true" outlineLevel="0" collapsed="false">
      <c r="A174" s="52"/>
      <c r="B174" s="52"/>
      <c r="C174" s="51"/>
      <c r="D174" s="52"/>
      <c r="E174" s="52"/>
    </row>
    <row r="175" customFormat="false" ht="15" hidden="false" customHeight="true" outlineLevel="0" collapsed="false">
      <c r="A175" s="52"/>
      <c r="B175" s="52"/>
      <c r="C175" s="51"/>
      <c r="D175" s="52"/>
      <c r="E175" s="52"/>
    </row>
    <row r="176" customFormat="false" ht="15" hidden="false" customHeight="true" outlineLevel="0" collapsed="false">
      <c r="A176" s="52"/>
      <c r="B176" s="52"/>
      <c r="C176" s="51"/>
      <c r="D176" s="52"/>
      <c r="E176" s="52"/>
    </row>
    <row r="177" customFormat="false" ht="15" hidden="false" customHeight="true" outlineLevel="0" collapsed="false">
      <c r="A177" s="52"/>
      <c r="B177" s="52"/>
      <c r="C177" s="51"/>
      <c r="D177" s="52"/>
      <c r="E177" s="52"/>
    </row>
    <row r="178" customFormat="false" ht="15" hidden="false" customHeight="true" outlineLevel="0" collapsed="false">
      <c r="A178" s="52"/>
      <c r="B178" s="52"/>
      <c r="C178" s="51"/>
      <c r="D178" s="52"/>
      <c r="E178" s="52"/>
    </row>
    <row r="179" customFormat="false" ht="15" hidden="false" customHeight="true" outlineLevel="0" collapsed="false">
      <c r="A179" s="52"/>
      <c r="B179" s="52"/>
      <c r="C179" s="51"/>
      <c r="D179" s="52"/>
      <c r="E179" s="52"/>
    </row>
    <row r="180" customFormat="false" ht="15" hidden="false" customHeight="true" outlineLevel="0" collapsed="false">
      <c r="A180" s="52"/>
      <c r="B180" s="52"/>
      <c r="C180" s="51"/>
      <c r="D180" s="52"/>
      <c r="E180" s="52"/>
    </row>
    <row r="181" customFormat="false" ht="15" hidden="false" customHeight="true" outlineLevel="0" collapsed="false">
      <c r="A181" s="52"/>
      <c r="B181" s="52"/>
      <c r="C181" s="51"/>
      <c r="D181" s="52"/>
      <c r="E181" s="52"/>
    </row>
    <row r="182" customFormat="false" ht="15" hidden="false" customHeight="true" outlineLevel="0" collapsed="false">
      <c r="A182" s="52"/>
      <c r="B182" s="52"/>
      <c r="C182" s="51"/>
      <c r="D182" s="52"/>
      <c r="E182" s="52"/>
    </row>
    <row r="183" customFormat="false" ht="15" hidden="false" customHeight="true" outlineLevel="0" collapsed="false">
      <c r="A183" s="52"/>
      <c r="B183" s="52"/>
      <c r="C183" s="51"/>
      <c r="D183" s="52"/>
      <c r="E183" s="52"/>
    </row>
    <row r="184" customFormat="false" ht="15" hidden="false" customHeight="true" outlineLevel="0" collapsed="false">
      <c r="A184" s="52"/>
      <c r="B184" s="52"/>
      <c r="C184" s="51"/>
      <c r="D184" s="52"/>
      <c r="E184" s="52"/>
    </row>
    <row r="185" customFormat="false" ht="15" hidden="false" customHeight="true" outlineLevel="0" collapsed="false">
      <c r="A185" s="52"/>
      <c r="B185" s="52"/>
      <c r="C185" s="51"/>
      <c r="D185" s="52"/>
      <c r="E185" s="52"/>
    </row>
    <row r="186" customFormat="false" ht="15" hidden="false" customHeight="true" outlineLevel="0" collapsed="false">
      <c r="A186" s="52"/>
      <c r="B186" s="52"/>
      <c r="C186" s="51"/>
      <c r="D186" s="52"/>
      <c r="E186" s="52"/>
    </row>
    <row r="187" customFormat="false" ht="15" hidden="false" customHeight="true" outlineLevel="0" collapsed="false">
      <c r="A187" s="52"/>
      <c r="B187" s="52"/>
      <c r="C187" s="51"/>
      <c r="D187" s="52"/>
      <c r="E187" s="52"/>
    </row>
    <row r="188" customFormat="false" ht="15" hidden="false" customHeight="true" outlineLevel="0" collapsed="false">
      <c r="A188" s="52"/>
      <c r="B188" s="52"/>
      <c r="C188" s="51"/>
      <c r="D188" s="52"/>
      <c r="E188" s="52"/>
    </row>
    <row r="189" customFormat="false" ht="15" hidden="false" customHeight="true" outlineLevel="0" collapsed="false">
      <c r="A189" s="52"/>
      <c r="B189" s="52"/>
      <c r="C189" s="51"/>
      <c r="D189" s="52"/>
      <c r="E189" s="52"/>
    </row>
    <row r="190" customFormat="false" ht="15" hidden="false" customHeight="true" outlineLevel="0" collapsed="false">
      <c r="A190" s="52"/>
      <c r="B190" s="52"/>
      <c r="C190" s="51"/>
      <c r="D190" s="52"/>
      <c r="E190" s="52"/>
    </row>
    <row r="191" customFormat="false" ht="15" hidden="false" customHeight="true" outlineLevel="0" collapsed="false">
      <c r="A191" s="52"/>
      <c r="B191" s="52"/>
      <c r="C191" s="51"/>
      <c r="D191" s="52"/>
      <c r="E191" s="52"/>
    </row>
    <row r="192" customFormat="false" ht="15" hidden="false" customHeight="true" outlineLevel="0" collapsed="false">
      <c r="A192" s="52"/>
      <c r="B192" s="52"/>
      <c r="C192" s="51"/>
      <c r="D192" s="52"/>
      <c r="E192" s="52"/>
    </row>
    <row r="193" customFormat="false" ht="15" hidden="false" customHeight="true" outlineLevel="0" collapsed="false">
      <c r="A193" s="52"/>
      <c r="B193" s="52"/>
      <c r="C193" s="51"/>
      <c r="D193" s="52"/>
      <c r="E193" s="52"/>
    </row>
    <row r="194" customFormat="false" ht="15" hidden="false" customHeight="true" outlineLevel="0" collapsed="false">
      <c r="A194" s="52"/>
      <c r="B194" s="52"/>
      <c r="C194" s="51"/>
      <c r="D194" s="52"/>
      <c r="E194" s="52"/>
    </row>
    <row r="195" customFormat="false" ht="15" hidden="false" customHeight="true" outlineLevel="0" collapsed="false">
      <c r="A195" s="52"/>
      <c r="B195" s="52"/>
      <c r="C195" s="51"/>
      <c r="D195" s="52"/>
      <c r="E195" s="52"/>
    </row>
    <row r="196" customFormat="false" ht="15" hidden="false" customHeight="true" outlineLevel="0" collapsed="false">
      <c r="A196" s="52"/>
      <c r="B196" s="52"/>
      <c r="C196" s="51"/>
      <c r="D196" s="52"/>
      <c r="E196" s="52"/>
    </row>
    <row r="197" customFormat="false" ht="15" hidden="false" customHeight="true" outlineLevel="0" collapsed="false">
      <c r="A197" s="52"/>
      <c r="B197" s="52"/>
      <c r="C197" s="51"/>
      <c r="D197" s="52"/>
      <c r="E197" s="52"/>
    </row>
    <row r="198" customFormat="false" ht="15" hidden="false" customHeight="true" outlineLevel="0" collapsed="false">
      <c r="A198" s="52"/>
      <c r="B198" s="52"/>
      <c r="C198" s="51"/>
      <c r="D198" s="52"/>
      <c r="E198" s="52"/>
    </row>
    <row r="199" customFormat="false" ht="15" hidden="false" customHeight="true" outlineLevel="0" collapsed="false">
      <c r="A199" s="52"/>
      <c r="B199" s="52"/>
      <c r="C199" s="51"/>
      <c r="D199" s="52"/>
      <c r="E199" s="52"/>
    </row>
    <row r="200" customFormat="false" ht="15" hidden="false" customHeight="true" outlineLevel="0" collapsed="false">
      <c r="A200" s="52"/>
      <c r="B200" s="52"/>
      <c r="C200" s="51"/>
      <c r="D200" s="52"/>
      <c r="E200" s="52"/>
    </row>
    <row r="201" customFormat="false" ht="15" hidden="false" customHeight="true" outlineLevel="0" collapsed="false">
      <c r="A201" s="52"/>
      <c r="B201" s="52"/>
      <c r="C201" s="51"/>
      <c r="D201" s="52"/>
      <c r="E201" s="52"/>
    </row>
    <row r="202" customFormat="false" ht="15" hidden="false" customHeight="true" outlineLevel="0" collapsed="false">
      <c r="A202" s="52"/>
      <c r="B202" s="52"/>
      <c r="C202" s="51"/>
      <c r="D202" s="52"/>
      <c r="E202" s="52"/>
    </row>
    <row r="203" customFormat="false" ht="15" hidden="false" customHeight="true" outlineLevel="0" collapsed="false">
      <c r="A203" s="52"/>
      <c r="B203" s="52"/>
      <c r="C203" s="51"/>
      <c r="D203" s="52"/>
      <c r="E203" s="52"/>
    </row>
    <row r="204" customFormat="false" ht="15" hidden="false" customHeight="true" outlineLevel="0" collapsed="false">
      <c r="A204" s="52"/>
      <c r="B204" s="52"/>
      <c r="C204" s="51"/>
      <c r="D204" s="52"/>
      <c r="E204" s="52"/>
    </row>
    <row r="205" customFormat="false" ht="15" hidden="false" customHeight="true" outlineLevel="0" collapsed="false">
      <c r="A205" s="52"/>
      <c r="B205" s="52"/>
      <c r="C205" s="51"/>
      <c r="D205" s="52"/>
      <c r="E205" s="52"/>
    </row>
    <row r="206" customFormat="false" ht="15" hidden="false" customHeight="true" outlineLevel="0" collapsed="false">
      <c r="A206" s="52"/>
      <c r="B206" s="52"/>
      <c r="C206" s="51"/>
      <c r="D206" s="52"/>
      <c r="E206" s="52"/>
    </row>
    <row r="207" customFormat="false" ht="15" hidden="false" customHeight="true" outlineLevel="0" collapsed="false">
      <c r="A207" s="52"/>
      <c r="B207" s="52"/>
      <c r="C207" s="51"/>
      <c r="D207" s="52"/>
      <c r="E207" s="52"/>
    </row>
    <row r="208" customFormat="false" ht="15" hidden="false" customHeight="true" outlineLevel="0" collapsed="false">
      <c r="A208" s="52"/>
      <c r="B208" s="52"/>
      <c r="C208" s="51"/>
      <c r="D208" s="52"/>
      <c r="E208" s="52"/>
    </row>
    <row r="209" customFormat="false" ht="15" hidden="false" customHeight="true" outlineLevel="0" collapsed="false">
      <c r="A209" s="52"/>
      <c r="B209" s="52"/>
      <c r="C209" s="51"/>
      <c r="D209" s="52"/>
      <c r="E209" s="52"/>
    </row>
    <row r="210" customFormat="false" ht="15" hidden="false" customHeight="true" outlineLevel="0" collapsed="false">
      <c r="A210" s="52"/>
      <c r="B210" s="52"/>
      <c r="C210" s="51"/>
      <c r="D210" s="52"/>
      <c r="E210" s="52"/>
    </row>
    <row r="211" customFormat="false" ht="15" hidden="false" customHeight="true" outlineLevel="0" collapsed="false">
      <c r="A211" s="52"/>
      <c r="B211" s="52"/>
      <c r="C211" s="51"/>
      <c r="D211" s="52"/>
      <c r="E211" s="52"/>
    </row>
    <row r="212" customFormat="false" ht="15" hidden="false" customHeight="true" outlineLevel="0" collapsed="false">
      <c r="A212" s="52"/>
      <c r="B212" s="52"/>
      <c r="C212" s="51"/>
      <c r="D212" s="52"/>
      <c r="E212" s="52"/>
    </row>
    <row r="213" customFormat="false" ht="15" hidden="false" customHeight="true" outlineLevel="0" collapsed="false">
      <c r="A213" s="52"/>
      <c r="B213" s="52"/>
      <c r="C213" s="51"/>
      <c r="D213" s="52"/>
      <c r="E213" s="52"/>
    </row>
    <row r="214" customFormat="false" ht="15" hidden="false" customHeight="true" outlineLevel="0" collapsed="false">
      <c r="A214" s="52"/>
      <c r="B214" s="52"/>
      <c r="C214" s="51"/>
      <c r="D214" s="52"/>
      <c r="E214" s="52"/>
    </row>
    <row r="215" customFormat="false" ht="15" hidden="false" customHeight="true" outlineLevel="0" collapsed="false">
      <c r="A215" s="52"/>
      <c r="B215" s="52"/>
      <c r="C215" s="51"/>
      <c r="D215" s="52"/>
      <c r="E215" s="52"/>
    </row>
    <row r="216" customFormat="false" ht="15" hidden="false" customHeight="true" outlineLevel="0" collapsed="false">
      <c r="A216" s="52"/>
      <c r="B216" s="52"/>
      <c r="C216" s="51"/>
      <c r="D216" s="52"/>
      <c r="E216" s="52"/>
    </row>
    <row r="217" customFormat="false" ht="15" hidden="false" customHeight="true" outlineLevel="0" collapsed="false">
      <c r="A217" s="52"/>
      <c r="B217" s="52"/>
      <c r="C217" s="51"/>
      <c r="D217" s="52"/>
      <c r="E217" s="52"/>
    </row>
    <row r="218" customFormat="false" ht="15" hidden="false" customHeight="true" outlineLevel="0" collapsed="false">
      <c r="A218" s="52"/>
      <c r="B218" s="52"/>
      <c r="C218" s="51"/>
      <c r="D218" s="52"/>
      <c r="E218" s="52"/>
    </row>
    <row r="219" customFormat="false" ht="15" hidden="false" customHeight="true" outlineLevel="0" collapsed="false">
      <c r="A219" s="52"/>
      <c r="B219" s="52"/>
      <c r="C219" s="51"/>
      <c r="D219" s="52"/>
      <c r="E219" s="52"/>
    </row>
    <row r="220" customFormat="false" ht="15" hidden="false" customHeight="true" outlineLevel="0" collapsed="false">
      <c r="A220" s="52"/>
      <c r="B220" s="52"/>
      <c r="C220" s="51"/>
      <c r="D220" s="52"/>
      <c r="E220" s="52"/>
    </row>
    <row r="221" customFormat="false" ht="15" hidden="false" customHeight="true" outlineLevel="0" collapsed="false">
      <c r="A221" s="52"/>
      <c r="B221" s="52"/>
      <c r="C221" s="51"/>
      <c r="D221" s="52"/>
      <c r="E221" s="52"/>
    </row>
    <row r="222" customFormat="false" ht="15" hidden="false" customHeight="true" outlineLevel="0" collapsed="false">
      <c r="A222" s="52"/>
      <c r="B222" s="52"/>
      <c r="C222" s="51"/>
      <c r="D222" s="52"/>
      <c r="E222" s="52"/>
    </row>
    <row r="223" customFormat="false" ht="15" hidden="false" customHeight="true" outlineLevel="0" collapsed="false">
      <c r="A223" s="52"/>
      <c r="B223" s="52"/>
      <c r="C223" s="51"/>
      <c r="D223" s="52"/>
      <c r="E223" s="52"/>
    </row>
    <row r="224" customFormat="false" ht="15" hidden="false" customHeight="true" outlineLevel="0" collapsed="false">
      <c r="A224" s="52"/>
      <c r="B224" s="52"/>
      <c r="C224" s="51"/>
      <c r="D224" s="52"/>
      <c r="E224" s="52"/>
    </row>
    <row r="225" customFormat="false" ht="15" hidden="false" customHeight="true" outlineLevel="0" collapsed="false">
      <c r="A225" s="52"/>
      <c r="B225" s="52"/>
      <c r="C225" s="51"/>
      <c r="D225" s="52"/>
      <c r="E225" s="52"/>
    </row>
    <row r="226" customFormat="false" ht="15" hidden="false" customHeight="true" outlineLevel="0" collapsed="false">
      <c r="A226" s="52"/>
      <c r="B226" s="52"/>
      <c r="C226" s="51"/>
      <c r="D226" s="52"/>
      <c r="E226" s="52"/>
    </row>
    <row r="227" customFormat="false" ht="15" hidden="false" customHeight="true" outlineLevel="0" collapsed="false">
      <c r="A227" s="52"/>
      <c r="B227" s="52"/>
      <c r="C227" s="51"/>
      <c r="D227" s="52"/>
      <c r="E227" s="52"/>
    </row>
    <row r="228" customFormat="false" ht="15" hidden="false" customHeight="true" outlineLevel="0" collapsed="false">
      <c r="A228" s="52"/>
      <c r="B228" s="52"/>
      <c r="C228" s="51"/>
      <c r="D228" s="52"/>
      <c r="E228" s="52"/>
    </row>
    <row r="229" customFormat="false" ht="15" hidden="false" customHeight="true" outlineLevel="0" collapsed="false">
      <c r="A229" s="52"/>
      <c r="B229" s="52"/>
      <c r="C229" s="51"/>
      <c r="D229" s="52"/>
      <c r="E229" s="52"/>
    </row>
    <row r="230" customFormat="false" ht="15" hidden="false" customHeight="true" outlineLevel="0" collapsed="false">
      <c r="A230" s="52"/>
      <c r="B230" s="52"/>
      <c r="C230" s="51"/>
      <c r="D230" s="52"/>
      <c r="E230" s="52"/>
    </row>
    <row r="231" customFormat="false" ht="15" hidden="false" customHeight="true" outlineLevel="0" collapsed="false">
      <c r="A231" s="52"/>
      <c r="B231" s="52"/>
      <c r="C231" s="51"/>
      <c r="D231" s="52"/>
      <c r="E231" s="52"/>
    </row>
    <row r="232" customFormat="false" ht="15" hidden="false" customHeight="true" outlineLevel="0" collapsed="false">
      <c r="A232" s="52"/>
      <c r="B232" s="52"/>
      <c r="C232" s="51"/>
      <c r="D232" s="52"/>
      <c r="E232" s="52"/>
    </row>
    <row r="233" customFormat="false" ht="15" hidden="false" customHeight="true" outlineLevel="0" collapsed="false">
      <c r="A233" s="52"/>
      <c r="B233" s="52"/>
      <c r="C233" s="51"/>
      <c r="D233" s="52"/>
      <c r="E233" s="52"/>
    </row>
    <row r="234" customFormat="false" ht="15" hidden="false" customHeight="true" outlineLevel="0" collapsed="false">
      <c r="A234" s="52"/>
      <c r="B234" s="52"/>
      <c r="C234" s="51"/>
      <c r="D234" s="52"/>
      <c r="E234" s="52"/>
    </row>
    <row r="235" customFormat="false" ht="15" hidden="false" customHeight="true" outlineLevel="0" collapsed="false">
      <c r="A235" s="52"/>
      <c r="B235" s="52"/>
      <c r="C235" s="51"/>
      <c r="D235" s="52"/>
      <c r="E235" s="52"/>
    </row>
    <row r="236" customFormat="false" ht="15" hidden="false" customHeight="true" outlineLevel="0" collapsed="false">
      <c r="A236" s="52"/>
      <c r="B236" s="52"/>
      <c r="C236" s="51"/>
      <c r="D236" s="52"/>
      <c r="E236" s="52"/>
    </row>
    <row r="237" customFormat="false" ht="15" hidden="false" customHeight="true" outlineLevel="0" collapsed="false">
      <c r="A237" s="52"/>
      <c r="B237" s="52"/>
      <c r="C237" s="51"/>
      <c r="D237" s="52"/>
      <c r="E237" s="52"/>
    </row>
    <row r="238" customFormat="false" ht="15" hidden="false" customHeight="true" outlineLevel="0" collapsed="false">
      <c r="A238" s="52"/>
      <c r="B238" s="52"/>
      <c r="C238" s="51"/>
      <c r="D238" s="52"/>
      <c r="E238" s="52"/>
    </row>
    <row r="239" customFormat="false" ht="15" hidden="false" customHeight="true" outlineLevel="0" collapsed="false">
      <c r="A239" s="52"/>
      <c r="B239" s="52"/>
      <c r="C239" s="51"/>
      <c r="D239" s="52"/>
      <c r="E239" s="52"/>
    </row>
    <row r="240" customFormat="false" ht="15" hidden="false" customHeight="true" outlineLevel="0" collapsed="false">
      <c r="A240" s="52"/>
      <c r="B240" s="52"/>
      <c r="C240" s="51"/>
      <c r="D240" s="52"/>
      <c r="E240" s="52"/>
    </row>
    <row r="241" customFormat="false" ht="15" hidden="false" customHeight="true" outlineLevel="0" collapsed="false">
      <c r="A241" s="52"/>
      <c r="B241" s="52"/>
      <c r="C241" s="51"/>
      <c r="D241" s="52"/>
      <c r="E241" s="52"/>
    </row>
    <row r="242" customFormat="false" ht="15" hidden="false" customHeight="true" outlineLevel="0" collapsed="false">
      <c r="A242" s="52"/>
      <c r="B242" s="52"/>
      <c r="C242" s="51"/>
      <c r="D242" s="52"/>
      <c r="E242" s="52"/>
    </row>
    <row r="243" customFormat="false" ht="15" hidden="false" customHeight="true" outlineLevel="0" collapsed="false">
      <c r="A243" s="52"/>
      <c r="B243" s="52"/>
      <c r="C243" s="51"/>
      <c r="D243" s="52"/>
      <c r="E243" s="52"/>
    </row>
    <row r="244" customFormat="false" ht="15" hidden="false" customHeight="true" outlineLevel="0" collapsed="false">
      <c r="A244" s="52"/>
      <c r="B244" s="52"/>
      <c r="C244" s="51"/>
      <c r="D244" s="52"/>
      <c r="E244" s="52"/>
    </row>
    <row r="245" customFormat="false" ht="15" hidden="false" customHeight="true" outlineLevel="0" collapsed="false">
      <c r="A245" s="52"/>
      <c r="B245" s="52"/>
      <c r="C245" s="51"/>
      <c r="D245" s="52"/>
      <c r="E245" s="52"/>
    </row>
    <row r="246" customFormat="false" ht="15" hidden="false" customHeight="true" outlineLevel="0" collapsed="false">
      <c r="A246" s="52"/>
      <c r="B246" s="52"/>
      <c r="C246" s="51"/>
      <c r="D246" s="52"/>
      <c r="E246" s="52"/>
    </row>
    <row r="247" customFormat="false" ht="15" hidden="false" customHeight="true" outlineLevel="0" collapsed="false">
      <c r="A247" s="52"/>
      <c r="B247" s="52"/>
      <c r="C247" s="51"/>
      <c r="D247" s="52"/>
      <c r="E247" s="52"/>
    </row>
    <row r="248" customFormat="false" ht="15" hidden="false" customHeight="true" outlineLevel="0" collapsed="false">
      <c r="A248" s="52"/>
      <c r="B248" s="52"/>
      <c r="C248" s="51"/>
      <c r="D248" s="52"/>
      <c r="E248" s="52"/>
    </row>
    <row r="249" customFormat="false" ht="15" hidden="false" customHeight="true" outlineLevel="0" collapsed="false">
      <c r="A249" s="52"/>
      <c r="B249" s="52"/>
      <c r="C249" s="51"/>
      <c r="D249" s="52"/>
      <c r="E249" s="52"/>
    </row>
    <row r="250" customFormat="false" ht="15" hidden="false" customHeight="true" outlineLevel="0" collapsed="false">
      <c r="A250" s="52"/>
      <c r="B250" s="52"/>
      <c r="C250" s="51"/>
      <c r="D250" s="52"/>
      <c r="E250" s="52"/>
    </row>
    <row r="251" customFormat="false" ht="15" hidden="false" customHeight="true" outlineLevel="0" collapsed="false">
      <c r="A251" s="52"/>
      <c r="B251" s="52"/>
      <c r="C251" s="51"/>
      <c r="D251" s="52"/>
      <c r="E251" s="52"/>
    </row>
    <row r="252" customFormat="false" ht="15" hidden="false" customHeight="true" outlineLevel="0" collapsed="false">
      <c r="A252" s="52"/>
      <c r="B252" s="52"/>
      <c r="C252" s="51"/>
      <c r="D252" s="52"/>
      <c r="E252" s="52"/>
    </row>
    <row r="253" customFormat="false" ht="15" hidden="false" customHeight="true" outlineLevel="0" collapsed="false">
      <c r="A253" s="52"/>
      <c r="B253" s="52"/>
      <c r="C253" s="51"/>
      <c r="D253" s="52"/>
      <c r="E253" s="52"/>
    </row>
    <row r="254" customFormat="false" ht="15" hidden="false" customHeight="true" outlineLevel="0" collapsed="false">
      <c r="A254" s="52"/>
      <c r="B254" s="52"/>
      <c r="C254" s="51"/>
      <c r="D254" s="52"/>
      <c r="E254" s="52"/>
    </row>
    <row r="255" customFormat="false" ht="15" hidden="false" customHeight="true" outlineLevel="0" collapsed="false">
      <c r="A255" s="52"/>
      <c r="B255" s="52"/>
      <c r="C255" s="51"/>
      <c r="D255" s="52"/>
      <c r="E255" s="52"/>
    </row>
    <row r="256" customFormat="false" ht="15" hidden="false" customHeight="true" outlineLevel="0" collapsed="false">
      <c r="A256" s="52"/>
      <c r="B256" s="52"/>
      <c r="C256" s="51"/>
      <c r="D256" s="52"/>
      <c r="E256" s="52"/>
    </row>
    <row r="257" customFormat="false" ht="15" hidden="false" customHeight="true" outlineLevel="0" collapsed="false">
      <c r="A257" s="52"/>
      <c r="B257" s="52"/>
      <c r="C257" s="51"/>
      <c r="D257" s="52"/>
      <c r="E257" s="52"/>
    </row>
    <row r="258" customFormat="false" ht="15" hidden="false" customHeight="true" outlineLevel="0" collapsed="false">
      <c r="A258" s="52"/>
      <c r="B258" s="52"/>
      <c r="C258" s="51"/>
      <c r="D258" s="52"/>
      <c r="E258" s="52"/>
    </row>
    <row r="259" customFormat="false" ht="15" hidden="false" customHeight="true" outlineLevel="0" collapsed="false">
      <c r="A259" s="52"/>
      <c r="B259" s="52"/>
      <c r="C259" s="51"/>
      <c r="D259" s="52"/>
      <c r="E259" s="52"/>
    </row>
    <row r="260" customFormat="false" ht="15" hidden="false" customHeight="true" outlineLevel="0" collapsed="false">
      <c r="A260" s="52"/>
      <c r="B260" s="52"/>
      <c r="C260" s="51"/>
      <c r="D260" s="52"/>
      <c r="E260" s="52"/>
    </row>
    <row r="261" customFormat="false" ht="15" hidden="false" customHeight="true" outlineLevel="0" collapsed="false">
      <c r="A261" s="52"/>
      <c r="B261" s="52"/>
      <c r="C261" s="51"/>
      <c r="D261" s="52"/>
      <c r="E261" s="52"/>
    </row>
    <row r="262" customFormat="false" ht="15" hidden="false" customHeight="true" outlineLevel="0" collapsed="false">
      <c r="A262" s="52"/>
      <c r="B262" s="52"/>
      <c r="C262" s="51"/>
      <c r="D262" s="52"/>
      <c r="E262" s="52"/>
    </row>
    <row r="263" customFormat="false" ht="15" hidden="false" customHeight="true" outlineLevel="0" collapsed="false">
      <c r="A263" s="52"/>
      <c r="B263" s="52"/>
      <c r="C263" s="51"/>
      <c r="D263" s="52"/>
      <c r="E263" s="52"/>
    </row>
    <row r="264" customFormat="false" ht="15" hidden="false" customHeight="true" outlineLevel="0" collapsed="false">
      <c r="A264" s="52"/>
      <c r="B264" s="52"/>
      <c r="C264" s="51"/>
      <c r="D264" s="52"/>
      <c r="E264" s="52"/>
    </row>
    <row r="265" customFormat="false" ht="15" hidden="false" customHeight="true" outlineLevel="0" collapsed="false">
      <c r="A265" s="52"/>
      <c r="B265" s="52"/>
      <c r="C265" s="51"/>
      <c r="D265" s="52"/>
      <c r="E265" s="52"/>
    </row>
    <row r="266" customFormat="false" ht="15" hidden="false" customHeight="true" outlineLevel="0" collapsed="false">
      <c r="A266" s="52"/>
      <c r="B266" s="52"/>
      <c r="C266" s="51"/>
      <c r="D266" s="52"/>
      <c r="E266" s="52"/>
    </row>
    <row r="267" customFormat="false" ht="15" hidden="false" customHeight="true" outlineLevel="0" collapsed="false">
      <c r="A267" s="52"/>
      <c r="B267" s="52"/>
      <c r="C267" s="51"/>
      <c r="D267" s="52"/>
      <c r="E267" s="52"/>
    </row>
    <row r="268" customFormat="false" ht="15" hidden="false" customHeight="true" outlineLevel="0" collapsed="false">
      <c r="A268" s="52"/>
      <c r="B268" s="52"/>
      <c r="C268" s="51"/>
      <c r="D268" s="52"/>
      <c r="E268" s="52"/>
    </row>
    <row r="269" customFormat="false" ht="15" hidden="false" customHeight="true" outlineLevel="0" collapsed="false">
      <c r="A269" s="52"/>
      <c r="B269" s="52"/>
      <c r="C269" s="51"/>
      <c r="D269" s="52"/>
      <c r="E269" s="52"/>
    </row>
    <row r="270" customFormat="false" ht="15" hidden="false" customHeight="true" outlineLevel="0" collapsed="false">
      <c r="A270" s="52"/>
      <c r="B270" s="52"/>
      <c r="C270" s="51"/>
      <c r="D270" s="52"/>
      <c r="E270" s="52"/>
    </row>
    <row r="271" customFormat="false" ht="15" hidden="false" customHeight="true" outlineLevel="0" collapsed="false">
      <c r="A271" s="52"/>
      <c r="B271" s="52"/>
      <c r="C271" s="51"/>
      <c r="D271" s="52"/>
      <c r="E271" s="52"/>
    </row>
    <row r="272" customFormat="false" ht="15" hidden="false" customHeight="true" outlineLevel="0" collapsed="false">
      <c r="A272" s="52"/>
      <c r="B272" s="52"/>
      <c r="C272" s="51"/>
      <c r="D272" s="52"/>
      <c r="E272" s="52"/>
    </row>
    <row r="273" customFormat="false" ht="15" hidden="false" customHeight="true" outlineLevel="0" collapsed="false">
      <c r="A273" s="52"/>
      <c r="B273" s="52"/>
      <c r="C273" s="51"/>
      <c r="D273" s="52"/>
      <c r="E273" s="52"/>
    </row>
    <row r="274" customFormat="false" ht="15" hidden="false" customHeight="true" outlineLevel="0" collapsed="false">
      <c r="A274" s="52"/>
      <c r="B274" s="52"/>
      <c r="C274" s="51"/>
      <c r="D274" s="52"/>
      <c r="E274" s="52"/>
    </row>
    <row r="275" customFormat="false" ht="15" hidden="false" customHeight="true" outlineLevel="0" collapsed="false">
      <c r="A275" s="52"/>
      <c r="B275" s="52"/>
      <c r="C275" s="51"/>
      <c r="D275" s="52"/>
      <c r="E275" s="52"/>
    </row>
    <row r="276" customFormat="false" ht="15" hidden="false" customHeight="true" outlineLevel="0" collapsed="false">
      <c r="A276" s="52"/>
      <c r="B276" s="52"/>
      <c r="C276" s="51"/>
      <c r="D276" s="52"/>
      <c r="E276" s="52"/>
    </row>
    <row r="277" customFormat="false" ht="15" hidden="false" customHeight="true" outlineLevel="0" collapsed="false">
      <c r="A277" s="52"/>
      <c r="B277" s="52"/>
      <c r="C277" s="51"/>
      <c r="D277" s="52"/>
      <c r="E277" s="52"/>
    </row>
    <row r="278" customFormat="false" ht="15" hidden="false" customHeight="true" outlineLevel="0" collapsed="false">
      <c r="A278" s="52"/>
      <c r="B278" s="52"/>
      <c r="C278" s="51"/>
      <c r="D278" s="52"/>
      <c r="E278" s="52"/>
    </row>
    <row r="279" customFormat="false" ht="15" hidden="false" customHeight="true" outlineLevel="0" collapsed="false">
      <c r="A279" s="52"/>
      <c r="B279" s="52"/>
      <c r="C279" s="51"/>
      <c r="D279" s="52"/>
      <c r="E279" s="52"/>
    </row>
    <row r="280" customFormat="false" ht="15" hidden="false" customHeight="true" outlineLevel="0" collapsed="false">
      <c r="A280" s="52"/>
      <c r="B280" s="52"/>
      <c r="C280" s="51"/>
      <c r="D280" s="52"/>
      <c r="E280" s="52"/>
    </row>
    <row r="281" customFormat="false" ht="15" hidden="false" customHeight="true" outlineLevel="0" collapsed="false">
      <c r="A281" s="52"/>
      <c r="B281" s="52"/>
      <c r="C281" s="51"/>
      <c r="D281" s="52"/>
      <c r="E281" s="52"/>
    </row>
    <row r="282" customFormat="false" ht="15" hidden="false" customHeight="true" outlineLevel="0" collapsed="false">
      <c r="A282" s="52"/>
      <c r="B282" s="52"/>
      <c r="C282" s="51"/>
      <c r="D282" s="52"/>
      <c r="E282" s="52"/>
    </row>
    <row r="283" customFormat="false" ht="15" hidden="false" customHeight="true" outlineLevel="0" collapsed="false">
      <c r="A283" s="52"/>
      <c r="B283" s="52"/>
      <c r="C283" s="51"/>
      <c r="D283" s="52"/>
      <c r="E283" s="52"/>
    </row>
    <row r="284" customFormat="false" ht="15" hidden="false" customHeight="true" outlineLevel="0" collapsed="false">
      <c r="A284" s="52"/>
      <c r="B284" s="52"/>
      <c r="C284" s="51"/>
      <c r="D284" s="52"/>
      <c r="E284" s="52"/>
    </row>
    <row r="285" customFormat="false" ht="15" hidden="false" customHeight="true" outlineLevel="0" collapsed="false">
      <c r="A285" s="52"/>
      <c r="B285" s="52"/>
      <c r="C285" s="51"/>
      <c r="D285" s="52"/>
      <c r="E285" s="52"/>
    </row>
    <row r="286" customFormat="false" ht="15" hidden="false" customHeight="true" outlineLevel="0" collapsed="false">
      <c r="A286" s="52"/>
      <c r="B286" s="52"/>
      <c r="C286" s="51"/>
      <c r="D286" s="52"/>
      <c r="E286" s="52"/>
    </row>
    <row r="287" customFormat="false" ht="15" hidden="false" customHeight="true" outlineLevel="0" collapsed="false">
      <c r="A287" s="52"/>
      <c r="B287" s="52"/>
      <c r="C287" s="51"/>
      <c r="D287" s="52"/>
      <c r="E287" s="52"/>
    </row>
    <row r="288" customFormat="false" ht="15" hidden="false" customHeight="true" outlineLevel="0" collapsed="false">
      <c r="A288" s="52"/>
      <c r="B288" s="52"/>
      <c r="C288" s="51"/>
      <c r="D288" s="52"/>
      <c r="E288" s="52"/>
    </row>
    <row r="289" customFormat="false" ht="15" hidden="false" customHeight="true" outlineLevel="0" collapsed="false">
      <c r="A289" s="52"/>
      <c r="B289" s="52"/>
      <c r="C289" s="51"/>
      <c r="D289" s="52"/>
      <c r="E289" s="52"/>
    </row>
    <row r="290" customFormat="false" ht="15" hidden="false" customHeight="true" outlineLevel="0" collapsed="false">
      <c r="A290" s="52"/>
      <c r="B290" s="52"/>
      <c r="C290" s="51"/>
      <c r="D290" s="52"/>
      <c r="E290" s="52"/>
    </row>
    <row r="291" customFormat="false" ht="15" hidden="false" customHeight="true" outlineLevel="0" collapsed="false">
      <c r="A291" s="52"/>
      <c r="B291" s="52"/>
      <c r="C291" s="51"/>
      <c r="D291" s="52"/>
      <c r="E291" s="52"/>
    </row>
    <row r="292" customFormat="false" ht="15" hidden="false" customHeight="true" outlineLevel="0" collapsed="false">
      <c r="A292" s="52"/>
      <c r="B292" s="52"/>
      <c r="C292" s="51"/>
      <c r="D292" s="52"/>
      <c r="E292" s="52"/>
    </row>
    <row r="293" customFormat="false" ht="15" hidden="false" customHeight="true" outlineLevel="0" collapsed="false">
      <c r="A293" s="52"/>
      <c r="B293" s="52"/>
      <c r="C293" s="51"/>
      <c r="D293" s="52"/>
      <c r="E293" s="52"/>
    </row>
    <row r="294" customFormat="false" ht="15" hidden="false" customHeight="true" outlineLevel="0" collapsed="false">
      <c r="A294" s="52"/>
      <c r="B294" s="52"/>
      <c r="C294" s="51"/>
      <c r="D294" s="52"/>
      <c r="E294" s="52"/>
    </row>
    <row r="295" customFormat="false" ht="15" hidden="false" customHeight="true" outlineLevel="0" collapsed="false">
      <c r="A295" s="52"/>
      <c r="B295" s="52"/>
      <c r="C295" s="51"/>
      <c r="D295" s="52"/>
      <c r="E295" s="52"/>
    </row>
    <row r="296" customFormat="false" ht="15" hidden="false" customHeight="true" outlineLevel="0" collapsed="false">
      <c r="A296" s="52"/>
      <c r="B296" s="52"/>
      <c r="C296" s="51"/>
      <c r="D296" s="52"/>
      <c r="E296" s="52"/>
    </row>
    <row r="297" customFormat="false" ht="15" hidden="false" customHeight="true" outlineLevel="0" collapsed="false">
      <c r="A297" s="52"/>
      <c r="B297" s="52"/>
      <c r="C297" s="51"/>
      <c r="D297" s="52"/>
      <c r="E297" s="52"/>
    </row>
    <row r="298" customFormat="false" ht="15" hidden="false" customHeight="true" outlineLevel="0" collapsed="false">
      <c r="A298" s="52"/>
      <c r="B298" s="52"/>
      <c r="C298" s="51"/>
      <c r="D298" s="52"/>
      <c r="E298" s="52"/>
    </row>
    <row r="299" customFormat="false" ht="15" hidden="false" customHeight="true" outlineLevel="0" collapsed="false">
      <c r="A299" s="52"/>
      <c r="B299" s="52"/>
      <c r="C299" s="51"/>
      <c r="D299" s="52"/>
      <c r="E299" s="52"/>
    </row>
    <row r="300" customFormat="false" ht="15" hidden="false" customHeight="true" outlineLevel="0" collapsed="false">
      <c r="A300" s="52"/>
      <c r="B300" s="52"/>
      <c r="C300" s="51"/>
      <c r="D300" s="52"/>
      <c r="E300" s="52"/>
    </row>
    <row r="301" customFormat="false" ht="15" hidden="false" customHeight="true" outlineLevel="0" collapsed="false">
      <c r="A301" s="52"/>
      <c r="B301" s="52"/>
      <c r="C301" s="51"/>
      <c r="D301" s="52"/>
      <c r="E301" s="52"/>
    </row>
  </sheetData>
  <autoFilter ref="A1:E301"/>
  <conditionalFormatting sqref="A2:E301">
    <cfRule type="expression" priority="2" aboveAverage="0" equalAverage="0" bottom="0" percent="0" rank="0" text="" dxfId="1">
      <formula>$D2="FOLGA"</formula>
    </cfRule>
    <cfRule type="expression" priority="3" aboveAverage="0" equalAverage="0" bottom="0" percent="0" rank="0" text="" dxfId="14">
      <formula>$D2="TRABALHA"</formula>
    </cfRule>
    <cfRule type="expression" priority="4" aboveAverage="0" equalAverage="0" bottom="0" percent="0" rank="0" text="" dxfId="15">
      <formula>AND($A2&lt;&gt;"",$D2="")</formula>
    </cfRule>
  </conditionalFormatting>
  <dataValidations count="3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0" activeCellId="0" sqref="E20"/>
    </sheetView>
  </sheetViews>
  <sheetFormatPr defaultColWidth="8.6953125" defaultRowHeight="15" zeroHeight="false" outlineLevelRow="0" outlineLevelCol="0"/>
  <cols>
    <col collapsed="false" customWidth="true" hidden="false" outlineLevel="0" max="1" min="1" style="46" width="32"/>
    <col collapsed="false" customWidth="true" hidden="false" outlineLevel="0" max="2" min="2" style="46" width="24"/>
    <col collapsed="false" customWidth="true" hidden="false" outlineLevel="0" max="4" min="3" style="46" width="19.99"/>
    <col collapsed="false" customWidth="true" hidden="false" outlineLevel="0" max="5" min="5" style="46" width="64.8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36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47" t="s">
        <v>11</v>
      </c>
      <c r="B1" s="47" t="s">
        <v>12</v>
      </c>
      <c r="C1" s="47" t="s">
        <v>74</v>
      </c>
      <c r="D1" s="47" t="s">
        <v>75</v>
      </c>
      <c r="E1" s="47" t="s">
        <v>14</v>
      </c>
      <c r="F1" s="47" t="s">
        <v>76</v>
      </c>
      <c r="G1" s="47" t="s">
        <v>77</v>
      </c>
      <c r="H1" s="47" t="s">
        <v>20</v>
      </c>
      <c r="I1" s="47" t="s">
        <v>24</v>
      </c>
      <c r="K1" s="48" t="s">
        <v>48</v>
      </c>
      <c r="L1" s="48" t="s">
        <v>78</v>
      </c>
      <c r="M1" s="48" t="s">
        <v>50</v>
      </c>
    </row>
    <row r="2" customFormat="false" ht="13.5" hidden="false" customHeight="true" outlineLevel="0" collapsed="false">
      <c r="A2" s="58" t="s">
        <v>54</v>
      </c>
      <c r="B2" s="59" t="s">
        <v>79</v>
      </c>
      <c r="C2" s="60" t="n">
        <v>46357</v>
      </c>
      <c r="D2" s="60" t="n">
        <v>46371</v>
      </c>
      <c r="E2" s="52" t="s">
        <v>80</v>
      </c>
      <c r="F2" s="61" t="n">
        <f aca="false">IF(AND(ISNUMBER(C2),ISNUMBER(D2),D2&gt;=C2),D2-C2+1,"")</f>
        <v>15</v>
      </c>
      <c r="G2" s="62" t="n">
        <f aca="false">IF(AND(ISNUMBER(C2),ISNUMBER(D2),D2&gt;=C2),WORKDAY(D2,1),"")</f>
        <v>46372</v>
      </c>
      <c r="H2" s="53" t="str">
        <f aca="true">IF(A2="","",IF(NOT(AND(ISNUMBER(C2),ISNUMBER(D2))),"Sem data definida",IF(D2&lt;C2,"⚠ Datas invertidas",IF(TODAY()&lt;C2,IF(C2-TODAY()=1,"Começa amanhã","Começa em "&amp;(C2-TODAY())&amp;" dias"),IF(TODAY()&gt;D2,"Concluídas",IF(TODAY()=D2,"EM FÉRIAS (último dia)","EM FÉRIAS (faltam "&amp;(D2-TODAY())&amp;" dias)"))))))</f>
        <v>Começa em 56 dias</v>
      </c>
      <c r="I2" s="53" t="str">
        <f aca="false">IF(OR(A2="",NOT(AND(ISNUMBER(C2),ISNUMBER(D2)))),"",IF(D2-C2+1&gt;30,"⚠ Período acima de 30 dias",IF(COUNTIFS($B$2:$B$301,B2,$C$2:$C$301,"&lt;="&amp;D2,$D$2:$D$301,"&gt;="&amp;C2)&gt;1,"⚠ Coincide com férias de outro do setor","")))</f>
        <v>⚠ Coincide com férias de outro do setor</v>
      </c>
      <c r="K2" s="0" t="str">
        <f aca="true">IF(AND(ISNUMBER(C2),ISNUMBER(D2),C2&lt;=TODAY(),D2&gt;=TODAY()),D2+ROW()/100000,"")</f>
        <v/>
      </c>
      <c r="L2" s="0" t="str">
        <f aca="true">IF(AND(ISNUMBER(C2),C2&gt;TODAY(),C2&lt;=TODAY()+30),C2+ROW()/100000,"")</f>
        <v/>
      </c>
      <c r="M2" s="0" t="str">
        <f aca="false">IF(AND(ISNUMBER(C2),ISNUMBER(D2),C2&lt;=CALENDÁRIO!$L$4,D2&gt;=CALENDÁRIO!$L$4),ROW(),"")</f>
        <v/>
      </c>
    </row>
    <row r="3" customFormat="false" ht="13.5" hidden="false" customHeight="true" outlineLevel="0" collapsed="false">
      <c r="A3" s="58" t="s">
        <v>81</v>
      </c>
      <c r="B3" s="59" t="s">
        <v>82</v>
      </c>
      <c r="C3" s="60" t="n">
        <v>46352</v>
      </c>
      <c r="D3" s="60" t="n">
        <v>46367</v>
      </c>
      <c r="E3" s="63" t="s">
        <v>80</v>
      </c>
      <c r="F3" s="64" t="n">
        <f aca="false">IF(AND(ISNUMBER(C3),ISNUMBER(D3),D3&gt;=C3),D3-C3+1,"")</f>
        <v>16</v>
      </c>
      <c r="G3" s="65" t="n">
        <f aca="false">IF(AND(ISNUMBER(C3),ISNUMBER(D3),D3&gt;=C3),WORKDAY(D3,1),"")</f>
        <v>46370</v>
      </c>
      <c r="H3" s="66" t="str">
        <f aca="true">IF(A3="","",IF(NOT(AND(ISNUMBER(C3),ISNUMBER(D3))),"Sem data definida",IF(D3&lt;C3,"⚠ Datas invertidas",IF(TODAY()&lt;C3,IF(C3-TODAY()=1,"Começa amanhã","Começa em "&amp;(C3-TODAY())&amp;" dias"),IF(TODAY()&gt;D3,"Concluídas",IF(TODAY()=D3,"EM FÉRIAS (último dia)","EM FÉRIAS (faltam "&amp;(D3-TODAY())&amp;" dias)"))))))</f>
        <v>Começa em 51 dias</v>
      </c>
      <c r="I3" s="66" t="str">
        <f aca="false">IF(OR(A3="",NOT(AND(ISNUMBER(C3),ISNUMBER(D3)))),"",IF(D3-C3+1&gt;30,"⚠ Período acima de 30 dias",IF(COUNTIFS($B$2:$B$301,B3,$C$2:$C$301,"&lt;="&amp;D3,$D$2:$D$301,"&gt;="&amp;C3)&gt;1,"⚠ Coincide com férias de outro do setor","")))</f>
        <v>⚠ Coincide com férias de outro do setor</v>
      </c>
      <c r="K3" s="0" t="str">
        <f aca="true">IF(AND(ISNUMBER(C3),ISNUMBER(D3),C3&lt;=TODAY(),D3&gt;=TODAY()),D3+ROW()/100000,"")</f>
        <v/>
      </c>
      <c r="L3" s="0" t="str">
        <f aca="true">IF(AND(ISNUMBER(C3),C3&gt;TODAY(),C3&lt;=TODAY()+30),C3+ROW()/100000,"")</f>
        <v/>
      </c>
      <c r="M3" s="0" t="str">
        <f aca="false">IF(AND(ISNUMBER(C3),ISNUMBER(D3),C3&lt;=CALENDÁRIO!$L$4,D3&gt;=CALENDÁRIO!$L$4),ROW(),"")</f>
        <v/>
      </c>
    </row>
    <row r="4" customFormat="false" ht="13.5" hidden="false" customHeight="true" outlineLevel="0" collapsed="false">
      <c r="A4" s="58" t="s">
        <v>83</v>
      </c>
      <c r="B4" s="59" t="s">
        <v>79</v>
      </c>
      <c r="C4" s="60" t="n">
        <v>46314</v>
      </c>
      <c r="D4" s="60" t="n">
        <v>46328</v>
      </c>
      <c r="E4" s="52" t="s">
        <v>84</v>
      </c>
      <c r="F4" s="61" t="n">
        <f aca="false">IF(AND(ISNUMBER(C4),ISNUMBER(D4),D4&gt;=C4),D4-C4+1,"")</f>
        <v>15</v>
      </c>
      <c r="G4" s="62" t="n">
        <f aca="false">IF(AND(ISNUMBER(C4),ISNUMBER(D4),D4&gt;=C4),WORKDAY(D4,1),"")</f>
        <v>46329</v>
      </c>
      <c r="H4" s="53" t="str">
        <f aca="true">IF(A4="","",IF(NOT(AND(ISNUMBER(C4),ISNUMBER(D4))),"Sem data definida",IF(D4&lt;C4,"⚠ Datas invertidas",IF(TODAY()&lt;C4,IF(C4-TODAY()=1,"Começa amanhã","Começa em "&amp;(C4-TODAY())&amp;" dias"),IF(TODAY()&gt;D4,"Concluídas",IF(TODAY()=D4,"EM FÉRIAS (último dia)","EM FÉRIAS (faltam "&amp;(D4-TODAY())&amp;" dias)"))))))</f>
        <v>Começa em 13 dias</v>
      </c>
      <c r="I4" s="53" t="str">
        <f aca="false">IF(OR(A4="",NOT(AND(ISNUMBER(C4),ISNUMBER(D4)))),"",IF(D4-C4+1&gt;30,"⚠ Período acima de 30 dias",IF(COUNTIFS($B$2:$B$301,B4,$C$2:$C$301,"&lt;="&amp;D4,$D$2:$D$301,"&gt;="&amp;C4)&gt;1,"⚠ Coincide com férias de outro do setor","")))</f>
        <v/>
      </c>
      <c r="K4" s="0" t="str">
        <f aca="true">IF(AND(ISNUMBER(C4),ISNUMBER(D4),C4&lt;=TODAY(),D4&gt;=TODAY()),D4+ROW()/100000,"")</f>
        <v/>
      </c>
      <c r="L4" s="37" t="n">
        <f aca="true">IF(AND(ISNUMBER(C4),C4&gt;TODAY(),C4&lt;=TODAY()+30),C4+ROW()/100000,"")</f>
        <v>46314.00004</v>
      </c>
      <c r="M4" s="0" t="str">
        <f aca="false">IF(AND(ISNUMBER(C4),ISNUMBER(D4),C4&lt;=CALENDÁRIO!$L$4,D4&gt;=CALENDÁRIO!$L$4),ROW(),"")</f>
        <v/>
      </c>
    </row>
    <row r="5" customFormat="false" ht="13.5" hidden="false" customHeight="true" outlineLevel="0" collapsed="false">
      <c r="A5" s="58" t="s">
        <v>85</v>
      </c>
      <c r="B5" s="59" t="s">
        <v>79</v>
      </c>
      <c r="C5" s="60" t="n">
        <v>46360</v>
      </c>
      <c r="D5" s="60" t="n">
        <v>46379</v>
      </c>
      <c r="E5" s="52" t="s">
        <v>86</v>
      </c>
      <c r="F5" s="61" t="n">
        <f aca="false">IF(AND(ISNUMBER(C5),ISNUMBER(D5),D5&gt;=C5),D5-C5+1,"")</f>
        <v>20</v>
      </c>
      <c r="G5" s="62" t="n">
        <f aca="false">IF(AND(ISNUMBER(C5),ISNUMBER(D5),D5&gt;=C5),WORKDAY(D5,1),"")</f>
        <v>46380</v>
      </c>
      <c r="H5" s="53" t="str">
        <f aca="true">IF(A5="","",IF(NOT(AND(ISNUMBER(C5),ISNUMBER(D5))),"Sem data definida",IF(D5&lt;C5,"⚠ Datas invertidas",IF(TODAY()&lt;C5,IF(C5-TODAY()=1,"Começa amanhã","Começa em "&amp;(C5-TODAY())&amp;" dias"),IF(TODAY()&gt;D5,"Concluídas",IF(TODAY()=D5,"EM FÉRIAS (último dia)","EM FÉRIAS (faltam "&amp;(D5-TODAY())&amp;" dias)"))))))</f>
        <v>Começa em 59 dias</v>
      </c>
      <c r="I5" s="53" t="str">
        <f aca="false">IF(OR(A5="",NOT(AND(ISNUMBER(C5),ISNUMBER(D5)))),"",IF(D5-C5+1&gt;30,"⚠ Período acima de 30 dias",IF(COUNTIFS($B$2:$B$301,B5,$C$2:$C$301,"&lt;="&amp;D5,$D$2:$D$301,"&gt;="&amp;C5)&gt;1,"⚠ Coincide com férias de outro do setor","")))</f>
        <v>⚠ Coincide com férias de outro do setor</v>
      </c>
      <c r="K5" s="0" t="str">
        <f aca="true">IF(AND(ISNUMBER(C5),ISNUMBER(D5),C5&lt;=TODAY(),D5&gt;=TODAY()),D5+ROW()/100000,"")</f>
        <v/>
      </c>
      <c r="L5" s="0" t="str">
        <f aca="true">IF(AND(ISNUMBER(C5),C5&gt;TODAY(),C5&lt;=TODAY()+30),C5+ROW()/100000,"")</f>
        <v/>
      </c>
      <c r="M5" s="0" t="str">
        <f aca="false">IF(AND(ISNUMBER(C5),ISNUMBER(D5),C5&lt;=CALENDÁRIO!$L$4,D5&gt;=CALENDÁRIO!$L$4),ROW(),"")</f>
        <v/>
      </c>
    </row>
    <row r="6" customFormat="false" ht="13.5" hidden="false" customHeight="true" outlineLevel="0" collapsed="false">
      <c r="A6" s="58" t="s">
        <v>87</v>
      </c>
      <c r="B6" s="59" t="s">
        <v>79</v>
      </c>
      <c r="C6" s="67"/>
      <c r="D6" s="67"/>
      <c r="E6" s="52" t="s">
        <v>80</v>
      </c>
      <c r="F6" s="61" t="str">
        <f aca="false">IF(AND(ISNUMBER(C6),ISNUMBER(D6),D6&gt;=C6),D6-C6+1,"")</f>
        <v/>
      </c>
      <c r="G6" s="62" t="str">
        <f aca="false">IF(AND(ISNUMBER(C6),ISNUMBER(D6),D6&gt;=C6),WORKDAY(D6,1),"")</f>
        <v/>
      </c>
      <c r="H6" s="53" t="str">
        <f aca="true">IF(A6="","",IF(NOT(AND(ISNUMBER(C6),ISNUMBER(D6))),"Sem data definida",IF(D6&lt;C6,"⚠ Datas invertidas",IF(TODAY()&lt;C6,IF(C6-TODAY()=1,"Começa amanhã","Começa em "&amp;(C6-TODAY())&amp;" dias"),IF(TODAY()&gt;D6,"Concluídas",IF(TODAY()=D6,"EM FÉRIAS (último dia)","EM FÉRIAS (faltam "&amp;(D6-TODAY())&amp;" dias)"))))))</f>
        <v>Sem data definida</v>
      </c>
      <c r="I6" s="53" t="str">
        <f aca="false">IF(OR(A6="",NOT(AND(ISNUMBER(C6),ISNUMBER(D6)))),"",IF(D6-C6+1&gt;30,"⚠ Período acima de 30 dias",IF(COUNTIFS($B$2:$B$301,B6,$C$2:$C$301,"&lt;="&amp;D6,$D$2:$D$301,"&gt;="&amp;C6)&gt;1,"⚠ Coincide com férias de outro do setor","")))</f>
        <v/>
      </c>
      <c r="K6" s="0" t="str">
        <f aca="true">IF(AND(ISNUMBER(C6),ISNUMBER(D6),C6&lt;=TODAY(),D6&gt;=TODAY()),D6+ROW()/100000,"")</f>
        <v/>
      </c>
      <c r="L6" s="0" t="str">
        <f aca="true">IF(AND(ISNUMBER(C6),C6&gt;TODAY(),C6&lt;=TODAY()+30),C6+ROW()/100000,"")</f>
        <v/>
      </c>
      <c r="M6" s="0" t="str">
        <f aca="false">IF(AND(ISNUMBER(C6),ISNUMBER(D6),C6&lt;=CALENDÁRIO!$L$4,D6&gt;=CALENDÁRIO!$L$4),ROW(),"")</f>
        <v/>
      </c>
    </row>
    <row r="7" customFormat="false" ht="23.25" hidden="false" customHeight="true" outlineLevel="0" collapsed="false">
      <c r="A7" s="58" t="s">
        <v>88</v>
      </c>
      <c r="B7" s="59" t="s">
        <v>79</v>
      </c>
      <c r="C7" s="67"/>
      <c r="D7" s="67"/>
      <c r="E7" s="68" t="s">
        <v>89</v>
      </c>
      <c r="F7" s="61" t="str">
        <f aca="false">IF(AND(ISNUMBER(C7),ISNUMBER(D7),D7&gt;=C7),D7-C7+1,"")</f>
        <v/>
      </c>
      <c r="G7" s="62" t="str">
        <f aca="false">IF(AND(ISNUMBER(C7),ISNUMBER(D7),D7&gt;=C7),WORKDAY(D7,1),"")</f>
        <v/>
      </c>
      <c r="H7" s="53" t="str">
        <f aca="true">IF(A7="","",IF(NOT(AND(ISNUMBER(C7),ISNUMBER(D7))),"Sem data definida",IF(D7&lt;C7,"⚠ Datas invertidas",IF(TODAY()&lt;C7,IF(C7-TODAY()=1,"Começa amanhã","Começa em "&amp;(C7-TODAY())&amp;" dias"),IF(TODAY()&gt;D7,"Concluídas",IF(TODAY()=D7,"EM FÉRIAS (último dia)","EM FÉRIAS (faltam "&amp;(D7-TODAY())&amp;" dias)"))))))</f>
        <v>Sem data definida</v>
      </c>
      <c r="I7" s="53" t="str">
        <f aca="false">IF(OR(A7="",NOT(AND(ISNUMBER(C7),ISNUMBER(D7)))),"",IF(D7-C7+1&gt;30,"⚠ Período acima de 30 dias",IF(COUNTIFS($B$2:$B$301,B7,$C$2:$C$301,"&lt;="&amp;D7,$D$2:$D$301,"&gt;="&amp;C7)&gt;1,"⚠ Coincide com férias de outro do setor","")))</f>
        <v/>
      </c>
      <c r="K7" s="0" t="str">
        <f aca="true">IF(AND(ISNUMBER(C7),ISNUMBER(D7),C7&lt;=TODAY(),D7&gt;=TODAY()),D7+ROW()/100000,"")</f>
        <v/>
      </c>
      <c r="L7" s="0" t="str">
        <f aca="true">IF(AND(ISNUMBER(C7),C7&gt;TODAY(),C7&lt;=TODAY()+30),C7+ROW()/100000,"")</f>
        <v/>
      </c>
      <c r="M7" s="0" t="str">
        <f aca="false">IF(AND(ISNUMBER(C7),ISNUMBER(D7),C7&lt;=CALENDÁRIO!$L$4,D7&gt;=CALENDÁRIO!$L$4),ROW(),"")</f>
        <v/>
      </c>
    </row>
    <row r="8" customFormat="false" ht="13.5" hidden="false" customHeight="true" outlineLevel="0" collapsed="false">
      <c r="A8" s="58" t="s">
        <v>90</v>
      </c>
      <c r="B8" s="59" t="s">
        <v>79</v>
      </c>
      <c r="C8" s="67"/>
      <c r="D8" s="67"/>
      <c r="E8" s="63" t="s">
        <v>91</v>
      </c>
      <c r="F8" s="64" t="str">
        <f aca="false">IF(AND(ISNUMBER(C8),ISNUMBER(D8),D8&gt;=C8),D8-C8+1,"")</f>
        <v/>
      </c>
      <c r="G8" s="65" t="str">
        <f aca="false">IF(AND(ISNUMBER(C8),ISNUMBER(D8),D8&gt;=C8),WORKDAY(D8,1),"")</f>
        <v/>
      </c>
      <c r="H8" s="66" t="str">
        <f aca="true">IF(A8="","",IF(NOT(AND(ISNUMBER(C8),ISNUMBER(D8))),"Sem data definida",IF(D8&lt;C8,"⚠ Datas invertidas",IF(TODAY()&lt;C8,IF(C8-TODAY()=1,"Começa amanhã","Começa em "&amp;(C8-TODAY())&amp;" dias"),IF(TODAY()&gt;D8,"Concluídas",IF(TODAY()=D8,"EM FÉRIAS (último dia)","EM FÉRIAS (faltam "&amp;(D8-TODAY())&amp;" dias)"))))))</f>
        <v>Sem data definida</v>
      </c>
      <c r="I8" s="66" t="str">
        <f aca="false">IF(OR(A8="",NOT(AND(ISNUMBER(C8),ISNUMBER(D8)))),"",IF(D8-C8+1&gt;30,"⚠ Período acima de 30 dias",IF(COUNTIFS($B$2:$B$301,B8,$C$2:$C$301,"&lt;="&amp;D8,$D$2:$D$301,"&gt;="&amp;C8)&gt;1,"⚠ Coincide com férias de outro do setor","")))</f>
        <v/>
      </c>
      <c r="K8" s="0" t="str">
        <f aca="true">IF(AND(ISNUMBER(C8),ISNUMBER(D8),C8&lt;=TODAY(),D8&gt;=TODAY()),D8+ROW()/100000,"")</f>
        <v/>
      </c>
      <c r="L8" s="0" t="str">
        <f aca="true">IF(AND(ISNUMBER(C8),C8&gt;TODAY(),C8&lt;=TODAY()+30),C8+ROW()/100000,"")</f>
        <v/>
      </c>
      <c r="M8" s="0" t="str">
        <f aca="false">IF(AND(ISNUMBER(C8),ISNUMBER(D8),C8&lt;=CALENDÁRIO!$L$4,D8&gt;=CALENDÁRIO!$L$4),ROW(),"")</f>
        <v/>
      </c>
    </row>
    <row r="9" customFormat="false" ht="13.5" hidden="false" customHeight="true" outlineLevel="0" collapsed="false">
      <c r="A9" s="58" t="s">
        <v>92</v>
      </c>
      <c r="B9" s="69" t="s">
        <v>82</v>
      </c>
      <c r="C9" s="70" t="n">
        <v>46342</v>
      </c>
      <c r="D9" s="70" t="n">
        <v>46356</v>
      </c>
      <c r="E9" s="52" t="s">
        <v>80</v>
      </c>
      <c r="F9" s="61" t="n">
        <f aca="false">IF(AND(ISNUMBER(C9),ISNUMBER(D9),D9&gt;=C9),D9-C9+1,"")</f>
        <v>15</v>
      </c>
      <c r="G9" s="62" t="n">
        <f aca="false">IF(AND(ISNUMBER(C9),ISNUMBER(D9),D9&gt;=C9),WORKDAY(D9,1),"")</f>
        <v>46357</v>
      </c>
      <c r="H9" s="53" t="str">
        <f aca="true">IF(A9="","",IF(NOT(AND(ISNUMBER(C9),ISNUMBER(D9))),"Sem data definida",IF(D9&lt;C9,"⚠ Datas invertidas",IF(TODAY()&lt;C9,IF(C9-TODAY()=1,"Começa amanhã","Começa em "&amp;(C9-TODAY())&amp;" dias"),IF(TODAY()&gt;D9,"Concluídas",IF(TODAY()=D9,"EM FÉRIAS (último dia)","EM FÉRIAS (faltam "&amp;(D9-TODAY())&amp;" dias)"))))))</f>
        <v>Começa em 41 dias</v>
      </c>
      <c r="I9" s="53" t="str">
        <f aca="false">IF(OR(A9="",NOT(AND(ISNUMBER(C9),ISNUMBER(D9)))),"",IF(D9-C9+1&gt;30,"⚠ Período acima de 30 dias",IF(COUNTIFS($B$2:$B$301,B9,$C$2:$C$301,"&lt;="&amp;D9,$D$2:$D$301,"&gt;="&amp;C9)&gt;1,"⚠ Coincide com férias de outro do setor","")))</f>
        <v>⚠ Coincide com férias de outro do setor</v>
      </c>
      <c r="K9" s="0" t="str">
        <f aca="true">IF(AND(ISNUMBER(C9),ISNUMBER(D9),C9&lt;=TODAY(),D9&gt;=TODAY()),D9+ROW()/100000,"")</f>
        <v/>
      </c>
      <c r="L9" s="0" t="str">
        <f aca="true">IF(AND(ISNUMBER(C9),C9&gt;TODAY(),C9&lt;=TODAY()+30),C9+ROW()/100000,"")</f>
        <v/>
      </c>
      <c r="M9" s="0" t="str">
        <f aca="false">IF(AND(ISNUMBER(C9),ISNUMBER(D9),C9&lt;=CALENDÁRIO!$L$4,D9&gt;=CALENDÁRIO!$L$4),ROW(),"")</f>
        <v/>
      </c>
    </row>
    <row r="10" customFormat="false" ht="13.5" hidden="false" customHeight="true" outlineLevel="0" collapsed="false">
      <c r="A10" s="52"/>
      <c r="B10" s="52"/>
      <c r="C10" s="70"/>
      <c r="D10" s="70"/>
      <c r="E10" s="52"/>
      <c r="F10" s="61" t="str">
        <f aca="false">IF(AND(ISNUMBER(C10),ISNUMBER(D10),D10&gt;=C10),D10-C10+1,"")</f>
        <v/>
      </c>
      <c r="G10" s="62" t="str">
        <f aca="false">IF(AND(ISNUMBER(C10),ISNUMBER(D10),D10&gt;=C10),WORKDAY(D10,1),"")</f>
        <v/>
      </c>
      <c r="H10" s="53" t="str">
        <f aca="true">IF(A10="","",IF(NOT(AND(ISNUMBER(C10),ISNUMBER(D10))),"Sem data definida",IF(D10&lt;C10,"⚠ Datas invertidas",IF(TODAY()&lt;C10,IF(C10-TODAY()=1,"Começa amanhã","Começa em "&amp;(C10-TODAY())&amp;" dias"),IF(TODAY()&gt;D10,"Concluídas",IF(TODAY()=D10,"EM FÉRIAS (último dia)","EM FÉRIAS (faltam "&amp;(D10-TODAY())&amp;" dias)"))))))</f>
        <v/>
      </c>
      <c r="I10" s="53" t="str">
        <f aca="false">IF(OR(A10="",NOT(AND(ISNUMBER(C10),ISNUMBER(D10)))),"",IF(D10-C10+1&gt;30,"⚠ Período acima de 30 dias",IF(COUNTIFS($B$2:$B$301,B10,$C$2:$C$301,"&lt;="&amp;D10,$D$2:$D$301,"&gt;="&amp;C10)&gt;1,"⚠ Coincide com férias de outro do setor","")))</f>
        <v/>
      </c>
      <c r="K10" s="0" t="str">
        <f aca="true">IF(AND(ISNUMBER(C10),ISNUMBER(D10),C10&lt;=TODAY(),D10&gt;=TODAY()),D10+ROW()/100000,"")</f>
        <v/>
      </c>
      <c r="L10" s="0" t="str">
        <f aca="true">IF(AND(ISNUMBER(C10),C10&gt;TODAY(),C10&lt;=TODAY()+30),C10+ROW()/100000,"")</f>
        <v/>
      </c>
      <c r="M10" s="0" t="str">
        <f aca="false">IF(AND(ISNUMBER(C10),ISNUMBER(D10),C10&lt;=CALENDÁRIO!$L$4,D10&gt;=CALENDÁRIO!$L$4),ROW(),"")</f>
        <v/>
      </c>
    </row>
    <row r="11" customFormat="false" ht="13.5" hidden="false" customHeight="true" outlineLevel="0" collapsed="false">
      <c r="A11" s="52"/>
      <c r="B11" s="52"/>
      <c r="C11" s="70"/>
      <c r="D11" s="70"/>
      <c r="E11" s="52"/>
      <c r="F11" s="61" t="str">
        <f aca="false">IF(AND(ISNUMBER(C11),ISNUMBER(D11),D11&gt;=C11),D11-C11+1,"")</f>
        <v/>
      </c>
      <c r="G11" s="62" t="str">
        <f aca="false">IF(AND(ISNUMBER(C11),ISNUMBER(D11),D11&gt;=C11),WORKDAY(D11,1),"")</f>
        <v/>
      </c>
      <c r="H11" s="53" t="str">
        <f aca="true">IF(A11="","",IF(NOT(AND(ISNUMBER(C11),ISNUMBER(D11))),"Sem data definida",IF(D11&lt;C11,"⚠ Datas invertidas",IF(TODAY()&lt;C11,IF(C11-TODAY()=1,"Começa amanhã","Começa em "&amp;(C11-TODAY())&amp;" dias"),IF(TODAY()&gt;D11,"Concluídas",IF(TODAY()=D11,"EM FÉRIAS (último dia)","EM FÉRIAS (faltam "&amp;(D11-TODAY())&amp;" dias)"))))))</f>
        <v/>
      </c>
      <c r="I11" s="53" t="str">
        <f aca="false">IF(OR(A11="",NOT(AND(ISNUMBER(C11),ISNUMBER(D11)))),"",IF(D11-C11+1&gt;30,"⚠ Período acima de 30 dias",IF(COUNTIFS($B$2:$B$301,B11,$C$2:$C$301,"&lt;="&amp;D11,$D$2:$D$301,"&gt;="&amp;C11)&gt;1,"⚠ Coincide com férias de outro do setor","")))</f>
        <v/>
      </c>
      <c r="K11" s="0" t="str">
        <f aca="true">IF(AND(ISNUMBER(C11),ISNUMBER(D11),C11&lt;=TODAY(),D11&gt;=TODAY()),D11+ROW()/100000,"")</f>
        <v/>
      </c>
      <c r="L11" s="0" t="str">
        <f aca="true">IF(AND(ISNUMBER(C11),C11&gt;TODAY(),C11&lt;=TODAY()+30),C11+ROW()/100000,"")</f>
        <v/>
      </c>
      <c r="M11" s="0" t="str">
        <f aca="false">IF(AND(ISNUMBER(C11),ISNUMBER(D11),C11&lt;=CALENDÁRIO!$L$4,D11&gt;=CALENDÁRIO!$L$4),ROW(),"")</f>
        <v/>
      </c>
    </row>
    <row r="12" customFormat="false" ht="13.5" hidden="false" customHeight="true" outlineLevel="0" collapsed="false">
      <c r="A12" s="52"/>
      <c r="B12" s="52"/>
      <c r="C12" s="70"/>
      <c r="D12" s="70"/>
      <c r="E12" s="52"/>
      <c r="F12" s="61" t="str">
        <f aca="false">IF(AND(ISNUMBER(C12),ISNUMBER(D12),D12&gt;=C12),D12-C12+1,"")</f>
        <v/>
      </c>
      <c r="G12" s="62" t="str">
        <f aca="false">IF(AND(ISNUMBER(C12),ISNUMBER(D12),D12&gt;=C12),WORKDAY(D12,1),"")</f>
        <v/>
      </c>
      <c r="H12" s="53" t="str">
        <f aca="true">IF(A12="","",IF(NOT(AND(ISNUMBER(C12),ISNUMBER(D12))),"Sem data definida",IF(D12&lt;C12,"⚠ Datas invertidas",IF(TODAY()&lt;C12,IF(C12-TODAY()=1,"Começa amanhã","Começa em "&amp;(C12-TODAY())&amp;" dias"),IF(TODAY()&gt;D12,"Concluídas",IF(TODAY()=D12,"EM FÉRIAS (último dia)","EM FÉRIAS (faltam "&amp;(D12-TODAY())&amp;" dias)"))))))</f>
        <v/>
      </c>
      <c r="I12" s="53" t="str">
        <f aca="false">IF(OR(A12="",NOT(AND(ISNUMBER(C12),ISNUMBER(D12)))),"",IF(D12-C12+1&gt;30,"⚠ Período acima de 30 dias",IF(COUNTIFS($B$2:$B$301,B12,$C$2:$C$301,"&lt;="&amp;D12,$D$2:$D$301,"&gt;="&amp;C12)&gt;1,"⚠ Coincide com férias de outro do setor","")))</f>
        <v/>
      </c>
      <c r="K12" s="0" t="str">
        <f aca="true">IF(AND(ISNUMBER(C12),ISNUMBER(D12),C12&lt;=TODAY(),D12&gt;=TODAY()),D12+ROW()/100000,"")</f>
        <v/>
      </c>
      <c r="L12" s="0" t="str">
        <f aca="true">IF(AND(ISNUMBER(C12),C12&gt;TODAY(),C12&lt;=TODAY()+30),C12+ROW()/100000,"")</f>
        <v/>
      </c>
      <c r="M12" s="0" t="str">
        <f aca="false">IF(AND(ISNUMBER(C12),ISNUMBER(D12),C12&lt;=CALENDÁRIO!$L$4,D12&gt;=CALENDÁRIO!$L$4),ROW(),"")</f>
        <v/>
      </c>
    </row>
    <row r="13" customFormat="false" ht="13.5" hidden="false" customHeight="true" outlineLevel="0" collapsed="false">
      <c r="A13" s="52"/>
      <c r="B13" s="52"/>
      <c r="C13" s="70"/>
      <c r="D13" s="70"/>
      <c r="E13" s="52"/>
      <c r="F13" s="61" t="str">
        <f aca="false">IF(AND(ISNUMBER(C13),ISNUMBER(D13),D13&gt;=C13),D13-C13+1,"")</f>
        <v/>
      </c>
      <c r="G13" s="62" t="str">
        <f aca="false">IF(AND(ISNUMBER(C13),ISNUMBER(D13),D13&gt;=C13),WORKDAY(D13,1),"")</f>
        <v/>
      </c>
      <c r="H13" s="53" t="str">
        <f aca="true">IF(A13="","",IF(NOT(AND(ISNUMBER(C13),ISNUMBER(D13))),"Sem data definida",IF(D13&lt;C13,"⚠ Datas invertidas",IF(TODAY()&lt;C13,IF(C13-TODAY()=1,"Começa amanhã","Começa em "&amp;(C13-TODAY())&amp;" dias"),IF(TODAY()&gt;D13,"Concluídas",IF(TODAY()=D13,"EM FÉRIAS (último dia)","EM FÉRIAS (faltam "&amp;(D13-TODAY())&amp;" dias)"))))))</f>
        <v/>
      </c>
      <c r="I13" s="53" t="str">
        <f aca="false">IF(OR(A13="",NOT(AND(ISNUMBER(C13),ISNUMBER(D13)))),"",IF(D13-C13+1&gt;30,"⚠ Período acima de 30 dias",IF(COUNTIFS($B$2:$B$301,B13,$C$2:$C$301,"&lt;="&amp;D13,$D$2:$D$301,"&gt;="&amp;C13)&gt;1,"⚠ Coincide com férias de outro do setor","")))</f>
        <v/>
      </c>
      <c r="K13" s="0" t="str">
        <f aca="true">IF(AND(ISNUMBER(C13),ISNUMBER(D13),C13&lt;=TODAY(),D13&gt;=TODAY()),D13+ROW()/100000,"")</f>
        <v/>
      </c>
      <c r="L13" s="0" t="str">
        <f aca="true">IF(AND(ISNUMBER(C13),C13&gt;TODAY(),C13&lt;=TODAY()+30),C13+ROW()/100000,"")</f>
        <v/>
      </c>
      <c r="M13" s="0" t="str">
        <f aca="false">IF(AND(ISNUMBER(C13),ISNUMBER(D13),C13&lt;=CALENDÁRIO!$L$4,D13&gt;=CALENDÁRIO!$L$4),ROW(),"")</f>
        <v/>
      </c>
    </row>
    <row r="14" customFormat="false" ht="13.5" hidden="false" customHeight="true" outlineLevel="0" collapsed="false">
      <c r="A14" s="52"/>
      <c r="B14" s="52"/>
      <c r="C14" s="70"/>
      <c r="D14" s="70"/>
      <c r="E14" s="52"/>
      <c r="F14" s="61" t="str">
        <f aca="false">IF(AND(ISNUMBER(C14),ISNUMBER(D14),D14&gt;=C14),D14-C14+1,"")</f>
        <v/>
      </c>
      <c r="G14" s="62" t="str">
        <f aca="false">IF(AND(ISNUMBER(C14),ISNUMBER(D14),D14&gt;=C14),WORKDAY(D14,1),"")</f>
        <v/>
      </c>
      <c r="H14" s="53" t="str">
        <f aca="true">IF(A14="","",IF(NOT(AND(ISNUMBER(C14),ISNUMBER(D14))),"Sem data definida",IF(D14&lt;C14,"⚠ Datas invertidas",IF(TODAY()&lt;C14,IF(C14-TODAY()=1,"Começa amanhã","Começa em "&amp;(C14-TODAY())&amp;" dias"),IF(TODAY()&gt;D14,"Concluídas",IF(TODAY()=D14,"EM FÉRIAS (último dia)","EM FÉRIAS (faltam "&amp;(D14-TODAY())&amp;" dias)"))))))</f>
        <v/>
      </c>
      <c r="I14" s="53" t="str">
        <f aca="false">IF(OR(A14="",NOT(AND(ISNUMBER(C14),ISNUMBER(D14)))),"",IF(D14-C14+1&gt;30,"⚠ Período acima de 30 dias",IF(COUNTIFS($B$2:$B$301,B14,$C$2:$C$301,"&lt;="&amp;D14,$D$2:$D$301,"&gt;="&amp;C14)&gt;1,"⚠ Coincide com férias de outro do setor","")))</f>
        <v/>
      </c>
      <c r="K14" s="0" t="str">
        <f aca="true">IF(AND(ISNUMBER(C14),ISNUMBER(D14),C14&lt;=TODAY(),D14&gt;=TODAY()),D14+ROW()/100000,"")</f>
        <v/>
      </c>
      <c r="L14" s="0" t="str">
        <f aca="true">IF(AND(ISNUMBER(C14),C14&gt;TODAY(),C14&lt;=TODAY()+30),C14+ROW()/100000,"")</f>
        <v/>
      </c>
      <c r="M14" s="0" t="str">
        <f aca="false">IF(AND(ISNUMBER(C14),ISNUMBER(D14),C14&lt;=CALENDÁRIO!$L$4,D14&gt;=CALENDÁRIO!$L$4),ROW(),"")</f>
        <v/>
      </c>
    </row>
    <row r="15" customFormat="false" ht="13.5" hidden="false" customHeight="true" outlineLevel="0" collapsed="false">
      <c r="A15" s="52"/>
      <c r="B15" s="52"/>
      <c r="C15" s="70"/>
      <c r="D15" s="70"/>
      <c r="E15" s="52"/>
      <c r="F15" s="61" t="str">
        <f aca="false">IF(AND(ISNUMBER(C15),ISNUMBER(D15),D15&gt;=C15),D15-C15+1,"")</f>
        <v/>
      </c>
      <c r="G15" s="62" t="str">
        <f aca="false">IF(AND(ISNUMBER(C15),ISNUMBER(D15),D15&gt;=C15),WORKDAY(D15,1),"")</f>
        <v/>
      </c>
      <c r="H15" s="53" t="str">
        <f aca="true">IF(A15="","",IF(NOT(AND(ISNUMBER(C15),ISNUMBER(D15))),"Sem data definida",IF(D15&lt;C15,"⚠ Datas invertidas",IF(TODAY()&lt;C15,IF(C15-TODAY()=1,"Começa amanhã","Começa em "&amp;(C15-TODAY())&amp;" dias"),IF(TODAY()&gt;D15,"Concluídas",IF(TODAY()=D15,"EM FÉRIAS (último dia)","EM FÉRIAS (faltam "&amp;(D15-TODAY())&amp;" dias)"))))))</f>
        <v/>
      </c>
      <c r="I15" s="53" t="str">
        <f aca="false">IF(OR(A15="",NOT(AND(ISNUMBER(C15),ISNUMBER(D15)))),"",IF(D15-C15+1&gt;30,"⚠ Período acima de 30 dias",IF(COUNTIFS($B$2:$B$301,B15,$C$2:$C$301,"&lt;="&amp;D15,$D$2:$D$301,"&gt;="&amp;C15)&gt;1,"⚠ Coincide com férias de outro do setor","")))</f>
        <v/>
      </c>
      <c r="K15" s="0" t="str">
        <f aca="true">IF(AND(ISNUMBER(C15),ISNUMBER(D15),C15&lt;=TODAY(),D15&gt;=TODAY()),D15+ROW()/100000,"")</f>
        <v/>
      </c>
      <c r="L15" s="0" t="str">
        <f aca="true">IF(AND(ISNUMBER(C15),C15&gt;TODAY(),C15&lt;=TODAY()+30),C15+ROW()/100000,"")</f>
        <v/>
      </c>
      <c r="M15" s="0" t="str">
        <f aca="false">IF(AND(ISNUMBER(C15),ISNUMBER(D15),C15&lt;=CALENDÁRIO!$L$4,D15&gt;=CALENDÁRIO!$L$4),ROW(),"")</f>
        <v/>
      </c>
    </row>
    <row r="16" customFormat="false" ht="13.5" hidden="false" customHeight="true" outlineLevel="0" collapsed="false">
      <c r="A16" s="52"/>
      <c r="B16" s="52"/>
      <c r="C16" s="70"/>
      <c r="D16" s="70"/>
      <c r="E16" s="52"/>
      <c r="F16" s="61" t="str">
        <f aca="false">IF(AND(ISNUMBER(C16),ISNUMBER(D16),D16&gt;=C16),D16-C16+1,"")</f>
        <v/>
      </c>
      <c r="G16" s="62" t="str">
        <f aca="false">IF(AND(ISNUMBER(C16),ISNUMBER(D16),D16&gt;=C16),WORKDAY(D16,1),"")</f>
        <v/>
      </c>
      <c r="H16" s="53" t="str">
        <f aca="true">IF(A16="","",IF(NOT(AND(ISNUMBER(C16),ISNUMBER(D16))),"Sem data definida",IF(D16&lt;C16,"⚠ Datas invertidas",IF(TODAY()&lt;C16,IF(C16-TODAY()=1,"Começa amanhã","Começa em "&amp;(C16-TODAY())&amp;" dias"),IF(TODAY()&gt;D16,"Concluídas",IF(TODAY()=D16,"EM FÉRIAS (último dia)","EM FÉRIAS (faltam "&amp;(D16-TODAY())&amp;" dias)"))))))</f>
        <v/>
      </c>
      <c r="I16" s="53" t="str">
        <f aca="false">IF(OR(A16="",NOT(AND(ISNUMBER(C16),ISNUMBER(D16)))),"",IF(D16-C16+1&gt;30,"⚠ Período acima de 30 dias",IF(COUNTIFS($B$2:$B$301,B16,$C$2:$C$301,"&lt;="&amp;D16,$D$2:$D$301,"&gt;="&amp;C16)&gt;1,"⚠ Coincide com férias de outro do setor","")))</f>
        <v/>
      </c>
      <c r="K16" s="0" t="str">
        <f aca="true">IF(AND(ISNUMBER(C16),ISNUMBER(D16),C16&lt;=TODAY(),D16&gt;=TODAY()),D16+ROW()/100000,"")</f>
        <v/>
      </c>
      <c r="L16" s="0" t="str">
        <f aca="true">IF(AND(ISNUMBER(C16),C16&gt;TODAY(),C16&lt;=TODAY()+30),C16+ROW()/100000,"")</f>
        <v/>
      </c>
      <c r="M16" s="0" t="str">
        <f aca="false">IF(AND(ISNUMBER(C16),ISNUMBER(D16),C16&lt;=CALENDÁRIO!$L$4,D16&gt;=CALENDÁRIO!$L$4),ROW(),"")</f>
        <v/>
      </c>
    </row>
    <row r="17" customFormat="false" ht="13.5" hidden="false" customHeight="true" outlineLevel="0" collapsed="false">
      <c r="A17" s="52"/>
      <c r="B17" s="52"/>
      <c r="C17" s="70"/>
      <c r="D17" s="70"/>
      <c r="E17" s="52"/>
      <c r="F17" s="61" t="str">
        <f aca="false">IF(AND(ISNUMBER(C17),ISNUMBER(D17),D17&gt;=C17),D17-C17+1,"")</f>
        <v/>
      </c>
      <c r="G17" s="62" t="str">
        <f aca="false">IF(AND(ISNUMBER(C17),ISNUMBER(D17),D17&gt;=C17),WORKDAY(D17,1),"")</f>
        <v/>
      </c>
      <c r="H17" s="53" t="str">
        <f aca="true">IF(A17="","",IF(NOT(AND(ISNUMBER(C17),ISNUMBER(D17))),"Sem data definida",IF(D17&lt;C17,"⚠ Datas invertidas",IF(TODAY()&lt;C17,IF(C17-TODAY()=1,"Começa amanhã","Começa em "&amp;(C17-TODAY())&amp;" dias"),IF(TODAY()&gt;D17,"Concluídas",IF(TODAY()=D17,"EM FÉRIAS (último dia)","EM FÉRIAS (faltam "&amp;(D17-TODAY())&amp;" dias)"))))))</f>
        <v/>
      </c>
      <c r="I17" s="53" t="str">
        <f aca="false">IF(OR(A17="",NOT(AND(ISNUMBER(C17),ISNUMBER(D17)))),"",IF(D17-C17+1&gt;30,"⚠ Período acima de 30 dias",IF(COUNTIFS($B$2:$B$301,B17,$C$2:$C$301,"&lt;="&amp;D17,$D$2:$D$301,"&gt;="&amp;C17)&gt;1,"⚠ Coincide com férias de outro do setor","")))</f>
        <v/>
      </c>
      <c r="K17" s="0" t="str">
        <f aca="true">IF(AND(ISNUMBER(C17),ISNUMBER(D17),C17&lt;=TODAY(),D17&gt;=TODAY()),D17+ROW()/100000,"")</f>
        <v/>
      </c>
      <c r="L17" s="0" t="str">
        <f aca="true">IF(AND(ISNUMBER(C17),C17&gt;TODAY(),C17&lt;=TODAY()+30),C17+ROW()/100000,"")</f>
        <v/>
      </c>
      <c r="M17" s="0" t="str">
        <f aca="false">IF(AND(ISNUMBER(C17),ISNUMBER(D17),C17&lt;=CALENDÁRIO!$L$4,D17&gt;=CALENDÁRIO!$L$4),ROW(),"")</f>
        <v/>
      </c>
    </row>
    <row r="18" customFormat="false" ht="13.5" hidden="false" customHeight="true" outlineLevel="0" collapsed="false">
      <c r="A18" s="52"/>
      <c r="B18" s="52"/>
      <c r="C18" s="70"/>
      <c r="D18" s="70"/>
      <c r="E18" s="52"/>
      <c r="F18" s="61" t="str">
        <f aca="false">IF(AND(ISNUMBER(C18),ISNUMBER(D18),D18&gt;=C18),D18-C18+1,"")</f>
        <v/>
      </c>
      <c r="G18" s="62" t="str">
        <f aca="false">IF(AND(ISNUMBER(C18),ISNUMBER(D18),D18&gt;=C18),WORKDAY(D18,1),"")</f>
        <v/>
      </c>
      <c r="H18" s="53" t="str">
        <f aca="true">IF(A18="","",IF(NOT(AND(ISNUMBER(C18),ISNUMBER(D18))),"Sem data definida",IF(D18&lt;C18,"⚠ Datas invertidas",IF(TODAY()&lt;C18,IF(C18-TODAY()=1,"Começa amanhã","Começa em "&amp;(C18-TODAY())&amp;" dias"),IF(TODAY()&gt;D18,"Concluídas",IF(TODAY()=D18,"EM FÉRIAS (último dia)","EM FÉRIAS (faltam "&amp;(D18-TODAY())&amp;" dias)"))))))</f>
        <v/>
      </c>
      <c r="I18" s="53" t="str">
        <f aca="false">IF(OR(A18="",NOT(AND(ISNUMBER(C18),ISNUMBER(D18)))),"",IF(D18-C18+1&gt;30,"⚠ Período acima de 30 dias",IF(COUNTIFS($B$2:$B$301,B18,$C$2:$C$301,"&lt;="&amp;D18,$D$2:$D$301,"&gt;="&amp;C18)&gt;1,"⚠ Coincide com férias de outro do setor","")))</f>
        <v/>
      </c>
      <c r="K18" s="0" t="str">
        <f aca="true">IF(AND(ISNUMBER(C18),ISNUMBER(D18),C18&lt;=TODAY(),D18&gt;=TODAY()),D18+ROW()/100000,"")</f>
        <v/>
      </c>
      <c r="L18" s="0" t="str">
        <f aca="true">IF(AND(ISNUMBER(C18),C18&gt;TODAY(),C18&lt;=TODAY()+30),C18+ROW()/100000,"")</f>
        <v/>
      </c>
      <c r="M18" s="0" t="str">
        <f aca="false">IF(AND(ISNUMBER(C18),ISNUMBER(D18),C18&lt;=CALENDÁRIO!$L$4,D18&gt;=CALENDÁRIO!$L$4),ROW(),"")</f>
        <v/>
      </c>
    </row>
    <row r="19" customFormat="false" ht="13.5" hidden="false" customHeight="true" outlineLevel="0" collapsed="false">
      <c r="A19" s="52"/>
      <c r="B19" s="52"/>
      <c r="C19" s="70"/>
      <c r="D19" s="70"/>
      <c r="E19" s="52"/>
      <c r="F19" s="61" t="str">
        <f aca="false">IF(AND(ISNUMBER(C19),ISNUMBER(D19),D19&gt;=C19),D19-C19+1,"")</f>
        <v/>
      </c>
      <c r="G19" s="62" t="str">
        <f aca="false">IF(AND(ISNUMBER(C19),ISNUMBER(D19),D19&gt;=C19),WORKDAY(D19,1),"")</f>
        <v/>
      </c>
      <c r="H19" s="53" t="str">
        <f aca="true">IF(A19="","",IF(NOT(AND(ISNUMBER(C19),ISNUMBER(D19))),"Sem data definida",IF(D19&lt;C19,"⚠ Datas invertidas",IF(TODAY()&lt;C19,IF(C19-TODAY()=1,"Começa amanhã","Começa em "&amp;(C19-TODAY())&amp;" dias"),IF(TODAY()&gt;D19,"Concluídas",IF(TODAY()=D19,"EM FÉRIAS (último dia)","EM FÉRIAS (faltam "&amp;(D19-TODAY())&amp;" dias)"))))))</f>
        <v/>
      </c>
      <c r="I19" s="53" t="str">
        <f aca="false">IF(OR(A19="",NOT(AND(ISNUMBER(C19),ISNUMBER(D19)))),"",IF(D19-C19+1&gt;30,"⚠ Período acima de 30 dias",IF(COUNTIFS($B$2:$B$301,B19,$C$2:$C$301,"&lt;="&amp;D19,$D$2:$D$301,"&gt;="&amp;C19)&gt;1,"⚠ Coincide com férias de outro do setor","")))</f>
        <v/>
      </c>
      <c r="K19" s="0" t="str">
        <f aca="true">IF(AND(ISNUMBER(C19),ISNUMBER(D19),C19&lt;=TODAY(),D19&gt;=TODAY()),D19+ROW()/100000,"")</f>
        <v/>
      </c>
      <c r="L19" s="0" t="str">
        <f aca="true">IF(AND(ISNUMBER(C19),C19&gt;TODAY(),C19&lt;=TODAY()+30),C19+ROW()/100000,"")</f>
        <v/>
      </c>
      <c r="M19" s="0" t="str">
        <f aca="false">IF(AND(ISNUMBER(C19),ISNUMBER(D19),C19&lt;=CALENDÁRIO!$L$4,D19&gt;=CALENDÁRIO!$L$4),ROW(),"")</f>
        <v/>
      </c>
    </row>
    <row r="20" customFormat="false" ht="13.5" hidden="false" customHeight="true" outlineLevel="0" collapsed="false">
      <c r="A20" s="52"/>
      <c r="B20" s="52"/>
      <c r="C20" s="70"/>
      <c r="D20" s="70"/>
      <c r="E20" s="52"/>
      <c r="F20" s="61" t="str">
        <f aca="false">IF(AND(ISNUMBER(C20),ISNUMBER(D20),D20&gt;=C20),D20-C20+1,"")</f>
        <v/>
      </c>
      <c r="G20" s="62" t="str">
        <f aca="false">IF(AND(ISNUMBER(C20),ISNUMBER(D20),D20&gt;=C20),WORKDAY(D20,1),"")</f>
        <v/>
      </c>
      <c r="H20" s="53" t="str">
        <f aca="true">IF(A20="","",IF(NOT(AND(ISNUMBER(C20),ISNUMBER(D20))),"Sem data definida",IF(D20&lt;C20,"⚠ Datas invertidas",IF(TODAY()&lt;C20,IF(C20-TODAY()=1,"Começa amanhã","Começa em "&amp;(C20-TODAY())&amp;" dias"),IF(TODAY()&gt;D20,"Concluídas",IF(TODAY()=D20,"EM FÉRIAS (último dia)","EM FÉRIAS (faltam "&amp;(D20-TODAY())&amp;" dias)"))))))</f>
        <v/>
      </c>
      <c r="I20" s="53" t="str">
        <f aca="false">IF(OR(A20="",NOT(AND(ISNUMBER(C20),ISNUMBER(D20)))),"",IF(D20-C20+1&gt;30,"⚠ Período acima de 30 dias",IF(COUNTIFS($B$2:$B$301,B20,$C$2:$C$301,"&lt;="&amp;D20,$D$2:$D$301,"&gt;="&amp;C20)&gt;1,"⚠ Coincide com férias de outro do setor","")))</f>
        <v/>
      </c>
      <c r="K20" s="0" t="str">
        <f aca="true">IF(AND(ISNUMBER(C20),ISNUMBER(D20),C20&lt;=TODAY(),D20&gt;=TODAY()),D20+ROW()/100000,"")</f>
        <v/>
      </c>
      <c r="L20" s="0" t="str">
        <f aca="true">IF(AND(ISNUMBER(C20),C20&gt;TODAY(),C20&lt;=TODAY()+30),C20+ROW()/100000,"")</f>
        <v/>
      </c>
      <c r="M20" s="0" t="str">
        <f aca="false">IF(AND(ISNUMBER(C20),ISNUMBER(D20),C20&lt;=CALENDÁRIO!$L$4,D20&gt;=CALENDÁRIO!$L$4),ROW(),"")</f>
        <v/>
      </c>
    </row>
    <row r="21" customFormat="false" ht="13.5" hidden="false" customHeight="true" outlineLevel="0" collapsed="false">
      <c r="A21" s="52"/>
      <c r="B21" s="52"/>
      <c r="C21" s="70"/>
      <c r="D21" s="70"/>
      <c r="E21" s="52"/>
      <c r="F21" s="61" t="str">
        <f aca="false">IF(AND(ISNUMBER(C21),ISNUMBER(D21),D21&gt;=C21),D21-C21+1,"")</f>
        <v/>
      </c>
      <c r="G21" s="62" t="str">
        <f aca="false">IF(AND(ISNUMBER(C21),ISNUMBER(D21),D21&gt;=C21),WORKDAY(D21,1),"")</f>
        <v/>
      </c>
      <c r="H21" s="53" t="str">
        <f aca="true">IF(A21="","",IF(NOT(AND(ISNUMBER(C21),ISNUMBER(D21))),"Sem data definida",IF(D21&lt;C21,"⚠ Datas invertidas",IF(TODAY()&lt;C21,IF(C21-TODAY()=1,"Começa amanhã","Começa em "&amp;(C21-TODAY())&amp;" dias"),IF(TODAY()&gt;D21,"Concluídas",IF(TODAY()=D21,"EM FÉRIAS (último dia)","EM FÉRIAS (faltam "&amp;(D21-TODAY())&amp;" dias)"))))))</f>
        <v/>
      </c>
      <c r="I21" s="53" t="str">
        <f aca="false">IF(OR(A21="",NOT(AND(ISNUMBER(C21),ISNUMBER(D21)))),"",IF(D21-C21+1&gt;30,"⚠ Período acima de 30 dias",IF(COUNTIFS($B$2:$B$301,B21,$C$2:$C$301,"&lt;="&amp;D21,$D$2:$D$301,"&gt;="&amp;C21)&gt;1,"⚠ Coincide com férias de outro do setor","")))</f>
        <v/>
      </c>
      <c r="K21" s="0" t="str">
        <f aca="true">IF(AND(ISNUMBER(C21),ISNUMBER(D21),C21&lt;=TODAY(),D21&gt;=TODAY()),D21+ROW()/100000,"")</f>
        <v/>
      </c>
      <c r="L21" s="0" t="str">
        <f aca="true">IF(AND(ISNUMBER(C21),C21&gt;TODAY(),C21&lt;=TODAY()+30),C21+ROW()/100000,"")</f>
        <v/>
      </c>
      <c r="M21" s="0" t="str">
        <f aca="false">IF(AND(ISNUMBER(C21),ISNUMBER(D21),C21&lt;=CALENDÁRIO!$L$4,D21&gt;=CALENDÁRIO!$L$4),ROW(),"")</f>
        <v/>
      </c>
    </row>
    <row r="22" customFormat="false" ht="13.5" hidden="false" customHeight="true" outlineLevel="0" collapsed="false">
      <c r="A22" s="52"/>
      <c r="B22" s="52"/>
      <c r="C22" s="70"/>
      <c r="D22" s="70"/>
      <c r="E22" s="52"/>
      <c r="F22" s="61" t="str">
        <f aca="false">IF(AND(ISNUMBER(C22),ISNUMBER(D22),D22&gt;=C22),D22-C22+1,"")</f>
        <v/>
      </c>
      <c r="G22" s="62" t="str">
        <f aca="false">IF(AND(ISNUMBER(C22),ISNUMBER(D22),D22&gt;=C22),WORKDAY(D22,1),"")</f>
        <v/>
      </c>
      <c r="H22" s="53" t="str">
        <f aca="true">IF(A22="","",IF(NOT(AND(ISNUMBER(C22),ISNUMBER(D22))),"Sem data definida",IF(D22&lt;C22,"⚠ Datas invertidas",IF(TODAY()&lt;C22,IF(C22-TODAY()=1,"Começa amanhã","Começa em "&amp;(C22-TODAY())&amp;" dias"),IF(TODAY()&gt;D22,"Concluídas",IF(TODAY()=D22,"EM FÉRIAS (último dia)","EM FÉRIAS (faltam "&amp;(D22-TODAY())&amp;" dias)"))))))</f>
        <v/>
      </c>
      <c r="I22" s="53" t="str">
        <f aca="false">IF(OR(A22="",NOT(AND(ISNUMBER(C22),ISNUMBER(D22)))),"",IF(D22-C22+1&gt;30,"⚠ Período acima de 30 dias",IF(COUNTIFS($B$2:$B$301,B22,$C$2:$C$301,"&lt;="&amp;D22,$D$2:$D$301,"&gt;="&amp;C22)&gt;1,"⚠ Coincide com férias de outro do setor","")))</f>
        <v/>
      </c>
      <c r="K22" s="0" t="str">
        <f aca="true">IF(AND(ISNUMBER(C22),ISNUMBER(D22),C22&lt;=TODAY(),D22&gt;=TODAY()),D22+ROW()/100000,"")</f>
        <v/>
      </c>
      <c r="L22" s="0" t="str">
        <f aca="true">IF(AND(ISNUMBER(C22),C22&gt;TODAY(),C22&lt;=TODAY()+30),C22+ROW()/100000,"")</f>
        <v/>
      </c>
      <c r="M22" s="0" t="str">
        <f aca="false">IF(AND(ISNUMBER(C22),ISNUMBER(D22),C22&lt;=CALENDÁRIO!$L$4,D22&gt;=CALENDÁRIO!$L$4),ROW(),"")</f>
        <v/>
      </c>
    </row>
    <row r="23" customFormat="false" ht="13.5" hidden="false" customHeight="true" outlineLevel="0" collapsed="false">
      <c r="A23" s="52"/>
      <c r="B23" s="52"/>
      <c r="C23" s="70"/>
      <c r="D23" s="70"/>
      <c r="E23" s="52"/>
      <c r="F23" s="61" t="str">
        <f aca="false">IF(AND(ISNUMBER(C23),ISNUMBER(D23),D23&gt;=C23),D23-C23+1,"")</f>
        <v/>
      </c>
      <c r="G23" s="62" t="str">
        <f aca="false">IF(AND(ISNUMBER(C23),ISNUMBER(D23),D23&gt;=C23),WORKDAY(D23,1),"")</f>
        <v/>
      </c>
      <c r="H23" s="53" t="str">
        <f aca="true">IF(A23="","",IF(NOT(AND(ISNUMBER(C23),ISNUMBER(D23))),"Sem data definida",IF(D23&lt;C23,"⚠ Datas invertidas",IF(TODAY()&lt;C23,IF(C23-TODAY()=1,"Começa amanhã","Começa em "&amp;(C23-TODAY())&amp;" dias"),IF(TODAY()&gt;D23,"Concluídas",IF(TODAY()=D23,"EM FÉRIAS (último dia)","EM FÉRIAS (faltam "&amp;(D23-TODAY())&amp;" dias)"))))))</f>
        <v/>
      </c>
      <c r="I23" s="53" t="str">
        <f aca="false">IF(OR(A23="",NOT(AND(ISNUMBER(C23),ISNUMBER(D23)))),"",IF(D23-C23+1&gt;30,"⚠ Período acima de 30 dias",IF(COUNTIFS($B$2:$B$301,B23,$C$2:$C$301,"&lt;="&amp;D23,$D$2:$D$301,"&gt;="&amp;C23)&gt;1,"⚠ Coincide com férias de outro do setor","")))</f>
        <v/>
      </c>
      <c r="K23" s="0" t="str">
        <f aca="true">IF(AND(ISNUMBER(C23),ISNUMBER(D23),C23&lt;=TODAY(),D23&gt;=TODAY()),D23+ROW()/100000,"")</f>
        <v/>
      </c>
      <c r="L23" s="0" t="str">
        <f aca="true">IF(AND(ISNUMBER(C23),C23&gt;TODAY(),C23&lt;=TODAY()+30),C23+ROW()/100000,"")</f>
        <v/>
      </c>
      <c r="M23" s="0" t="str">
        <f aca="false">IF(AND(ISNUMBER(C23),ISNUMBER(D23),C23&lt;=CALENDÁRIO!$L$4,D23&gt;=CALENDÁRIO!$L$4),ROW(),"")</f>
        <v/>
      </c>
    </row>
    <row r="24" customFormat="false" ht="13.5" hidden="false" customHeight="true" outlineLevel="0" collapsed="false">
      <c r="A24" s="52"/>
      <c r="B24" s="52"/>
      <c r="C24" s="70"/>
      <c r="D24" s="70"/>
      <c r="E24" s="52"/>
      <c r="F24" s="61" t="str">
        <f aca="false">IF(AND(ISNUMBER(C24),ISNUMBER(D24),D24&gt;=C24),D24-C24+1,"")</f>
        <v/>
      </c>
      <c r="G24" s="62" t="str">
        <f aca="false">IF(AND(ISNUMBER(C24),ISNUMBER(D24),D24&gt;=C24),WORKDAY(D24,1),"")</f>
        <v/>
      </c>
      <c r="H24" s="53" t="str">
        <f aca="true">IF(A24="","",IF(NOT(AND(ISNUMBER(C24),ISNUMBER(D24))),"Sem data definida",IF(D24&lt;C24,"⚠ Datas invertidas",IF(TODAY()&lt;C24,IF(C24-TODAY()=1,"Começa amanhã","Começa em "&amp;(C24-TODAY())&amp;" dias"),IF(TODAY()&gt;D24,"Concluídas",IF(TODAY()=D24,"EM FÉRIAS (último dia)","EM FÉRIAS (faltam "&amp;(D24-TODAY())&amp;" dias)"))))))</f>
        <v/>
      </c>
      <c r="I24" s="53" t="str">
        <f aca="false">IF(OR(A24="",NOT(AND(ISNUMBER(C24),ISNUMBER(D24)))),"",IF(D24-C24+1&gt;30,"⚠ Período acima de 30 dias",IF(COUNTIFS($B$2:$B$301,B24,$C$2:$C$301,"&lt;="&amp;D24,$D$2:$D$301,"&gt;="&amp;C24)&gt;1,"⚠ Coincide com férias de outro do setor","")))</f>
        <v/>
      </c>
      <c r="K24" s="0" t="str">
        <f aca="true">IF(AND(ISNUMBER(C24),ISNUMBER(D24),C24&lt;=TODAY(),D24&gt;=TODAY()),D24+ROW()/100000,"")</f>
        <v/>
      </c>
      <c r="L24" s="0" t="str">
        <f aca="true">IF(AND(ISNUMBER(C24),C24&gt;TODAY(),C24&lt;=TODAY()+30),C24+ROW()/100000,"")</f>
        <v/>
      </c>
      <c r="M24" s="0" t="str">
        <f aca="false">IF(AND(ISNUMBER(C24),ISNUMBER(D24),C24&lt;=CALENDÁRIO!$L$4,D24&gt;=CALENDÁRIO!$L$4),ROW(),"")</f>
        <v/>
      </c>
    </row>
    <row r="25" customFormat="false" ht="13.5" hidden="false" customHeight="true" outlineLevel="0" collapsed="false">
      <c r="A25" s="52"/>
      <c r="B25" s="52"/>
      <c r="C25" s="70"/>
      <c r="D25" s="70"/>
      <c r="E25" s="52"/>
      <c r="F25" s="61" t="str">
        <f aca="false">IF(AND(ISNUMBER(C25),ISNUMBER(D25),D25&gt;=C25),D25-C25+1,"")</f>
        <v/>
      </c>
      <c r="G25" s="62" t="str">
        <f aca="false">IF(AND(ISNUMBER(C25),ISNUMBER(D25),D25&gt;=C25),WORKDAY(D25,1),"")</f>
        <v/>
      </c>
      <c r="H25" s="53" t="str">
        <f aca="true">IF(A25="","",IF(NOT(AND(ISNUMBER(C25),ISNUMBER(D25))),"Sem data definida",IF(D25&lt;C25,"⚠ Datas invertidas",IF(TODAY()&lt;C25,IF(C25-TODAY()=1,"Começa amanhã","Começa em "&amp;(C25-TODAY())&amp;" dias"),IF(TODAY()&gt;D25,"Concluídas",IF(TODAY()=D25,"EM FÉRIAS (último dia)","EM FÉRIAS (faltam "&amp;(D25-TODAY())&amp;" dias)"))))))</f>
        <v/>
      </c>
      <c r="I25" s="53" t="str">
        <f aca="false">IF(OR(A25="",NOT(AND(ISNUMBER(C25),ISNUMBER(D25)))),"",IF(D25-C25+1&gt;30,"⚠ Período acima de 30 dias",IF(COUNTIFS($B$2:$B$301,B25,$C$2:$C$301,"&lt;="&amp;D25,$D$2:$D$301,"&gt;="&amp;C25)&gt;1,"⚠ Coincide com férias de outro do setor","")))</f>
        <v/>
      </c>
      <c r="K25" s="0" t="str">
        <f aca="true">IF(AND(ISNUMBER(C25),ISNUMBER(D25),C25&lt;=TODAY(),D25&gt;=TODAY()),D25+ROW()/100000,"")</f>
        <v/>
      </c>
      <c r="L25" s="0" t="str">
        <f aca="true">IF(AND(ISNUMBER(C25),C25&gt;TODAY(),C25&lt;=TODAY()+30),C25+ROW()/100000,"")</f>
        <v/>
      </c>
      <c r="M25" s="0" t="str">
        <f aca="false">IF(AND(ISNUMBER(C25),ISNUMBER(D25),C25&lt;=CALENDÁRIO!$L$4,D25&gt;=CALENDÁRIO!$L$4),ROW(),"")</f>
        <v/>
      </c>
    </row>
    <row r="26" customFormat="false" ht="13.5" hidden="false" customHeight="true" outlineLevel="0" collapsed="false">
      <c r="A26" s="52"/>
      <c r="B26" s="52"/>
      <c r="C26" s="70"/>
      <c r="D26" s="70"/>
      <c r="E26" s="52"/>
      <c r="F26" s="61" t="str">
        <f aca="false">IF(AND(ISNUMBER(C26),ISNUMBER(D26),D26&gt;=C26),D26-C26+1,"")</f>
        <v/>
      </c>
      <c r="G26" s="62" t="str">
        <f aca="false">IF(AND(ISNUMBER(C26),ISNUMBER(D26),D26&gt;=C26),WORKDAY(D26,1),"")</f>
        <v/>
      </c>
      <c r="H26" s="53" t="str">
        <f aca="true">IF(A26="","",IF(NOT(AND(ISNUMBER(C26),ISNUMBER(D26))),"Sem data definida",IF(D26&lt;C26,"⚠ Datas invertidas",IF(TODAY()&lt;C26,IF(C26-TODAY()=1,"Começa amanhã","Começa em "&amp;(C26-TODAY())&amp;" dias"),IF(TODAY()&gt;D26,"Concluídas",IF(TODAY()=D26,"EM FÉRIAS (último dia)","EM FÉRIAS (faltam "&amp;(D26-TODAY())&amp;" dias)"))))))</f>
        <v/>
      </c>
      <c r="I26" s="53" t="str">
        <f aca="false">IF(OR(A26="",NOT(AND(ISNUMBER(C26),ISNUMBER(D26)))),"",IF(D26-C26+1&gt;30,"⚠ Período acima de 30 dias",IF(COUNTIFS($B$2:$B$301,B26,$C$2:$C$301,"&lt;="&amp;D26,$D$2:$D$301,"&gt;="&amp;C26)&gt;1,"⚠ Coincide com férias de outro do setor","")))</f>
        <v/>
      </c>
      <c r="K26" s="0" t="str">
        <f aca="true">IF(AND(ISNUMBER(C26),ISNUMBER(D26),C26&lt;=TODAY(),D26&gt;=TODAY()),D26+ROW()/100000,"")</f>
        <v/>
      </c>
      <c r="L26" s="0" t="str">
        <f aca="true">IF(AND(ISNUMBER(C26),C26&gt;TODAY(),C26&lt;=TODAY()+30),C26+ROW()/100000,"")</f>
        <v/>
      </c>
      <c r="M26" s="0" t="str">
        <f aca="false">IF(AND(ISNUMBER(C26),ISNUMBER(D26),C26&lt;=CALENDÁRIO!$L$4,D26&gt;=CALENDÁRIO!$L$4),ROW(),"")</f>
        <v/>
      </c>
    </row>
    <row r="27" customFormat="false" ht="13.5" hidden="false" customHeight="true" outlineLevel="0" collapsed="false">
      <c r="A27" s="52"/>
      <c r="B27" s="52"/>
      <c r="C27" s="70"/>
      <c r="D27" s="70"/>
      <c r="E27" s="52"/>
      <c r="F27" s="61" t="str">
        <f aca="false">IF(AND(ISNUMBER(C27),ISNUMBER(D27),D27&gt;=C27),D27-C27+1,"")</f>
        <v/>
      </c>
      <c r="G27" s="62" t="str">
        <f aca="false">IF(AND(ISNUMBER(C27),ISNUMBER(D27),D27&gt;=C27),WORKDAY(D27,1),"")</f>
        <v/>
      </c>
      <c r="H27" s="53" t="str">
        <f aca="true">IF(A27="","",IF(NOT(AND(ISNUMBER(C27),ISNUMBER(D27))),"Sem data definida",IF(D27&lt;C27,"⚠ Datas invertidas",IF(TODAY()&lt;C27,IF(C27-TODAY()=1,"Começa amanhã","Começa em "&amp;(C27-TODAY())&amp;" dias"),IF(TODAY()&gt;D27,"Concluídas",IF(TODAY()=D27,"EM FÉRIAS (último dia)","EM FÉRIAS (faltam "&amp;(D27-TODAY())&amp;" dias)"))))))</f>
        <v/>
      </c>
      <c r="I27" s="53" t="str">
        <f aca="false">IF(OR(A27="",NOT(AND(ISNUMBER(C27),ISNUMBER(D27)))),"",IF(D27-C27+1&gt;30,"⚠ Período acima de 30 dias",IF(COUNTIFS($B$2:$B$301,B27,$C$2:$C$301,"&lt;="&amp;D27,$D$2:$D$301,"&gt;="&amp;C27)&gt;1,"⚠ Coincide com férias de outro do setor","")))</f>
        <v/>
      </c>
      <c r="K27" s="0" t="str">
        <f aca="true">IF(AND(ISNUMBER(C27),ISNUMBER(D27),C27&lt;=TODAY(),D27&gt;=TODAY()),D27+ROW()/100000,"")</f>
        <v/>
      </c>
      <c r="L27" s="0" t="str">
        <f aca="true">IF(AND(ISNUMBER(C27),C27&gt;TODAY(),C27&lt;=TODAY()+30),C27+ROW()/100000,"")</f>
        <v/>
      </c>
      <c r="M27" s="0" t="str">
        <f aca="false">IF(AND(ISNUMBER(C27),ISNUMBER(D27),C27&lt;=CALENDÁRIO!$L$4,D27&gt;=CALENDÁRIO!$L$4),ROW(),"")</f>
        <v/>
      </c>
    </row>
    <row r="28" customFormat="false" ht="15" hidden="false" customHeight="true" outlineLevel="0" collapsed="false">
      <c r="A28" s="52"/>
      <c r="B28" s="52"/>
      <c r="C28" s="51"/>
      <c r="D28" s="51"/>
      <c r="E28" s="52"/>
      <c r="F28" s="61" t="str">
        <f aca="false">IF(AND(ISNUMBER(C28),ISNUMBER(D28),D28&gt;=C28),D28-C28+1,"")</f>
        <v/>
      </c>
      <c r="G28" s="62" t="str">
        <f aca="false">IF(AND(ISNUMBER(C28),ISNUMBER(D28),D28&gt;=C28),WORKDAY(D28,1),"")</f>
        <v/>
      </c>
      <c r="H28" s="53" t="str">
        <f aca="true">IF(A28="","",IF(NOT(AND(ISNUMBER(C28),ISNUMBER(D28))),"Sem data definida",IF(D28&lt;C28,"⚠ Datas invertidas",IF(TODAY()&lt;C28,IF(C28-TODAY()=1,"Começa amanhã","Começa em "&amp;(C28-TODAY())&amp;" dias"),IF(TODAY()&gt;D28,"Concluídas",IF(TODAY()=D28,"EM FÉRIAS (último dia)","EM FÉRIAS (faltam "&amp;(D28-TODAY())&amp;" dias)"))))))</f>
        <v/>
      </c>
      <c r="I28" s="53" t="str">
        <f aca="false">IF(OR(A28="",NOT(AND(ISNUMBER(C28),ISNUMBER(D28)))),"",IF(D28-C28+1&gt;30,"⚠ Período acima de 30 dias",IF(COUNTIFS($B$2:$B$301,B28,$C$2:$C$301,"&lt;="&amp;D28,$D$2:$D$301,"&gt;="&amp;C28)&gt;1,"⚠ Coincide com férias de outro do setor","")))</f>
        <v/>
      </c>
      <c r="K28" s="0" t="str">
        <f aca="true">IF(AND(ISNUMBER(C28),ISNUMBER(D28),C28&lt;=TODAY(),D28&gt;=TODAY()),D28+ROW()/100000,"")</f>
        <v/>
      </c>
      <c r="L28" s="0" t="str">
        <f aca="true">IF(AND(ISNUMBER(C28),C28&gt;TODAY(),C28&lt;=TODAY()+30),C28+ROW()/100000,"")</f>
        <v/>
      </c>
      <c r="M28" s="0" t="str">
        <f aca="false">IF(AND(ISNUMBER(C28),ISNUMBER(D28),C28&lt;=CALENDÁRIO!$L$4,D28&gt;=CALENDÁRIO!$L$4),ROW(),"")</f>
        <v/>
      </c>
    </row>
    <row r="29" customFormat="false" ht="15" hidden="false" customHeight="true" outlineLevel="0" collapsed="false">
      <c r="A29" s="52"/>
      <c r="B29" s="52"/>
      <c r="C29" s="51"/>
      <c r="D29" s="51"/>
      <c r="E29" s="52"/>
      <c r="F29" s="61" t="str">
        <f aca="false">IF(AND(ISNUMBER(C29),ISNUMBER(D29),D29&gt;=C29),D29-C29+1,"")</f>
        <v/>
      </c>
      <c r="G29" s="62" t="str">
        <f aca="false">IF(AND(ISNUMBER(C29),ISNUMBER(D29),D29&gt;=C29),WORKDAY(D29,1),"")</f>
        <v/>
      </c>
      <c r="H29" s="53" t="str">
        <f aca="true">IF(A29="","",IF(NOT(AND(ISNUMBER(C29),ISNUMBER(D29))),"Sem data definida",IF(D29&lt;C29,"⚠ Datas invertidas",IF(TODAY()&lt;C29,IF(C29-TODAY()=1,"Começa amanhã","Começa em "&amp;(C29-TODAY())&amp;" dias"),IF(TODAY()&gt;D29,"Concluídas",IF(TODAY()=D29,"EM FÉRIAS (último dia)","EM FÉRIAS (faltam "&amp;(D29-TODAY())&amp;" dias)"))))))</f>
        <v/>
      </c>
      <c r="I29" s="53" t="str">
        <f aca="false">IF(OR(A29="",NOT(AND(ISNUMBER(C29),ISNUMBER(D29)))),"",IF(D29-C29+1&gt;30,"⚠ Período acima de 30 dias",IF(COUNTIFS($B$2:$B$301,B29,$C$2:$C$301,"&lt;="&amp;D29,$D$2:$D$301,"&gt;="&amp;C29)&gt;1,"⚠ Coincide com férias de outro do setor","")))</f>
        <v/>
      </c>
      <c r="K29" s="0" t="str">
        <f aca="true">IF(AND(ISNUMBER(C29),ISNUMBER(D29),C29&lt;=TODAY(),D29&gt;=TODAY()),D29+ROW()/100000,"")</f>
        <v/>
      </c>
      <c r="L29" s="0" t="str">
        <f aca="true">IF(AND(ISNUMBER(C29),C29&gt;TODAY(),C29&lt;=TODAY()+30),C29+ROW()/100000,"")</f>
        <v/>
      </c>
      <c r="M29" s="0" t="str">
        <f aca="false">IF(AND(ISNUMBER(C29),ISNUMBER(D29),C29&lt;=CALENDÁRIO!$L$4,D29&gt;=CALENDÁRIO!$L$4),ROW(),"")</f>
        <v/>
      </c>
    </row>
    <row r="30" customFormat="false" ht="15" hidden="false" customHeight="true" outlineLevel="0" collapsed="false">
      <c r="A30" s="52"/>
      <c r="B30" s="52"/>
      <c r="C30" s="51"/>
      <c r="D30" s="51"/>
      <c r="E30" s="52"/>
      <c r="F30" s="61" t="str">
        <f aca="false">IF(AND(ISNUMBER(C30),ISNUMBER(D30),D30&gt;=C30),D30-C30+1,"")</f>
        <v/>
      </c>
      <c r="G30" s="62" t="str">
        <f aca="false">IF(AND(ISNUMBER(C30),ISNUMBER(D30),D30&gt;=C30),WORKDAY(D30,1),"")</f>
        <v/>
      </c>
      <c r="H30" s="53" t="str">
        <f aca="true">IF(A30="","",IF(NOT(AND(ISNUMBER(C30),ISNUMBER(D30))),"Sem data definida",IF(D30&lt;C30,"⚠ Datas invertidas",IF(TODAY()&lt;C30,IF(C30-TODAY()=1,"Começa amanhã","Começa em "&amp;(C30-TODAY())&amp;" dias"),IF(TODAY()&gt;D30,"Concluídas",IF(TODAY()=D30,"EM FÉRIAS (último dia)","EM FÉRIAS (faltam "&amp;(D30-TODAY())&amp;" dias)"))))))</f>
        <v/>
      </c>
      <c r="I30" s="53" t="str">
        <f aca="false">IF(OR(A30="",NOT(AND(ISNUMBER(C30),ISNUMBER(D30)))),"",IF(D30-C30+1&gt;30,"⚠ Período acima de 30 dias",IF(COUNTIFS($B$2:$B$301,B30,$C$2:$C$301,"&lt;="&amp;D30,$D$2:$D$301,"&gt;="&amp;C30)&gt;1,"⚠ Coincide com férias de outro do setor","")))</f>
        <v/>
      </c>
      <c r="K30" s="0" t="str">
        <f aca="true">IF(AND(ISNUMBER(C30),ISNUMBER(D30),C30&lt;=TODAY(),D30&gt;=TODAY()),D30+ROW()/100000,"")</f>
        <v/>
      </c>
      <c r="L30" s="0" t="str">
        <f aca="true">IF(AND(ISNUMBER(C30),C30&gt;TODAY(),C30&lt;=TODAY()+30),C30+ROW()/100000,"")</f>
        <v/>
      </c>
      <c r="M30" s="0" t="str">
        <f aca="false">IF(AND(ISNUMBER(C30),ISNUMBER(D30),C30&lt;=CALENDÁRIO!$L$4,D30&gt;=CALENDÁRIO!$L$4),ROW(),"")</f>
        <v/>
      </c>
    </row>
    <row r="31" customFormat="false" ht="15" hidden="false" customHeight="true" outlineLevel="0" collapsed="false">
      <c r="A31" s="52"/>
      <c r="B31" s="52"/>
      <c r="C31" s="51"/>
      <c r="D31" s="51"/>
      <c r="E31" s="52"/>
      <c r="F31" s="61" t="str">
        <f aca="false">IF(AND(ISNUMBER(C31),ISNUMBER(D31),D31&gt;=C31),D31-C31+1,"")</f>
        <v/>
      </c>
      <c r="G31" s="62" t="str">
        <f aca="false">IF(AND(ISNUMBER(C31),ISNUMBER(D31),D31&gt;=C31),WORKDAY(D31,1),"")</f>
        <v/>
      </c>
      <c r="H31" s="53" t="str">
        <f aca="true">IF(A31="","",IF(NOT(AND(ISNUMBER(C31),ISNUMBER(D31))),"Sem data definida",IF(D31&lt;C31,"⚠ Datas invertidas",IF(TODAY()&lt;C31,IF(C31-TODAY()=1,"Começa amanhã","Começa em "&amp;(C31-TODAY())&amp;" dias"),IF(TODAY()&gt;D31,"Concluídas",IF(TODAY()=D31,"EM FÉRIAS (último dia)","EM FÉRIAS (faltam "&amp;(D31-TODAY())&amp;" dias)"))))))</f>
        <v/>
      </c>
      <c r="I31" s="53" t="str">
        <f aca="false">IF(OR(A31="",NOT(AND(ISNUMBER(C31),ISNUMBER(D31)))),"",IF(D31-C31+1&gt;30,"⚠ Período acima de 30 dias",IF(COUNTIFS($B$2:$B$301,B31,$C$2:$C$301,"&lt;="&amp;D31,$D$2:$D$301,"&gt;="&amp;C31)&gt;1,"⚠ Coincide com férias de outro do setor","")))</f>
        <v/>
      </c>
      <c r="K31" s="0" t="str">
        <f aca="true">IF(AND(ISNUMBER(C31),ISNUMBER(D31),C31&lt;=TODAY(),D31&gt;=TODAY()),D31+ROW()/100000,"")</f>
        <v/>
      </c>
      <c r="L31" s="0" t="str">
        <f aca="true">IF(AND(ISNUMBER(C31),C31&gt;TODAY(),C31&lt;=TODAY()+30),C31+ROW()/100000,"")</f>
        <v/>
      </c>
      <c r="M31" s="0" t="str">
        <f aca="false">IF(AND(ISNUMBER(C31),ISNUMBER(D31),C31&lt;=CALENDÁRIO!$L$4,D31&gt;=CALENDÁRIO!$L$4),ROW(),"")</f>
        <v/>
      </c>
    </row>
    <row r="32" customFormat="false" ht="15" hidden="false" customHeight="true" outlineLevel="0" collapsed="false">
      <c r="A32" s="52"/>
      <c r="B32" s="52"/>
      <c r="C32" s="51"/>
      <c r="D32" s="51"/>
      <c r="E32" s="52"/>
      <c r="F32" s="61" t="str">
        <f aca="false">IF(AND(ISNUMBER(C32),ISNUMBER(D32),D32&gt;=C32),D32-C32+1,"")</f>
        <v/>
      </c>
      <c r="G32" s="62" t="str">
        <f aca="false">IF(AND(ISNUMBER(C32),ISNUMBER(D32),D32&gt;=C32),WORKDAY(D32,1),"")</f>
        <v/>
      </c>
      <c r="H32" s="53" t="str">
        <f aca="true">IF(A32="","",IF(NOT(AND(ISNUMBER(C32),ISNUMBER(D32))),"Sem data definida",IF(D32&lt;C32,"⚠ Datas invertidas",IF(TODAY()&lt;C32,IF(C32-TODAY()=1,"Começa amanhã","Começa em "&amp;(C32-TODAY())&amp;" dias"),IF(TODAY()&gt;D32,"Concluídas",IF(TODAY()=D32,"EM FÉRIAS (último dia)","EM FÉRIAS (faltam "&amp;(D32-TODAY())&amp;" dias)"))))))</f>
        <v/>
      </c>
      <c r="I32" s="53" t="str">
        <f aca="false">IF(OR(A32="",NOT(AND(ISNUMBER(C32),ISNUMBER(D32)))),"",IF(D32-C32+1&gt;30,"⚠ Período acima de 30 dias",IF(COUNTIFS($B$2:$B$301,B32,$C$2:$C$301,"&lt;="&amp;D32,$D$2:$D$301,"&gt;="&amp;C32)&gt;1,"⚠ Coincide com férias de outro do setor","")))</f>
        <v/>
      </c>
      <c r="K32" s="0" t="str">
        <f aca="true">IF(AND(ISNUMBER(C32),ISNUMBER(D32),C32&lt;=TODAY(),D32&gt;=TODAY()),D32+ROW()/100000,"")</f>
        <v/>
      </c>
      <c r="L32" s="0" t="str">
        <f aca="true">IF(AND(ISNUMBER(C32),C32&gt;TODAY(),C32&lt;=TODAY()+30),C32+ROW()/100000,"")</f>
        <v/>
      </c>
      <c r="M32" s="0" t="str">
        <f aca="false">IF(AND(ISNUMBER(C32),ISNUMBER(D32),C32&lt;=CALENDÁRIO!$L$4,D32&gt;=CALENDÁRIO!$L$4),ROW(),"")</f>
        <v/>
      </c>
    </row>
    <row r="33" customFormat="false" ht="15" hidden="false" customHeight="true" outlineLevel="0" collapsed="false">
      <c r="A33" s="52"/>
      <c r="B33" s="52"/>
      <c r="C33" s="51"/>
      <c r="D33" s="51"/>
      <c r="E33" s="52"/>
      <c r="F33" s="61" t="str">
        <f aca="false">IF(AND(ISNUMBER(C33),ISNUMBER(D33),D33&gt;=C33),D33-C33+1,"")</f>
        <v/>
      </c>
      <c r="G33" s="62" t="str">
        <f aca="false">IF(AND(ISNUMBER(C33),ISNUMBER(D33),D33&gt;=C33),WORKDAY(D33,1),"")</f>
        <v/>
      </c>
      <c r="H33" s="53" t="str">
        <f aca="true">IF(A33="","",IF(NOT(AND(ISNUMBER(C33),ISNUMBER(D33))),"Sem data definida",IF(D33&lt;C33,"⚠ Datas invertidas",IF(TODAY()&lt;C33,IF(C33-TODAY()=1,"Começa amanhã","Começa em "&amp;(C33-TODAY())&amp;" dias"),IF(TODAY()&gt;D33,"Concluídas",IF(TODAY()=D33,"EM FÉRIAS (último dia)","EM FÉRIAS (faltam "&amp;(D33-TODAY())&amp;" dias)"))))))</f>
        <v/>
      </c>
      <c r="I33" s="53" t="str">
        <f aca="false">IF(OR(A33="",NOT(AND(ISNUMBER(C33),ISNUMBER(D33)))),"",IF(D33-C33+1&gt;30,"⚠ Período acima de 30 dias",IF(COUNTIFS($B$2:$B$301,B33,$C$2:$C$301,"&lt;="&amp;D33,$D$2:$D$301,"&gt;="&amp;C33)&gt;1,"⚠ Coincide com férias de outro do setor","")))</f>
        <v/>
      </c>
      <c r="K33" s="0" t="str">
        <f aca="true">IF(AND(ISNUMBER(C33),ISNUMBER(D33),C33&lt;=TODAY(),D33&gt;=TODAY()),D33+ROW()/100000,"")</f>
        <v/>
      </c>
      <c r="L33" s="0" t="str">
        <f aca="true">IF(AND(ISNUMBER(C33),C33&gt;TODAY(),C33&lt;=TODAY()+30),C33+ROW()/100000,"")</f>
        <v/>
      </c>
      <c r="M33" s="0" t="str">
        <f aca="false">IF(AND(ISNUMBER(C33),ISNUMBER(D33),C33&lt;=CALENDÁRIO!$L$4,D33&gt;=CALENDÁRIO!$L$4),ROW(),"")</f>
        <v/>
      </c>
    </row>
    <row r="34" customFormat="false" ht="15" hidden="false" customHeight="true" outlineLevel="0" collapsed="false">
      <c r="A34" s="52"/>
      <c r="B34" s="52"/>
      <c r="C34" s="51"/>
      <c r="D34" s="51"/>
      <c r="E34" s="52"/>
      <c r="F34" s="61" t="str">
        <f aca="false">IF(AND(ISNUMBER(C34),ISNUMBER(D34),D34&gt;=C34),D34-C34+1,"")</f>
        <v/>
      </c>
      <c r="G34" s="62" t="str">
        <f aca="false">IF(AND(ISNUMBER(C34),ISNUMBER(D34),D34&gt;=C34),WORKDAY(D34,1),"")</f>
        <v/>
      </c>
      <c r="H34" s="53" t="str">
        <f aca="true">IF(A34="","",IF(NOT(AND(ISNUMBER(C34),ISNUMBER(D34))),"Sem data definida",IF(D34&lt;C34,"⚠ Datas invertidas",IF(TODAY()&lt;C34,IF(C34-TODAY()=1,"Começa amanhã","Começa em "&amp;(C34-TODAY())&amp;" dias"),IF(TODAY()&gt;D34,"Concluídas",IF(TODAY()=D34,"EM FÉRIAS (último dia)","EM FÉRIAS (faltam "&amp;(D34-TODAY())&amp;" dias)"))))))</f>
        <v/>
      </c>
      <c r="I34" s="53" t="str">
        <f aca="false">IF(OR(A34="",NOT(AND(ISNUMBER(C34),ISNUMBER(D34)))),"",IF(D34-C34+1&gt;30,"⚠ Período acima de 30 dias",IF(COUNTIFS($B$2:$B$301,B34,$C$2:$C$301,"&lt;="&amp;D34,$D$2:$D$301,"&gt;="&amp;C34)&gt;1,"⚠ Coincide com férias de outro do setor","")))</f>
        <v/>
      </c>
      <c r="K34" s="0" t="str">
        <f aca="true">IF(AND(ISNUMBER(C34),ISNUMBER(D34),C34&lt;=TODAY(),D34&gt;=TODAY()),D34+ROW()/100000,"")</f>
        <v/>
      </c>
      <c r="L34" s="0" t="str">
        <f aca="true">IF(AND(ISNUMBER(C34),C34&gt;TODAY(),C34&lt;=TODAY()+30),C34+ROW()/100000,"")</f>
        <v/>
      </c>
      <c r="M34" s="0" t="str">
        <f aca="false">IF(AND(ISNUMBER(C34),ISNUMBER(D34),C34&lt;=CALENDÁRIO!$L$4,D34&gt;=CALENDÁRIO!$L$4),ROW(),"")</f>
        <v/>
      </c>
    </row>
    <row r="35" customFormat="false" ht="15" hidden="false" customHeight="true" outlineLevel="0" collapsed="false">
      <c r="A35" s="52"/>
      <c r="B35" s="52"/>
      <c r="C35" s="51"/>
      <c r="D35" s="51"/>
      <c r="E35" s="52"/>
      <c r="F35" s="61" t="str">
        <f aca="false">IF(AND(ISNUMBER(C35),ISNUMBER(D35),D35&gt;=C35),D35-C35+1,"")</f>
        <v/>
      </c>
      <c r="G35" s="62" t="str">
        <f aca="false">IF(AND(ISNUMBER(C35),ISNUMBER(D35),D35&gt;=C35),WORKDAY(D35,1),"")</f>
        <v/>
      </c>
      <c r="H35" s="53" t="str">
        <f aca="true">IF(A35="","",IF(NOT(AND(ISNUMBER(C35),ISNUMBER(D35))),"Sem data definida",IF(D35&lt;C35,"⚠ Datas invertidas",IF(TODAY()&lt;C35,IF(C35-TODAY()=1,"Começa amanhã","Começa em "&amp;(C35-TODAY())&amp;" dias"),IF(TODAY()&gt;D35,"Concluídas",IF(TODAY()=D35,"EM FÉRIAS (último dia)","EM FÉRIAS (faltam "&amp;(D35-TODAY())&amp;" dias)"))))))</f>
        <v/>
      </c>
      <c r="I35" s="53" t="str">
        <f aca="false">IF(OR(A35="",NOT(AND(ISNUMBER(C35),ISNUMBER(D35)))),"",IF(D35-C35+1&gt;30,"⚠ Período acima de 30 dias",IF(COUNTIFS($B$2:$B$301,B35,$C$2:$C$301,"&lt;="&amp;D35,$D$2:$D$301,"&gt;="&amp;C35)&gt;1,"⚠ Coincide com férias de outro do setor","")))</f>
        <v/>
      </c>
      <c r="K35" s="0" t="str">
        <f aca="true">IF(AND(ISNUMBER(C35),ISNUMBER(D35),C35&lt;=TODAY(),D35&gt;=TODAY()),D35+ROW()/100000,"")</f>
        <v/>
      </c>
      <c r="L35" s="0" t="str">
        <f aca="true">IF(AND(ISNUMBER(C35),C35&gt;TODAY(),C35&lt;=TODAY()+30),C35+ROW()/100000,"")</f>
        <v/>
      </c>
      <c r="M35" s="0" t="str">
        <f aca="false">IF(AND(ISNUMBER(C35),ISNUMBER(D35),C35&lt;=CALENDÁRIO!$L$4,D35&gt;=CALENDÁRIO!$L$4),ROW(),"")</f>
        <v/>
      </c>
    </row>
    <row r="36" customFormat="false" ht="15" hidden="false" customHeight="true" outlineLevel="0" collapsed="false">
      <c r="A36" s="52"/>
      <c r="B36" s="52"/>
      <c r="C36" s="51"/>
      <c r="D36" s="51"/>
      <c r="E36" s="52"/>
      <c r="F36" s="61" t="str">
        <f aca="false">IF(AND(ISNUMBER(C36),ISNUMBER(D36),D36&gt;=C36),D36-C36+1,"")</f>
        <v/>
      </c>
      <c r="G36" s="62" t="str">
        <f aca="false">IF(AND(ISNUMBER(C36),ISNUMBER(D36),D36&gt;=C36),WORKDAY(D36,1),"")</f>
        <v/>
      </c>
      <c r="H36" s="53" t="str">
        <f aca="true">IF(A36="","",IF(NOT(AND(ISNUMBER(C36),ISNUMBER(D36))),"Sem data definida",IF(D36&lt;C36,"⚠ Datas invertidas",IF(TODAY()&lt;C36,IF(C36-TODAY()=1,"Começa amanhã","Começa em "&amp;(C36-TODAY())&amp;" dias"),IF(TODAY()&gt;D36,"Concluídas",IF(TODAY()=D36,"EM FÉRIAS (último dia)","EM FÉRIAS (faltam "&amp;(D36-TODAY())&amp;" dias)"))))))</f>
        <v/>
      </c>
      <c r="I36" s="53" t="str">
        <f aca="false">IF(OR(A36="",NOT(AND(ISNUMBER(C36),ISNUMBER(D36)))),"",IF(D36-C36+1&gt;30,"⚠ Período acima de 30 dias",IF(COUNTIFS($B$2:$B$301,B36,$C$2:$C$301,"&lt;="&amp;D36,$D$2:$D$301,"&gt;="&amp;C36)&gt;1,"⚠ Coincide com férias de outro do setor","")))</f>
        <v/>
      </c>
      <c r="K36" s="0" t="str">
        <f aca="true">IF(AND(ISNUMBER(C36),ISNUMBER(D36),C36&lt;=TODAY(),D36&gt;=TODAY()),D36+ROW()/100000,"")</f>
        <v/>
      </c>
      <c r="L36" s="0" t="str">
        <f aca="true">IF(AND(ISNUMBER(C36),C36&gt;TODAY(),C36&lt;=TODAY()+30),C36+ROW()/100000,"")</f>
        <v/>
      </c>
      <c r="M36" s="0" t="str">
        <f aca="false">IF(AND(ISNUMBER(C36),ISNUMBER(D36),C36&lt;=CALENDÁRIO!$L$4,D36&gt;=CALENDÁRIO!$L$4),ROW(),"")</f>
        <v/>
      </c>
    </row>
    <row r="37" customFormat="false" ht="15" hidden="false" customHeight="true" outlineLevel="0" collapsed="false">
      <c r="A37" s="52"/>
      <c r="B37" s="52"/>
      <c r="C37" s="51"/>
      <c r="D37" s="51"/>
      <c r="E37" s="52"/>
      <c r="F37" s="61" t="str">
        <f aca="false">IF(AND(ISNUMBER(C37),ISNUMBER(D37),D37&gt;=C37),D37-C37+1,"")</f>
        <v/>
      </c>
      <c r="G37" s="62" t="str">
        <f aca="false">IF(AND(ISNUMBER(C37),ISNUMBER(D37),D37&gt;=C37),WORKDAY(D37,1),"")</f>
        <v/>
      </c>
      <c r="H37" s="53" t="str">
        <f aca="true">IF(A37="","",IF(NOT(AND(ISNUMBER(C37),ISNUMBER(D37))),"Sem data definida",IF(D37&lt;C37,"⚠ Datas invertidas",IF(TODAY()&lt;C37,IF(C37-TODAY()=1,"Começa amanhã","Começa em "&amp;(C37-TODAY())&amp;" dias"),IF(TODAY()&gt;D37,"Concluídas",IF(TODAY()=D37,"EM FÉRIAS (último dia)","EM FÉRIAS (faltam "&amp;(D37-TODAY())&amp;" dias)"))))))</f>
        <v/>
      </c>
      <c r="I37" s="53" t="str">
        <f aca="false">IF(OR(A37="",NOT(AND(ISNUMBER(C37),ISNUMBER(D37)))),"",IF(D37-C37+1&gt;30,"⚠ Período acima de 30 dias",IF(COUNTIFS($B$2:$B$301,B37,$C$2:$C$301,"&lt;="&amp;D37,$D$2:$D$301,"&gt;="&amp;C37)&gt;1,"⚠ Coincide com férias de outro do setor","")))</f>
        <v/>
      </c>
      <c r="K37" s="0" t="str">
        <f aca="true">IF(AND(ISNUMBER(C37),ISNUMBER(D37),C37&lt;=TODAY(),D37&gt;=TODAY()),D37+ROW()/100000,"")</f>
        <v/>
      </c>
      <c r="L37" s="0" t="str">
        <f aca="true">IF(AND(ISNUMBER(C37),C37&gt;TODAY(),C37&lt;=TODAY()+30),C37+ROW()/100000,"")</f>
        <v/>
      </c>
      <c r="M37" s="0" t="str">
        <f aca="false">IF(AND(ISNUMBER(C37),ISNUMBER(D37),C37&lt;=CALENDÁRIO!$L$4,D37&gt;=CALENDÁRIO!$L$4),ROW(),"")</f>
        <v/>
      </c>
    </row>
    <row r="38" customFormat="false" ht="15" hidden="false" customHeight="true" outlineLevel="0" collapsed="false">
      <c r="A38" s="52"/>
      <c r="B38" s="52"/>
      <c r="C38" s="51"/>
      <c r="D38" s="51"/>
      <c r="E38" s="52"/>
      <c r="F38" s="61" t="str">
        <f aca="false">IF(AND(ISNUMBER(C38),ISNUMBER(D38),D38&gt;=C38),D38-C38+1,"")</f>
        <v/>
      </c>
      <c r="G38" s="62" t="str">
        <f aca="false">IF(AND(ISNUMBER(C38),ISNUMBER(D38),D38&gt;=C38),WORKDAY(D38,1),"")</f>
        <v/>
      </c>
      <c r="H38" s="53" t="str">
        <f aca="true">IF(A38="","",IF(NOT(AND(ISNUMBER(C38),ISNUMBER(D38))),"Sem data definida",IF(D38&lt;C38,"⚠ Datas invertidas",IF(TODAY()&lt;C38,IF(C38-TODAY()=1,"Começa amanhã","Começa em "&amp;(C38-TODAY())&amp;" dias"),IF(TODAY()&gt;D38,"Concluídas",IF(TODAY()=D38,"EM FÉRIAS (último dia)","EM FÉRIAS (faltam "&amp;(D38-TODAY())&amp;" dias)"))))))</f>
        <v/>
      </c>
      <c r="I38" s="53" t="str">
        <f aca="false">IF(OR(A38="",NOT(AND(ISNUMBER(C38),ISNUMBER(D38)))),"",IF(D38-C38+1&gt;30,"⚠ Período acima de 30 dias",IF(COUNTIFS($B$2:$B$301,B38,$C$2:$C$301,"&lt;="&amp;D38,$D$2:$D$301,"&gt;="&amp;C38)&gt;1,"⚠ Coincide com férias de outro do setor","")))</f>
        <v/>
      </c>
      <c r="K38" s="0" t="str">
        <f aca="true">IF(AND(ISNUMBER(C38),ISNUMBER(D38),C38&lt;=TODAY(),D38&gt;=TODAY()),D38+ROW()/100000,"")</f>
        <v/>
      </c>
      <c r="L38" s="0" t="str">
        <f aca="true">IF(AND(ISNUMBER(C38),C38&gt;TODAY(),C38&lt;=TODAY()+30),C38+ROW()/100000,"")</f>
        <v/>
      </c>
      <c r="M38" s="0" t="str">
        <f aca="false">IF(AND(ISNUMBER(C38),ISNUMBER(D38),C38&lt;=CALENDÁRIO!$L$4,D38&gt;=CALENDÁRIO!$L$4),ROW(),"")</f>
        <v/>
      </c>
    </row>
    <row r="39" customFormat="false" ht="15" hidden="false" customHeight="true" outlineLevel="0" collapsed="false">
      <c r="A39" s="52"/>
      <c r="B39" s="52"/>
      <c r="C39" s="51"/>
      <c r="D39" s="51"/>
      <c r="E39" s="52"/>
      <c r="F39" s="61" t="str">
        <f aca="false">IF(AND(ISNUMBER(C39),ISNUMBER(D39),D39&gt;=C39),D39-C39+1,"")</f>
        <v/>
      </c>
      <c r="G39" s="62" t="str">
        <f aca="false">IF(AND(ISNUMBER(C39),ISNUMBER(D39),D39&gt;=C39),WORKDAY(D39,1),"")</f>
        <v/>
      </c>
      <c r="H39" s="53" t="str">
        <f aca="true">IF(A39="","",IF(NOT(AND(ISNUMBER(C39),ISNUMBER(D39))),"Sem data definida",IF(D39&lt;C39,"⚠ Datas invertidas",IF(TODAY()&lt;C39,IF(C39-TODAY()=1,"Começa amanhã","Começa em "&amp;(C39-TODAY())&amp;" dias"),IF(TODAY()&gt;D39,"Concluídas",IF(TODAY()=D39,"EM FÉRIAS (último dia)","EM FÉRIAS (faltam "&amp;(D39-TODAY())&amp;" dias)"))))))</f>
        <v/>
      </c>
      <c r="I39" s="53" t="str">
        <f aca="false">IF(OR(A39="",NOT(AND(ISNUMBER(C39),ISNUMBER(D39)))),"",IF(D39-C39+1&gt;30,"⚠ Período acima de 30 dias",IF(COUNTIFS($B$2:$B$301,B39,$C$2:$C$301,"&lt;="&amp;D39,$D$2:$D$301,"&gt;="&amp;C39)&gt;1,"⚠ Coincide com férias de outro do setor","")))</f>
        <v/>
      </c>
      <c r="K39" s="0" t="str">
        <f aca="true">IF(AND(ISNUMBER(C39),ISNUMBER(D39),C39&lt;=TODAY(),D39&gt;=TODAY()),D39+ROW()/100000,"")</f>
        <v/>
      </c>
      <c r="L39" s="0" t="str">
        <f aca="true">IF(AND(ISNUMBER(C39),C39&gt;TODAY(),C39&lt;=TODAY()+30),C39+ROW()/100000,"")</f>
        <v/>
      </c>
      <c r="M39" s="0" t="str">
        <f aca="false">IF(AND(ISNUMBER(C39),ISNUMBER(D39),C39&lt;=CALENDÁRIO!$L$4,D39&gt;=CALENDÁRIO!$L$4),ROW(),"")</f>
        <v/>
      </c>
    </row>
    <row r="40" customFormat="false" ht="15" hidden="false" customHeight="true" outlineLevel="0" collapsed="false">
      <c r="A40" s="52"/>
      <c r="B40" s="52"/>
      <c r="C40" s="51"/>
      <c r="D40" s="51"/>
      <c r="E40" s="52"/>
      <c r="F40" s="61" t="str">
        <f aca="false">IF(AND(ISNUMBER(C40),ISNUMBER(D40),D40&gt;=C40),D40-C40+1,"")</f>
        <v/>
      </c>
      <c r="G40" s="62" t="str">
        <f aca="false">IF(AND(ISNUMBER(C40),ISNUMBER(D40),D40&gt;=C40),WORKDAY(D40,1),"")</f>
        <v/>
      </c>
      <c r="H40" s="53" t="str">
        <f aca="true">IF(A40="","",IF(NOT(AND(ISNUMBER(C40),ISNUMBER(D40))),"Sem data definida",IF(D40&lt;C40,"⚠ Datas invertidas",IF(TODAY()&lt;C40,IF(C40-TODAY()=1,"Começa amanhã","Começa em "&amp;(C40-TODAY())&amp;" dias"),IF(TODAY()&gt;D40,"Concluídas",IF(TODAY()=D40,"EM FÉRIAS (último dia)","EM FÉRIAS (faltam "&amp;(D40-TODAY())&amp;" dias)"))))))</f>
        <v/>
      </c>
      <c r="I40" s="53" t="str">
        <f aca="false">IF(OR(A40="",NOT(AND(ISNUMBER(C40),ISNUMBER(D40)))),"",IF(D40-C40+1&gt;30,"⚠ Período acima de 30 dias",IF(COUNTIFS($B$2:$B$301,B40,$C$2:$C$301,"&lt;="&amp;D40,$D$2:$D$301,"&gt;="&amp;C40)&gt;1,"⚠ Coincide com férias de outro do setor","")))</f>
        <v/>
      </c>
      <c r="K40" s="0" t="str">
        <f aca="true">IF(AND(ISNUMBER(C40),ISNUMBER(D40),C40&lt;=TODAY(),D40&gt;=TODAY()),D40+ROW()/100000,"")</f>
        <v/>
      </c>
      <c r="L40" s="0" t="str">
        <f aca="true">IF(AND(ISNUMBER(C40),C40&gt;TODAY(),C40&lt;=TODAY()+30),C40+ROW()/100000,"")</f>
        <v/>
      </c>
      <c r="M40" s="0" t="str">
        <f aca="false">IF(AND(ISNUMBER(C40),ISNUMBER(D40),C40&lt;=CALENDÁRIO!$L$4,D40&gt;=CALENDÁRIO!$L$4),ROW(),"")</f>
        <v/>
      </c>
    </row>
    <row r="41" customFormat="false" ht="15" hidden="false" customHeight="true" outlineLevel="0" collapsed="false">
      <c r="A41" s="52"/>
      <c r="B41" s="52"/>
      <c r="C41" s="51"/>
      <c r="D41" s="51"/>
      <c r="E41" s="52"/>
      <c r="F41" s="61" t="str">
        <f aca="false">IF(AND(ISNUMBER(C41),ISNUMBER(D41),D41&gt;=C41),D41-C41+1,"")</f>
        <v/>
      </c>
      <c r="G41" s="62" t="str">
        <f aca="false">IF(AND(ISNUMBER(C41),ISNUMBER(D41),D41&gt;=C41),WORKDAY(D41,1),"")</f>
        <v/>
      </c>
      <c r="H41" s="53" t="str">
        <f aca="true">IF(A41="","",IF(NOT(AND(ISNUMBER(C41),ISNUMBER(D41))),"Sem data definida",IF(D41&lt;C41,"⚠ Datas invertidas",IF(TODAY()&lt;C41,IF(C41-TODAY()=1,"Começa amanhã","Começa em "&amp;(C41-TODAY())&amp;" dias"),IF(TODAY()&gt;D41,"Concluídas",IF(TODAY()=D41,"EM FÉRIAS (último dia)","EM FÉRIAS (faltam "&amp;(D41-TODAY())&amp;" dias)"))))))</f>
        <v/>
      </c>
      <c r="I41" s="53" t="str">
        <f aca="false">IF(OR(A41="",NOT(AND(ISNUMBER(C41),ISNUMBER(D41)))),"",IF(D41-C41+1&gt;30,"⚠ Período acima de 30 dias",IF(COUNTIFS($B$2:$B$301,B41,$C$2:$C$301,"&lt;="&amp;D41,$D$2:$D$301,"&gt;="&amp;C41)&gt;1,"⚠ Coincide com férias de outro do setor","")))</f>
        <v/>
      </c>
      <c r="K41" s="0" t="str">
        <f aca="true">IF(AND(ISNUMBER(C41),ISNUMBER(D41),C41&lt;=TODAY(),D41&gt;=TODAY()),D41+ROW()/100000,"")</f>
        <v/>
      </c>
      <c r="L41" s="0" t="str">
        <f aca="true">IF(AND(ISNUMBER(C41),C41&gt;TODAY(),C41&lt;=TODAY()+30),C41+ROW()/100000,"")</f>
        <v/>
      </c>
      <c r="M41" s="0" t="str">
        <f aca="false">IF(AND(ISNUMBER(C41),ISNUMBER(D41),C41&lt;=CALENDÁRIO!$L$4,D41&gt;=CALENDÁRIO!$L$4),ROW(),"")</f>
        <v/>
      </c>
    </row>
    <row r="42" customFormat="false" ht="15" hidden="false" customHeight="true" outlineLevel="0" collapsed="false">
      <c r="A42" s="52"/>
      <c r="B42" s="52"/>
      <c r="C42" s="51"/>
      <c r="D42" s="51"/>
      <c r="E42" s="52"/>
      <c r="F42" s="61" t="str">
        <f aca="false">IF(AND(ISNUMBER(C42),ISNUMBER(D42),D42&gt;=C42),D42-C42+1,"")</f>
        <v/>
      </c>
      <c r="G42" s="62" t="str">
        <f aca="false">IF(AND(ISNUMBER(C42),ISNUMBER(D42),D42&gt;=C42),WORKDAY(D42,1),"")</f>
        <v/>
      </c>
      <c r="H42" s="53" t="str">
        <f aca="true">IF(A42="","",IF(NOT(AND(ISNUMBER(C42),ISNUMBER(D42))),"Sem data definida",IF(D42&lt;C42,"⚠ Datas invertidas",IF(TODAY()&lt;C42,IF(C42-TODAY()=1,"Começa amanhã","Começa em "&amp;(C42-TODAY())&amp;" dias"),IF(TODAY()&gt;D42,"Concluídas",IF(TODAY()=D42,"EM FÉRIAS (último dia)","EM FÉRIAS (faltam "&amp;(D42-TODAY())&amp;" dias)"))))))</f>
        <v/>
      </c>
      <c r="I42" s="53" t="str">
        <f aca="false">IF(OR(A42="",NOT(AND(ISNUMBER(C42),ISNUMBER(D42)))),"",IF(D42-C42+1&gt;30,"⚠ Período acima de 30 dias",IF(COUNTIFS($B$2:$B$301,B42,$C$2:$C$301,"&lt;="&amp;D42,$D$2:$D$301,"&gt;="&amp;C42)&gt;1,"⚠ Coincide com férias de outro do setor","")))</f>
        <v/>
      </c>
      <c r="K42" s="0" t="str">
        <f aca="true">IF(AND(ISNUMBER(C42),ISNUMBER(D42),C42&lt;=TODAY(),D42&gt;=TODAY()),D42+ROW()/100000,"")</f>
        <v/>
      </c>
      <c r="L42" s="0" t="str">
        <f aca="true">IF(AND(ISNUMBER(C42),C42&gt;TODAY(),C42&lt;=TODAY()+30),C42+ROW()/100000,"")</f>
        <v/>
      </c>
      <c r="M42" s="0" t="str">
        <f aca="false">IF(AND(ISNUMBER(C42),ISNUMBER(D42),C42&lt;=CALENDÁRIO!$L$4,D42&gt;=CALENDÁRIO!$L$4),ROW(),"")</f>
        <v/>
      </c>
    </row>
    <row r="43" customFormat="false" ht="15" hidden="false" customHeight="true" outlineLevel="0" collapsed="false">
      <c r="A43" s="52"/>
      <c r="B43" s="52"/>
      <c r="C43" s="51"/>
      <c r="D43" s="51"/>
      <c r="E43" s="52"/>
      <c r="F43" s="61" t="str">
        <f aca="false">IF(AND(ISNUMBER(C43),ISNUMBER(D43),D43&gt;=C43),D43-C43+1,"")</f>
        <v/>
      </c>
      <c r="G43" s="62" t="str">
        <f aca="false">IF(AND(ISNUMBER(C43),ISNUMBER(D43),D43&gt;=C43),WORKDAY(D43,1),"")</f>
        <v/>
      </c>
      <c r="H43" s="53" t="str">
        <f aca="true">IF(A43="","",IF(NOT(AND(ISNUMBER(C43),ISNUMBER(D43))),"Sem data definida",IF(D43&lt;C43,"⚠ Datas invertidas",IF(TODAY()&lt;C43,IF(C43-TODAY()=1,"Começa amanhã","Começa em "&amp;(C43-TODAY())&amp;" dias"),IF(TODAY()&gt;D43,"Concluídas",IF(TODAY()=D43,"EM FÉRIAS (último dia)","EM FÉRIAS (faltam "&amp;(D43-TODAY())&amp;" dias)"))))))</f>
        <v/>
      </c>
      <c r="I43" s="53" t="str">
        <f aca="false">IF(OR(A43="",NOT(AND(ISNUMBER(C43),ISNUMBER(D43)))),"",IF(D43-C43+1&gt;30,"⚠ Período acima de 30 dias",IF(COUNTIFS($B$2:$B$301,B43,$C$2:$C$301,"&lt;="&amp;D43,$D$2:$D$301,"&gt;="&amp;C43)&gt;1,"⚠ Coincide com férias de outro do setor","")))</f>
        <v/>
      </c>
      <c r="K43" s="0" t="str">
        <f aca="true">IF(AND(ISNUMBER(C43),ISNUMBER(D43),C43&lt;=TODAY(),D43&gt;=TODAY()),D43+ROW()/100000,"")</f>
        <v/>
      </c>
      <c r="L43" s="0" t="str">
        <f aca="true">IF(AND(ISNUMBER(C43),C43&gt;TODAY(),C43&lt;=TODAY()+30),C43+ROW()/100000,"")</f>
        <v/>
      </c>
      <c r="M43" s="0" t="str">
        <f aca="false">IF(AND(ISNUMBER(C43),ISNUMBER(D43),C43&lt;=CALENDÁRIO!$L$4,D43&gt;=CALENDÁRIO!$L$4),ROW(),"")</f>
        <v/>
      </c>
    </row>
    <row r="44" customFormat="false" ht="15" hidden="false" customHeight="true" outlineLevel="0" collapsed="false">
      <c r="A44" s="52"/>
      <c r="B44" s="52"/>
      <c r="C44" s="51"/>
      <c r="D44" s="51"/>
      <c r="E44" s="52"/>
      <c r="F44" s="61" t="str">
        <f aca="false">IF(AND(ISNUMBER(C44),ISNUMBER(D44),D44&gt;=C44),D44-C44+1,"")</f>
        <v/>
      </c>
      <c r="G44" s="62" t="str">
        <f aca="false">IF(AND(ISNUMBER(C44),ISNUMBER(D44),D44&gt;=C44),WORKDAY(D44,1),"")</f>
        <v/>
      </c>
      <c r="H44" s="53" t="str">
        <f aca="true">IF(A44="","",IF(NOT(AND(ISNUMBER(C44),ISNUMBER(D44))),"Sem data definida",IF(D44&lt;C44,"⚠ Datas invertidas",IF(TODAY()&lt;C44,IF(C44-TODAY()=1,"Começa amanhã","Começa em "&amp;(C44-TODAY())&amp;" dias"),IF(TODAY()&gt;D44,"Concluídas",IF(TODAY()=D44,"EM FÉRIAS (último dia)","EM FÉRIAS (faltam "&amp;(D44-TODAY())&amp;" dias)"))))))</f>
        <v/>
      </c>
      <c r="I44" s="53" t="str">
        <f aca="false">IF(OR(A44="",NOT(AND(ISNUMBER(C44),ISNUMBER(D44)))),"",IF(D44-C44+1&gt;30,"⚠ Período acima de 30 dias",IF(COUNTIFS($B$2:$B$301,B44,$C$2:$C$301,"&lt;="&amp;D44,$D$2:$D$301,"&gt;="&amp;C44)&gt;1,"⚠ Coincide com férias de outro do setor","")))</f>
        <v/>
      </c>
      <c r="K44" s="0" t="str">
        <f aca="true">IF(AND(ISNUMBER(C44),ISNUMBER(D44),C44&lt;=TODAY(),D44&gt;=TODAY()),D44+ROW()/100000,"")</f>
        <v/>
      </c>
      <c r="L44" s="0" t="str">
        <f aca="true">IF(AND(ISNUMBER(C44),C44&gt;TODAY(),C44&lt;=TODAY()+30),C44+ROW()/100000,"")</f>
        <v/>
      </c>
      <c r="M44" s="0" t="str">
        <f aca="false">IF(AND(ISNUMBER(C44),ISNUMBER(D44),C44&lt;=CALENDÁRIO!$L$4,D44&gt;=CALENDÁRIO!$L$4),ROW(),"")</f>
        <v/>
      </c>
    </row>
    <row r="45" customFormat="false" ht="15" hidden="false" customHeight="true" outlineLevel="0" collapsed="false">
      <c r="A45" s="52"/>
      <c r="B45" s="52"/>
      <c r="C45" s="51"/>
      <c r="D45" s="51"/>
      <c r="E45" s="52"/>
      <c r="F45" s="61" t="str">
        <f aca="false">IF(AND(ISNUMBER(C45),ISNUMBER(D45),D45&gt;=C45),D45-C45+1,"")</f>
        <v/>
      </c>
      <c r="G45" s="62" t="str">
        <f aca="false">IF(AND(ISNUMBER(C45),ISNUMBER(D45),D45&gt;=C45),WORKDAY(D45,1),"")</f>
        <v/>
      </c>
      <c r="H45" s="53" t="str">
        <f aca="true">IF(A45="","",IF(NOT(AND(ISNUMBER(C45),ISNUMBER(D45))),"Sem data definida",IF(D45&lt;C45,"⚠ Datas invertidas",IF(TODAY()&lt;C45,IF(C45-TODAY()=1,"Começa amanhã","Começa em "&amp;(C45-TODAY())&amp;" dias"),IF(TODAY()&gt;D45,"Concluídas",IF(TODAY()=D45,"EM FÉRIAS (último dia)","EM FÉRIAS (faltam "&amp;(D45-TODAY())&amp;" dias)"))))))</f>
        <v/>
      </c>
      <c r="I45" s="53" t="str">
        <f aca="false">IF(OR(A45="",NOT(AND(ISNUMBER(C45),ISNUMBER(D45)))),"",IF(D45-C45+1&gt;30,"⚠ Período acima de 30 dias",IF(COUNTIFS($B$2:$B$301,B45,$C$2:$C$301,"&lt;="&amp;D45,$D$2:$D$301,"&gt;="&amp;C45)&gt;1,"⚠ Coincide com férias de outro do setor","")))</f>
        <v/>
      </c>
      <c r="K45" s="0" t="str">
        <f aca="true">IF(AND(ISNUMBER(C45),ISNUMBER(D45),C45&lt;=TODAY(),D45&gt;=TODAY()),D45+ROW()/100000,"")</f>
        <v/>
      </c>
      <c r="L45" s="0" t="str">
        <f aca="true">IF(AND(ISNUMBER(C45),C45&gt;TODAY(),C45&lt;=TODAY()+30),C45+ROW()/100000,"")</f>
        <v/>
      </c>
      <c r="M45" s="0" t="str">
        <f aca="false">IF(AND(ISNUMBER(C45),ISNUMBER(D45),C45&lt;=CALENDÁRIO!$L$4,D45&gt;=CALENDÁRIO!$L$4),ROW(),"")</f>
        <v/>
      </c>
    </row>
    <row r="46" customFormat="false" ht="15" hidden="false" customHeight="true" outlineLevel="0" collapsed="false">
      <c r="A46" s="52"/>
      <c r="B46" s="52"/>
      <c r="C46" s="51"/>
      <c r="D46" s="51"/>
      <c r="E46" s="52"/>
      <c r="F46" s="61" t="str">
        <f aca="false">IF(AND(ISNUMBER(C46),ISNUMBER(D46),D46&gt;=C46),D46-C46+1,"")</f>
        <v/>
      </c>
      <c r="G46" s="62" t="str">
        <f aca="false">IF(AND(ISNUMBER(C46),ISNUMBER(D46),D46&gt;=C46),WORKDAY(D46,1),"")</f>
        <v/>
      </c>
      <c r="H46" s="53" t="str">
        <f aca="true">IF(A46="","",IF(NOT(AND(ISNUMBER(C46),ISNUMBER(D46))),"Sem data definida",IF(D46&lt;C46,"⚠ Datas invertidas",IF(TODAY()&lt;C46,IF(C46-TODAY()=1,"Começa amanhã","Começa em "&amp;(C46-TODAY())&amp;" dias"),IF(TODAY()&gt;D46,"Concluídas",IF(TODAY()=D46,"EM FÉRIAS (último dia)","EM FÉRIAS (faltam "&amp;(D46-TODAY())&amp;" dias)"))))))</f>
        <v/>
      </c>
      <c r="I46" s="53" t="str">
        <f aca="false">IF(OR(A46="",NOT(AND(ISNUMBER(C46),ISNUMBER(D46)))),"",IF(D46-C46+1&gt;30,"⚠ Período acima de 30 dias",IF(COUNTIFS($B$2:$B$301,B46,$C$2:$C$301,"&lt;="&amp;D46,$D$2:$D$301,"&gt;="&amp;C46)&gt;1,"⚠ Coincide com férias de outro do setor","")))</f>
        <v/>
      </c>
      <c r="K46" s="0" t="str">
        <f aca="true">IF(AND(ISNUMBER(C46),ISNUMBER(D46),C46&lt;=TODAY(),D46&gt;=TODAY()),D46+ROW()/100000,"")</f>
        <v/>
      </c>
      <c r="L46" s="0" t="str">
        <f aca="true">IF(AND(ISNUMBER(C46),C46&gt;TODAY(),C46&lt;=TODAY()+30),C46+ROW()/100000,"")</f>
        <v/>
      </c>
      <c r="M46" s="0" t="str">
        <f aca="false">IF(AND(ISNUMBER(C46),ISNUMBER(D46),C46&lt;=CALENDÁRIO!$L$4,D46&gt;=CALENDÁRIO!$L$4),ROW(),"")</f>
        <v/>
      </c>
    </row>
    <row r="47" customFormat="false" ht="15" hidden="false" customHeight="true" outlineLevel="0" collapsed="false">
      <c r="A47" s="52"/>
      <c r="B47" s="52"/>
      <c r="C47" s="51"/>
      <c r="D47" s="51"/>
      <c r="E47" s="52"/>
      <c r="F47" s="61" t="str">
        <f aca="false">IF(AND(ISNUMBER(C47),ISNUMBER(D47),D47&gt;=C47),D47-C47+1,"")</f>
        <v/>
      </c>
      <c r="G47" s="62" t="str">
        <f aca="false">IF(AND(ISNUMBER(C47),ISNUMBER(D47),D47&gt;=C47),WORKDAY(D47,1),"")</f>
        <v/>
      </c>
      <c r="H47" s="53" t="str">
        <f aca="true">IF(A47="","",IF(NOT(AND(ISNUMBER(C47),ISNUMBER(D47))),"Sem data definida",IF(D47&lt;C47,"⚠ Datas invertidas",IF(TODAY()&lt;C47,IF(C47-TODAY()=1,"Começa amanhã","Começa em "&amp;(C47-TODAY())&amp;" dias"),IF(TODAY()&gt;D47,"Concluídas",IF(TODAY()=D47,"EM FÉRIAS (último dia)","EM FÉRIAS (faltam "&amp;(D47-TODAY())&amp;" dias)"))))))</f>
        <v/>
      </c>
      <c r="I47" s="53" t="str">
        <f aca="false">IF(OR(A47="",NOT(AND(ISNUMBER(C47),ISNUMBER(D47)))),"",IF(D47-C47+1&gt;30,"⚠ Período acima de 30 dias",IF(COUNTIFS($B$2:$B$301,B47,$C$2:$C$301,"&lt;="&amp;D47,$D$2:$D$301,"&gt;="&amp;C47)&gt;1,"⚠ Coincide com férias de outro do setor","")))</f>
        <v/>
      </c>
      <c r="K47" s="0" t="str">
        <f aca="true">IF(AND(ISNUMBER(C47),ISNUMBER(D47),C47&lt;=TODAY(),D47&gt;=TODAY()),D47+ROW()/100000,"")</f>
        <v/>
      </c>
      <c r="L47" s="0" t="str">
        <f aca="true">IF(AND(ISNUMBER(C47),C47&gt;TODAY(),C47&lt;=TODAY()+30),C47+ROW()/100000,"")</f>
        <v/>
      </c>
      <c r="M47" s="0" t="str">
        <f aca="false">IF(AND(ISNUMBER(C47),ISNUMBER(D47),C47&lt;=CALENDÁRIO!$L$4,D47&gt;=CALENDÁRIO!$L$4),ROW(),"")</f>
        <v/>
      </c>
    </row>
    <row r="48" customFormat="false" ht="15" hidden="false" customHeight="true" outlineLevel="0" collapsed="false">
      <c r="A48" s="52"/>
      <c r="B48" s="52"/>
      <c r="C48" s="51"/>
      <c r="D48" s="51"/>
      <c r="E48" s="52"/>
      <c r="F48" s="61" t="str">
        <f aca="false">IF(AND(ISNUMBER(C48),ISNUMBER(D48),D48&gt;=C48),D48-C48+1,"")</f>
        <v/>
      </c>
      <c r="G48" s="62" t="str">
        <f aca="false">IF(AND(ISNUMBER(C48),ISNUMBER(D48),D48&gt;=C48),WORKDAY(D48,1),"")</f>
        <v/>
      </c>
      <c r="H48" s="53" t="str">
        <f aca="true">IF(A48="","",IF(NOT(AND(ISNUMBER(C48),ISNUMBER(D48))),"Sem data definida",IF(D48&lt;C48,"⚠ Datas invertidas",IF(TODAY()&lt;C48,IF(C48-TODAY()=1,"Começa amanhã","Começa em "&amp;(C48-TODAY())&amp;" dias"),IF(TODAY()&gt;D48,"Concluídas",IF(TODAY()=D48,"EM FÉRIAS (último dia)","EM FÉRIAS (faltam "&amp;(D48-TODAY())&amp;" dias)"))))))</f>
        <v/>
      </c>
      <c r="I48" s="53" t="str">
        <f aca="false">IF(OR(A48="",NOT(AND(ISNUMBER(C48),ISNUMBER(D48)))),"",IF(D48-C48+1&gt;30,"⚠ Período acima de 30 dias",IF(COUNTIFS($B$2:$B$301,B48,$C$2:$C$301,"&lt;="&amp;D48,$D$2:$D$301,"&gt;="&amp;C48)&gt;1,"⚠ Coincide com férias de outro do setor","")))</f>
        <v/>
      </c>
      <c r="K48" s="0" t="str">
        <f aca="true">IF(AND(ISNUMBER(C48),ISNUMBER(D48),C48&lt;=TODAY(),D48&gt;=TODAY()),D48+ROW()/100000,"")</f>
        <v/>
      </c>
      <c r="L48" s="0" t="str">
        <f aca="true">IF(AND(ISNUMBER(C48),C48&gt;TODAY(),C48&lt;=TODAY()+30),C48+ROW()/100000,"")</f>
        <v/>
      </c>
      <c r="M48" s="0" t="str">
        <f aca="false">IF(AND(ISNUMBER(C48),ISNUMBER(D48),C48&lt;=CALENDÁRIO!$L$4,D48&gt;=CALENDÁRIO!$L$4),ROW(),"")</f>
        <v/>
      </c>
    </row>
    <row r="49" customFormat="false" ht="15" hidden="false" customHeight="true" outlineLevel="0" collapsed="false">
      <c r="A49" s="52"/>
      <c r="B49" s="52"/>
      <c r="C49" s="51"/>
      <c r="D49" s="51"/>
      <c r="E49" s="52"/>
      <c r="F49" s="61" t="str">
        <f aca="false">IF(AND(ISNUMBER(C49),ISNUMBER(D49),D49&gt;=C49),D49-C49+1,"")</f>
        <v/>
      </c>
      <c r="G49" s="62" t="str">
        <f aca="false">IF(AND(ISNUMBER(C49),ISNUMBER(D49),D49&gt;=C49),WORKDAY(D49,1),"")</f>
        <v/>
      </c>
      <c r="H49" s="53" t="str">
        <f aca="true">IF(A49="","",IF(NOT(AND(ISNUMBER(C49),ISNUMBER(D49))),"Sem data definida",IF(D49&lt;C49,"⚠ Datas invertidas",IF(TODAY()&lt;C49,IF(C49-TODAY()=1,"Começa amanhã","Começa em "&amp;(C49-TODAY())&amp;" dias"),IF(TODAY()&gt;D49,"Concluídas",IF(TODAY()=D49,"EM FÉRIAS (último dia)","EM FÉRIAS (faltam "&amp;(D49-TODAY())&amp;" dias)"))))))</f>
        <v/>
      </c>
      <c r="I49" s="53" t="str">
        <f aca="false">IF(OR(A49="",NOT(AND(ISNUMBER(C49),ISNUMBER(D49)))),"",IF(D49-C49+1&gt;30,"⚠ Período acima de 30 dias",IF(COUNTIFS($B$2:$B$301,B49,$C$2:$C$301,"&lt;="&amp;D49,$D$2:$D$301,"&gt;="&amp;C49)&gt;1,"⚠ Coincide com férias de outro do setor","")))</f>
        <v/>
      </c>
      <c r="K49" s="0" t="str">
        <f aca="true">IF(AND(ISNUMBER(C49),ISNUMBER(D49),C49&lt;=TODAY(),D49&gt;=TODAY()),D49+ROW()/100000,"")</f>
        <v/>
      </c>
      <c r="L49" s="0" t="str">
        <f aca="true">IF(AND(ISNUMBER(C49),C49&gt;TODAY(),C49&lt;=TODAY()+30),C49+ROW()/100000,"")</f>
        <v/>
      </c>
      <c r="M49" s="0" t="str">
        <f aca="false">IF(AND(ISNUMBER(C49),ISNUMBER(D49),C49&lt;=CALENDÁRIO!$L$4,D49&gt;=CALENDÁRIO!$L$4),ROW(),"")</f>
        <v/>
      </c>
    </row>
    <row r="50" customFormat="false" ht="15" hidden="false" customHeight="true" outlineLevel="0" collapsed="false">
      <c r="A50" s="52"/>
      <c r="B50" s="52"/>
      <c r="C50" s="51"/>
      <c r="D50" s="51"/>
      <c r="E50" s="52"/>
      <c r="F50" s="61" t="str">
        <f aca="false">IF(AND(ISNUMBER(C50),ISNUMBER(D50),D50&gt;=C50),D50-C50+1,"")</f>
        <v/>
      </c>
      <c r="G50" s="62" t="str">
        <f aca="false">IF(AND(ISNUMBER(C50),ISNUMBER(D50),D50&gt;=C50),WORKDAY(D50,1),"")</f>
        <v/>
      </c>
      <c r="H50" s="53" t="str">
        <f aca="true">IF(A50="","",IF(NOT(AND(ISNUMBER(C50),ISNUMBER(D50))),"Sem data definida",IF(D50&lt;C50,"⚠ Datas invertidas",IF(TODAY()&lt;C50,IF(C50-TODAY()=1,"Começa amanhã","Começa em "&amp;(C50-TODAY())&amp;" dias"),IF(TODAY()&gt;D50,"Concluídas",IF(TODAY()=D50,"EM FÉRIAS (último dia)","EM FÉRIAS (faltam "&amp;(D50-TODAY())&amp;" dias)"))))))</f>
        <v/>
      </c>
      <c r="I50" s="53" t="str">
        <f aca="false">IF(OR(A50="",NOT(AND(ISNUMBER(C50),ISNUMBER(D50)))),"",IF(D50-C50+1&gt;30,"⚠ Período acima de 30 dias",IF(COUNTIFS($B$2:$B$301,B50,$C$2:$C$301,"&lt;="&amp;D50,$D$2:$D$301,"&gt;="&amp;C50)&gt;1,"⚠ Coincide com férias de outro do setor","")))</f>
        <v/>
      </c>
      <c r="K50" s="0" t="str">
        <f aca="true">IF(AND(ISNUMBER(C50),ISNUMBER(D50),C50&lt;=TODAY(),D50&gt;=TODAY()),D50+ROW()/100000,"")</f>
        <v/>
      </c>
      <c r="L50" s="0" t="str">
        <f aca="true">IF(AND(ISNUMBER(C50),C50&gt;TODAY(),C50&lt;=TODAY()+30),C50+ROW()/100000,"")</f>
        <v/>
      </c>
      <c r="M50" s="0" t="str">
        <f aca="false">IF(AND(ISNUMBER(C50),ISNUMBER(D50),C50&lt;=CALENDÁRIO!$L$4,D50&gt;=CALENDÁRIO!$L$4),ROW(),"")</f>
        <v/>
      </c>
    </row>
    <row r="51" customFormat="false" ht="15" hidden="false" customHeight="true" outlineLevel="0" collapsed="false">
      <c r="A51" s="52"/>
      <c r="B51" s="52"/>
      <c r="C51" s="51"/>
      <c r="D51" s="51"/>
      <c r="E51" s="52"/>
      <c r="F51" s="61" t="str">
        <f aca="false">IF(AND(ISNUMBER(C51),ISNUMBER(D51),D51&gt;=C51),D51-C51+1,"")</f>
        <v/>
      </c>
      <c r="G51" s="62" t="str">
        <f aca="false">IF(AND(ISNUMBER(C51),ISNUMBER(D51),D51&gt;=C51),WORKDAY(D51,1),"")</f>
        <v/>
      </c>
      <c r="H51" s="53" t="str">
        <f aca="true">IF(A51="","",IF(NOT(AND(ISNUMBER(C51),ISNUMBER(D51))),"Sem data definida",IF(D51&lt;C51,"⚠ Datas invertidas",IF(TODAY()&lt;C51,IF(C51-TODAY()=1,"Começa amanhã","Começa em "&amp;(C51-TODAY())&amp;" dias"),IF(TODAY()&gt;D51,"Concluídas",IF(TODAY()=D51,"EM FÉRIAS (último dia)","EM FÉRIAS (faltam "&amp;(D51-TODAY())&amp;" dias)"))))))</f>
        <v/>
      </c>
      <c r="I51" s="53" t="str">
        <f aca="false">IF(OR(A51="",NOT(AND(ISNUMBER(C51),ISNUMBER(D51)))),"",IF(D51-C51+1&gt;30,"⚠ Período acima de 30 dias",IF(COUNTIFS($B$2:$B$301,B51,$C$2:$C$301,"&lt;="&amp;D51,$D$2:$D$301,"&gt;="&amp;C51)&gt;1,"⚠ Coincide com férias de outro do setor","")))</f>
        <v/>
      </c>
      <c r="K51" s="0" t="str">
        <f aca="true">IF(AND(ISNUMBER(C51),ISNUMBER(D51),C51&lt;=TODAY(),D51&gt;=TODAY()),D51+ROW()/100000,"")</f>
        <v/>
      </c>
      <c r="L51" s="0" t="str">
        <f aca="true">IF(AND(ISNUMBER(C51),C51&gt;TODAY(),C51&lt;=TODAY()+30),C51+ROW()/100000,"")</f>
        <v/>
      </c>
      <c r="M51" s="0" t="str">
        <f aca="false">IF(AND(ISNUMBER(C51),ISNUMBER(D51),C51&lt;=CALENDÁRIO!$L$4,D51&gt;=CALENDÁRIO!$L$4),ROW(),"")</f>
        <v/>
      </c>
    </row>
    <row r="52" customFormat="false" ht="15" hidden="false" customHeight="true" outlineLevel="0" collapsed="false">
      <c r="A52" s="52"/>
      <c r="B52" s="52"/>
      <c r="C52" s="51"/>
      <c r="D52" s="51"/>
      <c r="E52" s="52"/>
      <c r="F52" s="61" t="str">
        <f aca="false">IF(AND(ISNUMBER(C52),ISNUMBER(D52),D52&gt;=C52),D52-C52+1,"")</f>
        <v/>
      </c>
      <c r="G52" s="62" t="str">
        <f aca="false">IF(AND(ISNUMBER(C52),ISNUMBER(D52),D52&gt;=C52),WORKDAY(D52,1),"")</f>
        <v/>
      </c>
      <c r="H52" s="53" t="str">
        <f aca="true">IF(A52="","",IF(NOT(AND(ISNUMBER(C52),ISNUMBER(D52))),"Sem data definida",IF(D52&lt;C52,"⚠ Datas invertidas",IF(TODAY()&lt;C52,IF(C52-TODAY()=1,"Começa amanhã","Começa em "&amp;(C52-TODAY())&amp;" dias"),IF(TODAY()&gt;D52,"Concluídas",IF(TODAY()=D52,"EM FÉRIAS (último dia)","EM FÉRIAS (faltam "&amp;(D52-TODAY())&amp;" dias)"))))))</f>
        <v/>
      </c>
      <c r="I52" s="53" t="str">
        <f aca="false">IF(OR(A52="",NOT(AND(ISNUMBER(C52),ISNUMBER(D52)))),"",IF(D52-C52+1&gt;30,"⚠ Período acima de 30 dias",IF(COUNTIFS($B$2:$B$301,B52,$C$2:$C$301,"&lt;="&amp;D52,$D$2:$D$301,"&gt;="&amp;C52)&gt;1,"⚠ Coincide com férias de outro do setor","")))</f>
        <v/>
      </c>
      <c r="K52" s="0" t="str">
        <f aca="true">IF(AND(ISNUMBER(C52),ISNUMBER(D52),C52&lt;=TODAY(),D52&gt;=TODAY()),D52+ROW()/100000,"")</f>
        <v/>
      </c>
      <c r="L52" s="0" t="str">
        <f aca="true">IF(AND(ISNUMBER(C52),C52&gt;TODAY(),C52&lt;=TODAY()+30),C52+ROW()/100000,"")</f>
        <v/>
      </c>
      <c r="M52" s="0" t="str">
        <f aca="false">IF(AND(ISNUMBER(C52),ISNUMBER(D52),C52&lt;=CALENDÁRIO!$L$4,D52&gt;=CALENDÁRIO!$L$4),ROW(),"")</f>
        <v/>
      </c>
    </row>
    <row r="53" customFormat="false" ht="15" hidden="false" customHeight="true" outlineLevel="0" collapsed="false">
      <c r="A53" s="52"/>
      <c r="B53" s="52"/>
      <c r="C53" s="51"/>
      <c r="D53" s="51"/>
      <c r="E53" s="52"/>
      <c r="F53" s="61" t="str">
        <f aca="false">IF(AND(ISNUMBER(C53),ISNUMBER(D53),D53&gt;=C53),D53-C53+1,"")</f>
        <v/>
      </c>
      <c r="G53" s="62" t="str">
        <f aca="false">IF(AND(ISNUMBER(C53),ISNUMBER(D53),D53&gt;=C53),WORKDAY(D53,1),"")</f>
        <v/>
      </c>
      <c r="H53" s="53" t="str">
        <f aca="true">IF(A53="","",IF(NOT(AND(ISNUMBER(C53),ISNUMBER(D53))),"Sem data definida",IF(D53&lt;C53,"⚠ Datas invertidas",IF(TODAY()&lt;C53,IF(C53-TODAY()=1,"Começa amanhã","Começa em "&amp;(C53-TODAY())&amp;" dias"),IF(TODAY()&gt;D53,"Concluídas",IF(TODAY()=D53,"EM FÉRIAS (último dia)","EM FÉRIAS (faltam "&amp;(D53-TODAY())&amp;" dias)"))))))</f>
        <v/>
      </c>
      <c r="I53" s="53" t="str">
        <f aca="false">IF(OR(A53="",NOT(AND(ISNUMBER(C53),ISNUMBER(D53)))),"",IF(D53-C53+1&gt;30,"⚠ Período acima de 30 dias",IF(COUNTIFS($B$2:$B$301,B53,$C$2:$C$301,"&lt;="&amp;D53,$D$2:$D$301,"&gt;="&amp;C53)&gt;1,"⚠ Coincide com férias de outro do setor","")))</f>
        <v/>
      </c>
      <c r="K53" s="0" t="str">
        <f aca="true">IF(AND(ISNUMBER(C53),ISNUMBER(D53),C53&lt;=TODAY(),D53&gt;=TODAY()),D53+ROW()/100000,"")</f>
        <v/>
      </c>
      <c r="L53" s="0" t="str">
        <f aca="true">IF(AND(ISNUMBER(C53),C53&gt;TODAY(),C53&lt;=TODAY()+30),C53+ROW()/100000,"")</f>
        <v/>
      </c>
      <c r="M53" s="0" t="str">
        <f aca="false">IF(AND(ISNUMBER(C53),ISNUMBER(D53),C53&lt;=CALENDÁRIO!$L$4,D53&gt;=CALENDÁRIO!$L$4),ROW(),"")</f>
        <v/>
      </c>
    </row>
    <row r="54" customFormat="false" ht="15" hidden="false" customHeight="true" outlineLevel="0" collapsed="false">
      <c r="A54" s="52"/>
      <c r="B54" s="52"/>
      <c r="C54" s="51"/>
      <c r="D54" s="51"/>
      <c r="E54" s="52"/>
      <c r="F54" s="61" t="str">
        <f aca="false">IF(AND(ISNUMBER(C54),ISNUMBER(D54),D54&gt;=C54),D54-C54+1,"")</f>
        <v/>
      </c>
      <c r="G54" s="62" t="str">
        <f aca="false">IF(AND(ISNUMBER(C54),ISNUMBER(D54),D54&gt;=C54),WORKDAY(D54,1),"")</f>
        <v/>
      </c>
      <c r="H54" s="53" t="str">
        <f aca="true">IF(A54="","",IF(NOT(AND(ISNUMBER(C54),ISNUMBER(D54))),"Sem data definida",IF(D54&lt;C54,"⚠ Datas invertidas",IF(TODAY()&lt;C54,IF(C54-TODAY()=1,"Começa amanhã","Começa em "&amp;(C54-TODAY())&amp;" dias"),IF(TODAY()&gt;D54,"Concluídas",IF(TODAY()=D54,"EM FÉRIAS (último dia)","EM FÉRIAS (faltam "&amp;(D54-TODAY())&amp;" dias)"))))))</f>
        <v/>
      </c>
      <c r="I54" s="53" t="str">
        <f aca="false">IF(OR(A54="",NOT(AND(ISNUMBER(C54),ISNUMBER(D54)))),"",IF(D54-C54+1&gt;30,"⚠ Período acima de 30 dias",IF(COUNTIFS($B$2:$B$301,B54,$C$2:$C$301,"&lt;="&amp;D54,$D$2:$D$301,"&gt;="&amp;C54)&gt;1,"⚠ Coincide com férias de outro do setor","")))</f>
        <v/>
      </c>
      <c r="K54" s="0" t="str">
        <f aca="true">IF(AND(ISNUMBER(C54),ISNUMBER(D54),C54&lt;=TODAY(),D54&gt;=TODAY()),D54+ROW()/100000,"")</f>
        <v/>
      </c>
      <c r="L54" s="0" t="str">
        <f aca="true">IF(AND(ISNUMBER(C54),C54&gt;TODAY(),C54&lt;=TODAY()+30),C54+ROW()/100000,"")</f>
        <v/>
      </c>
      <c r="M54" s="0" t="str">
        <f aca="false">IF(AND(ISNUMBER(C54),ISNUMBER(D54),C54&lt;=CALENDÁRIO!$L$4,D54&gt;=CALENDÁRIO!$L$4),ROW(),"")</f>
        <v/>
      </c>
    </row>
    <row r="55" customFormat="false" ht="15" hidden="false" customHeight="true" outlineLevel="0" collapsed="false">
      <c r="A55" s="52"/>
      <c r="B55" s="52"/>
      <c r="C55" s="51"/>
      <c r="D55" s="51"/>
      <c r="E55" s="52"/>
      <c r="F55" s="61" t="str">
        <f aca="false">IF(AND(ISNUMBER(C55),ISNUMBER(D55),D55&gt;=C55),D55-C55+1,"")</f>
        <v/>
      </c>
      <c r="G55" s="62" t="str">
        <f aca="false">IF(AND(ISNUMBER(C55),ISNUMBER(D55),D55&gt;=C55),WORKDAY(D55,1),"")</f>
        <v/>
      </c>
      <c r="H55" s="53" t="str">
        <f aca="true">IF(A55="","",IF(NOT(AND(ISNUMBER(C55),ISNUMBER(D55))),"Sem data definida",IF(D55&lt;C55,"⚠ Datas invertidas",IF(TODAY()&lt;C55,IF(C55-TODAY()=1,"Começa amanhã","Começa em "&amp;(C55-TODAY())&amp;" dias"),IF(TODAY()&gt;D55,"Concluídas",IF(TODAY()=D55,"EM FÉRIAS (último dia)","EM FÉRIAS (faltam "&amp;(D55-TODAY())&amp;" dias)"))))))</f>
        <v/>
      </c>
      <c r="I55" s="53" t="str">
        <f aca="false">IF(OR(A55="",NOT(AND(ISNUMBER(C55),ISNUMBER(D55)))),"",IF(D55-C55+1&gt;30,"⚠ Período acima de 30 dias",IF(COUNTIFS($B$2:$B$301,B55,$C$2:$C$301,"&lt;="&amp;D55,$D$2:$D$301,"&gt;="&amp;C55)&gt;1,"⚠ Coincide com férias de outro do setor","")))</f>
        <v/>
      </c>
      <c r="K55" s="0" t="str">
        <f aca="true">IF(AND(ISNUMBER(C55),ISNUMBER(D55),C55&lt;=TODAY(),D55&gt;=TODAY()),D55+ROW()/100000,"")</f>
        <v/>
      </c>
      <c r="L55" s="0" t="str">
        <f aca="true">IF(AND(ISNUMBER(C55),C55&gt;TODAY(),C55&lt;=TODAY()+30),C55+ROW()/100000,"")</f>
        <v/>
      </c>
      <c r="M55" s="0" t="str">
        <f aca="false">IF(AND(ISNUMBER(C55),ISNUMBER(D55),C55&lt;=CALENDÁRIO!$L$4,D55&gt;=CALENDÁRIO!$L$4),ROW(),"")</f>
        <v/>
      </c>
    </row>
    <row r="56" customFormat="false" ht="15" hidden="false" customHeight="true" outlineLevel="0" collapsed="false">
      <c r="A56" s="52"/>
      <c r="B56" s="52"/>
      <c r="C56" s="51"/>
      <c r="D56" s="51"/>
      <c r="E56" s="52"/>
      <c r="F56" s="61" t="str">
        <f aca="false">IF(AND(ISNUMBER(C56),ISNUMBER(D56),D56&gt;=C56),D56-C56+1,"")</f>
        <v/>
      </c>
      <c r="G56" s="62" t="str">
        <f aca="false">IF(AND(ISNUMBER(C56),ISNUMBER(D56),D56&gt;=C56),WORKDAY(D56,1),"")</f>
        <v/>
      </c>
      <c r="H56" s="53" t="str">
        <f aca="true">IF(A56="","",IF(NOT(AND(ISNUMBER(C56),ISNUMBER(D56))),"Sem data definida",IF(D56&lt;C56,"⚠ Datas invertidas",IF(TODAY()&lt;C56,IF(C56-TODAY()=1,"Começa amanhã","Começa em "&amp;(C56-TODAY())&amp;" dias"),IF(TODAY()&gt;D56,"Concluídas",IF(TODAY()=D56,"EM FÉRIAS (último dia)","EM FÉRIAS (faltam "&amp;(D56-TODAY())&amp;" dias)"))))))</f>
        <v/>
      </c>
      <c r="I56" s="53" t="str">
        <f aca="false">IF(OR(A56="",NOT(AND(ISNUMBER(C56),ISNUMBER(D56)))),"",IF(D56-C56+1&gt;30,"⚠ Período acima de 30 dias",IF(COUNTIFS($B$2:$B$301,B56,$C$2:$C$301,"&lt;="&amp;D56,$D$2:$D$301,"&gt;="&amp;C56)&gt;1,"⚠ Coincide com férias de outro do setor","")))</f>
        <v/>
      </c>
      <c r="K56" s="0" t="str">
        <f aca="true">IF(AND(ISNUMBER(C56),ISNUMBER(D56),C56&lt;=TODAY(),D56&gt;=TODAY()),D56+ROW()/100000,"")</f>
        <v/>
      </c>
      <c r="L56" s="0" t="str">
        <f aca="true">IF(AND(ISNUMBER(C56),C56&gt;TODAY(),C56&lt;=TODAY()+30),C56+ROW()/100000,"")</f>
        <v/>
      </c>
      <c r="M56" s="0" t="str">
        <f aca="false">IF(AND(ISNUMBER(C56),ISNUMBER(D56),C56&lt;=CALENDÁRIO!$L$4,D56&gt;=CALENDÁRIO!$L$4),ROW(),"")</f>
        <v/>
      </c>
    </row>
    <row r="57" customFormat="false" ht="15" hidden="false" customHeight="true" outlineLevel="0" collapsed="false">
      <c r="A57" s="52"/>
      <c r="B57" s="52"/>
      <c r="C57" s="51"/>
      <c r="D57" s="51"/>
      <c r="E57" s="52"/>
      <c r="F57" s="61" t="str">
        <f aca="false">IF(AND(ISNUMBER(C57),ISNUMBER(D57),D57&gt;=C57),D57-C57+1,"")</f>
        <v/>
      </c>
      <c r="G57" s="62" t="str">
        <f aca="false">IF(AND(ISNUMBER(C57),ISNUMBER(D57),D57&gt;=C57),WORKDAY(D57,1),"")</f>
        <v/>
      </c>
      <c r="H57" s="53" t="str">
        <f aca="true">IF(A57="","",IF(NOT(AND(ISNUMBER(C57),ISNUMBER(D57))),"Sem data definida",IF(D57&lt;C57,"⚠ Datas invertidas",IF(TODAY()&lt;C57,IF(C57-TODAY()=1,"Começa amanhã","Começa em "&amp;(C57-TODAY())&amp;" dias"),IF(TODAY()&gt;D57,"Concluídas",IF(TODAY()=D57,"EM FÉRIAS (último dia)","EM FÉRIAS (faltam "&amp;(D57-TODAY())&amp;" dias)"))))))</f>
        <v/>
      </c>
      <c r="I57" s="53" t="str">
        <f aca="false">IF(OR(A57="",NOT(AND(ISNUMBER(C57),ISNUMBER(D57)))),"",IF(D57-C57+1&gt;30,"⚠ Período acima de 30 dias",IF(COUNTIFS($B$2:$B$301,B57,$C$2:$C$301,"&lt;="&amp;D57,$D$2:$D$301,"&gt;="&amp;C57)&gt;1,"⚠ Coincide com férias de outro do setor","")))</f>
        <v/>
      </c>
      <c r="K57" s="0" t="str">
        <f aca="true">IF(AND(ISNUMBER(C57),ISNUMBER(D57),C57&lt;=TODAY(),D57&gt;=TODAY()),D57+ROW()/100000,"")</f>
        <v/>
      </c>
      <c r="L57" s="0" t="str">
        <f aca="true">IF(AND(ISNUMBER(C57),C57&gt;TODAY(),C57&lt;=TODAY()+30),C57+ROW()/100000,"")</f>
        <v/>
      </c>
      <c r="M57" s="0" t="str">
        <f aca="false">IF(AND(ISNUMBER(C57),ISNUMBER(D57),C57&lt;=CALENDÁRIO!$L$4,D57&gt;=CALENDÁRIO!$L$4),ROW(),"")</f>
        <v/>
      </c>
    </row>
    <row r="58" customFormat="false" ht="15" hidden="false" customHeight="true" outlineLevel="0" collapsed="false">
      <c r="A58" s="52"/>
      <c r="B58" s="52"/>
      <c r="C58" s="51"/>
      <c r="D58" s="51"/>
      <c r="E58" s="52"/>
      <c r="F58" s="61" t="str">
        <f aca="false">IF(AND(ISNUMBER(C58),ISNUMBER(D58),D58&gt;=C58),D58-C58+1,"")</f>
        <v/>
      </c>
      <c r="G58" s="62" t="str">
        <f aca="false">IF(AND(ISNUMBER(C58),ISNUMBER(D58),D58&gt;=C58),WORKDAY(D58,1),"")</f>
        <v/>
      </c>
      <c r="H58" s="53" t="str">
        <f aca="true">IF(A58="","",IF(NOT(AND(ISNUMBER(C58),ISNUMBER(D58))),"Sem data definida",IF(D58&lt;C58,"⚠ Datas invertidas",IF(TODAY()&lt;C58,IF(C58-TODAY()=1,"Começa amanhã","Começa em "&amp;(C58-TODAY())&amp;" dias"),IF(TODAY()&gt;D58,"Concluídas",IF(TODAY()=D58,"EM FÉRIAS (último dia)","EM FÉRIAS (faltam "&amp;(D58-TODAY())&amp;" dias)"))))))</f>
        <v/>
      </c>
      <c r="I58" s="53" t="str">
        <f aca="false">IF(OR(A58="",NOT(AND(ISNUMBER(C58),ISNUMBER(D58)))),"",IF(D58-C58+1&gt;30,"⚠ Período acima de 30 dias",IF(COUNTIFS($B$2:$B$301,B58,$C$2:$C$301,"&lt;="&amp;D58,$D$2:$D$301,"&gt;="&amp;C58)&gt;1,"⚠ Coincide com férias de outro do setor","")))</f>
        <v/>
      </c>
      <c r="K58" s="0" t="str">
        <f aca="true">IF(AND(ISNUMBER(C58),ISNUMBER(D58),C58&lt;=TODAY(),D58&gt;=TODAY()),D58+ROW()/100000,"")</f>
        <v/>
      </c>
      <c r="L58" s="0" t="str">
        <f aca="true">IF(AND(ISNUMBER(C58),C58&gt;TODAY(),C58&lt;=TODAY()+30),C58+ROW()/100000,"")</f>
        <v/>
      </c>
      <c r="M58" s="0" t="str">
        <f aca="false">IF(AND(ISNUMBER(C58),ISNUMBER(D58),C58&lt;=CALENDÁRIO!$L$4,D58&gt;=CALENDÁRIO!$L$4),ROW(),"")</f>
        <v/>
      </c>
    </row>
    <row r="59" customFormat="false" ht="15" hidden="false" customHeight="true" outlineLevel="0" collapsed="false">
      <c r="A59" s="52"/>
      <c r="B59" s="52"/>
      <c r="C59" s="51"/>
      <c r="D59" s="51"/>
      <c r="E59" s="52"/>
      <c r="F59" s="61" t="str">
        <f aca="false">IF(AND(ISNUMBER(C59),ISNUMBER(D59),D59&gt;=C59),D59-C59+1,"")</f>
        <v/>
      </c>
      <c r="G59" s="62" t="str">
        <f aca="false">IF(AND(ISNUMBER(C59),ISNUMBER(D59),D59&gt;=C59),WORKDAY(D59,1),"")</f>
        <v/>
      </c>
      <c r="H59" s="53" t="str">
        <f aca="true">IF(A59="","",IF(NOT(AND(ISNUMBER(C59),ISNUMBER(D59))),"Sem data definida",IF(D59&lt;C59,"⚠ Datas invertidas",IF(TODAY()&lt;C59,IF(C59-TODAY()=1,"Começa amanhã","Começa em "&amp;(C59-TODAY())&amp;" dias"),IF(TODAY()&gt;D59,"Concluídas",IF(TODAY()=D59,"EM FÉRIAS (último dia)","EM FÉRIAS (faltam "&amp;(D59-TODAY())&amp;" dias)"))))))</f>
        <v/>
      </c>
      <c r="I59" s="53" t="str">
        <f aca="false">IF(OR(A59="",NOT(AND(ISNUMBER(C59),ISNUMBER(D59)))),"",IF(D59-C59+1&gt;30,"⚠ Período acima de 30 dias",IF(COUNTIFS($B$2:$B$301,B59,$C$2:$C$301,"&lt;="&amp;D59,$D$2:$D$301,"&gt;="&amp;C59)&gt;1,"⚠ Coincide com férias de outro do setor","")))</f>
        <v/>
      </c>
      <c r="K59" s="0" t="str">
        <f aca="true">IF(AND(ISNUMBER(C59),ISNUMBER(D59),C59&lt;=TODAY(),D59&gt;=TODAY()),D59+ROW()/100000,"")</f>
        <v/>
      </c>
      <c r="L59" s="0" t="str">
        <f aca="true">IF(AND(ISNUMBER(C59),C59&gt;TODAY(),C59&lt;=TODAY()+30),C59+ROW()/100000,"")</f>
        <v/>
      </c>
      <c r="M59" s="0" t="str">
        <f aca="false">IF(AND(ISNUMBER(C59),ISNUMBER(D59),C59&lt;=CALENDÁRIO!$L$4,D59&gt;=CALENDÁRIO!$L$4),ROW(),"")</f>
        <v/>
      </c>
    </row>
    <row r="60" customFormat="false" ht="15" hidden="false" customHeight="true" outlineLevel="0" collapsed="false">
      <c r="A60" s="52"/>
      <c r="B60" s="52"/>
      <c r="C60" s="51"/>
      <c r="D60" s="51"/>
      <c r="E60" s="52"/>
      <c r="F60" s="61" t="str">
        <f aca="false">IF(AND(ISNUMBER(C60),ISNUMBER(D60),D60&gt;=C60),D60-C60+1,"")</f>
        <v/>
      </c>
      <c r="G60" s="62" t="str">
        <f aca="false">IF(AND(ISNUMBER(C60),ISNUMBER(D60),D60&gt;=C60),WORKDAY(D60,1),"")</f>
        <v/>
      </c>
      <c r="H60" s="53" t="str">
        <f aca="true">IF(A60="","",IF(NOT(AND(ISNUMBER(C60),ISNUMBER(D60))),"Sem data definida",IF(D60&lt;C60,"⚠ Datas invertidas",IF(TODAY()&lt;C60,IF(C60-TODAY()=1,"Começa amanhã","Começa em "&amp;(C60-TODAY())&amp;" dias"),IF(TODAY()&gt;D60,"Concluídas",IF(TODAY()=D60,"EM FÉRIAS (último dia)","EM FÉRIAS (faltam "&amp;(D60-TODAY())&amp;" dias)"))))))</f>
        <v/>
      </c>
      <c r="I60" s="53" t="str">
        <f aca="false">IF(OR(A60="",NOT(AND(ISNUMBER(C60),ISNUMBER(D60)))),"",IF(D60-C60+1&gt;30,"⚠ Período acima de 30 dias",IF(COUNTIFS($B$2:$B$301,B60,$C$2:$C$301,"&lt;="&amp;D60,$D$2:$D$301,"&gt;="&amp;C60)&gt;1,"⚠ Coincide com férias de outro do setor","")))</f>
        <v/>
      </c>
      <c r="K60" s="0" t="str">
        <f aca="true">IF(AND(ISNUMBER(C60),ISNUMBER(D60),C60&lt;=TODAY(),D60&gt;=TODAY()),D60+ROW()/100000,"")</f>
        <v/>
      </c>
      <c r="L60" s="0" t="str">
        <f aca="true">IF(AND(ISNUMBER(C60),C60&gt;TODAY(),C60&lt;=TODAY()+30),C60+ROW()/100000,"")</f>
        <v/>
      </c>
      <c r="M60" s="0" t="str">
        <f aca="false">IF(AND(ISNUMBER(C60),ISNUMBER(D60),C60&lt;=CALENDÁRIO!$L$4,D60&gt;=CALENDÁRIO!$L$4),ROW(),"")</f>
        <v/>
      </c>
    </row>
    <row r="61" customFormat="false" ht="15" hidden="false" customHeight="true" outlineLevel="0" collapsed="false">
      <c r="A61" s="52"/>
      <c r="B61" s="52"/>
      <c r="C61" s="51"/>
      <c r="D61" s="51"/>
      <c r="E61" s="52"/>
      <c r="F61" s="61" t="str">
        <f aca="false">IF(AND(ISNUMBER(C61),ISNUMBER(D61),D61&gt;=C61),D61-C61+1,"")</f>
        <v/>
      </c>
      <c r="G61" s="62" t="str">
        <f aca="false">IF(AND(ISNUMBER(C61),ISNUMBER(D61),D61&gt;=C61),WORKDAY(D61,1),"")</f>
        <v/>
      </c>
      <c r="H61" s="53" t="str">
        <f aca="true">IF(A61="","",IF(NOT(AND(ISNUMBER(C61),ISNUMBER(D61))),"Sem data definida",IF(D61&lt;C61,"⚠ Datas invertidas",IF(TODAY()&lt;C61,IF(C61-TODAY()=1,"Começa amanhã","Começa em "&amp;(C61-TODAY())&amp;" dias"),IF(TODAY()&gt;D61,"Concluídas",IF(TODAY()=D61,"EM FÉRIAS (último dia)","EM FÉRIAS (faltam "&amp;(D61-TODAY())&amp;" dias)"))))))</f>
        <v/>
      </c>
      <c r="I61" s="53" t="str">
        <f aca="false">IF(OR(A61="",NOT(AND(ISNUMBER(C61),ISNUMBER(D61)))),"",IF(D61-C61+1&gt;30,"⚠ Período acima de 30 dias",IF(COUNTIFS($B$2:$B$301,B61,$C$2:$C$301,"&lt;="&amp;D61,$D$2:$D$301,"&gt;="&amp;C61)&gt;1,"⚠ Coincide com férias de outro do setor","")))</f>
        <v/>
      </c>
      <c r="K61" s="0" t="str">
        <f aca="true">IF(AND(ISNUMBER(C61),ISNUMBER(D61),C61&lt;=TODAY(),D61&gt;=TODAY()),D61+ROW()/100000,"")</f>
        <v/>
      </c>
      <c r="L61" s="0" t="str">
        <f aca="true">IF(AND(ISNUMBER(C61),C61&gt;TODAY(),C61&lt;=TODAY()+30),C61+ROW()/100000,"")</f>
        <v/>
      </c>
      <c r="M61" s="0" t="str">
        <f aca="false">IF(AND(ISNUMBER(C61),ISNUMBER(D61),C61&lt;=CALENDÁRIO!$L$4,D61&gt;=CALENDÁRIO!$L$4),ROW(),"")</f>
        <v/>
      </c>
    </row>
    <row r="62" customFormat="false" ht="15" hidden="false" customHeight="true" outlineLevel="0" collapsed="false">
      <c r="A62" s="52"/>
      <c r="B62" s="52"/>
      <c r="C62" s="51"/>
      <c r="D62" s="51"/>
      <c r="E62" s="52"/>
      <c r="F62" s="61" t="str">
        <f aca="false">IF(AND(ISNUMBER(C62),ISNUMBER(D62),D62&gt;=C62),D62-C62+1,"")</f>
        <v/>
      </c>
      <c r="G62" s="62" t="str">
        <f aca="false">IF(AND(ISNUMBER(C62),ISNUMBER(D62),D62&gt;=C62),WORKDAY(D62,1),"")</f>
        <v/>
      </c>
      <c r="H62" s="53" t="str">
        <f aca="true">IF(A62="","",IF(NOT(AND(ISNUMBER(C62),ISNUMBER(D62))),"Sem data definida",IF(D62&lt;C62,"⚠ Datas invertidas",IF(TODAY()&lt;C62,IF(C62-TODAY()=1,"Começa amanhã","Começa em "&amp;(C62-TODAY())&amp;" dias"),IF(TODAY()&gt;D62,"Concluídas",IF(TODAY()=D62,"EM FÉRIAS (último dia)","EM FÉRIAS (faltam "&amp;(D62-TODAY())&amp;" dias)"))))))</f>
        <v/>
      </c>
      <c r="I62" s="53" t="str">
        <f aca="false">IF(OR(A62="",NOT(AND(ISNUMBER(C62),ISNUMBER(D62)))),"",IF(D62-C62+1&gt;30,"⚠ Período acima de 30 dias",IF(COUNTIFS($B$2:$B$301,B62,$C$2:$C$301,"&lt;="&amp;D62,$D$2:$D$301,"&gt;="&amp;C62)&gt;1,"⚠ Coincide com férias de outro do setor","")))</f>
        <v/>
      </c>
      <c r="K62" s="0" t="str">
        <f aca="true">IF(AND(ISNUMBER(C62),ISNUMBER(D62),C62&lt;=TODAY(),D62&gt;=TODAY()),D62+ROW()/100000,"")</f>
        <v/>
      </c>
      <c r="L62" s="0" t="str">
        <f aca="true">IF(AND(ISNUMBER(C62),C62&gt;TODAY(),C62&lt;=TODAY()+30),C62+ROW()/100000,"")</f>
        <v/>
      </c>
      <c r="M62" s="0" t="str">
        <f aca="false">IF(AND(ISNUMBER(C62),ISNUMBER(D62),C62&lt;=CALENDÁRIO!$L$4,D62&gt;=CALENDÁRIO!$L$4),ROW(),"")</f>
        <v/>
      </c>
    </row>
    <row r="63" customFormat="false" ht="15" hidden="false" customHeight="true" outlineLevel="0" collapsed="false">
      <c r="A63" s="52"/>
      <c r="B63" s="52"/>
      <c r="C63" s="51"/>
      <c r="D63" s="51"/>
      <c r="E63" s="52"/>
      <c r="F63" s="61" t="str">
        <f aca="false">IF(AND(ISNUMBER(C63),ISNUMBER(D63),D63&gt;=C63),D63-C63+1,"")</f>
        <v/>
      </c>
      <c r="G63" s="62" t="str">
        <f aca="false">IF(AND(ISNUMBER(C63),ISNUMBER(D63),D63&gt;=C63),WORKDAY(D63,1),"")</f>
        <v/>
      </c>
      <c r="H63" s="53" t="str">
        <f aca="true">IF(A63="","",IF(NOT(AND(ISNUMBER(C63),ISNUMBER(D63))),"Sem data definida",IF(D63&lt;C63,"⚠ Datas invertidas",IF(TODAY()&lt;C63,IF(C63-TODAY()=1,"Começa amanhã","Começa em "&amp;(C63-TODAY())&amp;" dias"),IF(TODAY()&gt;D63,"Concluídas",IF(TODAY()=D63,"EM FÉRIAS (último dia)","EM FÉRIAS (faltam "&amp;(D63-TODAY())&amp;" dias)"))))))</f>
        <v/>
      </c>
      <c r="I63" s="53" t="str">
        <f aca="false">IF(OR(A63="",NOT(AND(ISNUMBER(C63),ISNUMBER(D63)))),"",IF(D63-C63+1&gt;30,"⚠ Período acima de 30 dias",IF(COUNTIFS($B$2:$B$301,B63,$C$2:$C$301,"&lt;="&amp;D63,$D$2:$D$301,"&gt;="&amp;C63)&gt;1,"⚠ Coincide com férias de outro do setor","")))</f>
        <v/>
      </c>
      <c r="K63" s="0" t="str">
        <f aca="true">IF(AND(ISNUMBER(C63),ISNUMBER(D63),C63&lt;=TODAY(),D63&gt;=TODAY()),D63+ROW()/100000,"")</f>
        <v/>
      </c>
      <c r="L63" s="0" t="str">
        <f aca="true">IF(AND(ISNUMBER(C63),C63&gt;TODAY(),C63&lt;=TODAY()+30),C63+ROW()/100000,"")</f>
        <v/>
      </c>
      <c r="M63" s="0" t="str">
        <f aca="false">IF(AND(ISNUMBER(C63),ISNUMBER(D63),C63&lt;=CALENDÁRIO!$L$4,D63&gt;=CALENDÁRIO!$L$4),ROW(),"")</f>
        <v/>
      </c>
    </row>
    <row r="64" customFormat="false" ht="15" hidden="false" customHeight="true" outlineLevel="0" collapsed="false">
      <c r="A64" s="52"/>
      <c r="B64" s="52"/>
      <c r="C64" s="51"/>
      <c r="D64" s="51"/>
      <c r="E64" s="52"/>
      <c r="F64" s="61" t="str">
        <f aca="false">IF(AND(ISNUMBER(C64),ISNUMBER(D64),D64&gt;=C64),D64-C64+1,"")</f>
        <v/>
      </c>
      <c r="G64" s="62" t="str">
        <f aca="false">IF(AND(ISNUMBER(C64),ISNUMBER(D64),D64&gt;=C64),WORKDAY(D64,1),"")</f>
        <v/>
      </c>
      <c r="H64" s="53" t="str">
        <f aca="true">IF(A64="","",IF(NOT(AND(ISNUMBER(C64),ISNUMBER(D64))),"Sem data definida",IF(D64&lt;C64,"⚠ Datas invertidas",IF(TODAY()&lt;C64,IF(C64-TODAY()=1,"Começa amanhã","Começa em "&amp;(C64-TODAY())&amp;" dias"),IF(TODAY()&gt;D64,"Concluídas",IF(TODAY()=D64,"EM FÉRIAS (último dia)","EM FÉRIAS (faltam "&amp;(D64-TODAY())&amp;" dias)"))))))</f>
        <v/>
      </c>
      <c r="I64" s="53" t="str">
        <f aca="false">IF(OR(A64="",NOT(AND(ISNUMBER(C64),ISNUMBER(D64)))),"",IF(D64-C64+1&gt;30,"⚠ Período acima de 30 dias",IF(COUNTIFS($B$2:$B$301,B64,$C$2:$C$301,"&lt;="&amp;D64,$D$2:$D$301,"&gt;="&amp;C64)&gt;1,"⚠ Coincide com férias de outro do setor","")))</f>
        <v/>
      </c>
      <c r="K64" s="0" t="str">
        <f aca="true">IF(AND(ISNUMBER(C64),ISNUMBER(D64),C64&lt;=TODAY(),D64&gt;=TODAY()),D64+ROW()/100000,"")</f>
        <v/>
      </c>
      <c r="L64" s="0" t="str">
        <f aca="true">IF(AND(ISNUMBER(C64),C64&gt;TODAY(),C64&lt;=TODAY()+30),C64+ROW()/100000,"")</f>
        <v/>
      </c>
      <c r="M64" s="0" t="str">
        <f aca="false">IF(AND(ISNUMBER(C64),ISNUMBER(D64),C64&lt;=CALENDÁRIO!$L$4,D64&gt;=CALENDÁRIO!$L$4),ROW(),"")</f>
        <v/>
      </c>
    </row>
    <row r="65" customFormat="false" ht="15" hidden="false" customHeight="true" outlineLevel="0" collapsed="false">
      <c r="A65" s="52"/>
      <c r="B65" s="52"/>
      <c r="C65" s="51"/>
      <c r="D65" s="51"/>
      <c r="E65" s="52"/>
      <c r="F65" s="61" t="str">
        <f aca="false">IF(AND(ISNUMBER(C65),ISNUMBER(D65),D65&gt;=C65),D65-C65+1,"")</f>
        <v/>
      </c>
      <c r="G65" s="62" t="str">
        <f aca="false">IF(AND(ISNUMBER(C65),ISNUMBER(D65),D65&gt;=C65),WORKDAY(D65,1),"")</f>
        <v/>
      </c>
      <c r="H65" s="53" t="str">
        <f aca="true">IF(A65="","",IF(NOT(AND(ISNUMBER(C65),ISNUMBER(D65))),"Sem data definida",IF(D65&lt;C65,"⚠ Datas invertidas",IF(TODAY()&lt;C65,IF(C65-TODAY()=1,"Começa amanhã","Começa em "&amp;(C65-TODAY())&amp;" dias"),IF(TODAY()&gt;D65,"Concluídas",IF(TODAY()=D65,"EM FÉRIAS (último dia)","EM FÉRIAS (faltam "&amp;(D65-TODAY())&amp;" dias)"))))))</f>
        <v/>
      </c>
      <c r="I65" s="53" t="str">
        <f aca="false">IF(OR(A65="",NOT(AND(ISNUMBER(C65),ISNUMBER(D65)))),"",IF(D65-C65+1&gt;30,"⚠ Período acima de 30 dias",IF(COUNTIFS($B$2:$B$301,B65,$C$2:$C$301,"&lt;="&amp;D65,$D$2:$D$301,"&gt;="&amp;C65)&gt;1,"⚠ Coincide com férias de outro do setor","")))</f>
        <v/>
      </c>
      <c r="K65" s="0" t="str">
        <f aca="true">IF(AND(ISNUMBER(C65),ISNUMBER(D65),C65&lt;=TODAY(),D65&gt;=TODAY()),D65+ROW()/100000,"")</f>
        <v/>
      </c>
      <c r="L65" s="0" t="str">
        <f aca="true">IF(AND(ISNUMBER(C65),C65&gt;TODAY(),C65&lt;=TODAY()+30),C65+ROW()/100000,"")</f>
        <v/>
      </c>
      <c r="M65" s="0" t="str">
        <f aca="false">IF(AND(ISNUMBER(C65),ISNUMBER(D65),C65&lt;=CALENDÁRIO!$L$4,D65&gt;=CALENDÁRIO!$L$4),ROW(),"")</f>
        <v/>
      </c>
    </row>
    <row r="66" customFormat="false" ht="15" hidden="false" customHeight="true" outlineLevel="0" collapsed="false">
      <c r="A66" s="52"/>
      <c r="B66" s="52"/>
      <c r="C66" s="51"/>
      <c r="D66" s="51"/>
      <c r="E66" s="52"/>
      <c r="F66" s="61" t="str">
        <f aca="false">IF(AND(ISNUMBER(C66),ISNUMBER(D66),D66&gt;=C66),D66-C66+1,"")</f>
        <v/>
      </c>
      <c r="G66" s="62" t="str">
        <f aca="false">IF(AND(ISNUMBER(C66),ISNUMBER(D66),D66&gt;=C66),WORKDAY(D66,1),"")</f>
        <v/>
      </c>
      <c r="H66" s="53" t="str">
        <f aca="true">IF(A66="","",IF(NOT(AND(ISNUMBER(C66),ISNUMBER(D66))),"Sem data definida",IF(D66&lt;C66,"⚠ Datas invertidas",IF(TODAY()&lt;C66,IF(C66-TODAY()=1,"Começa amanhã","Começa em "&amp;(C66-TODAY())&amp;" dias"),IF(TODAY()&gt;D66,"Concluídas",IF(TODAY()=D66,"EM FÉRIAS (último dia)","EM FÉRIAS (faltam "&amp;(D66-TODAY())&amp;" dias)"))))))</f>
        <v/>
      </c>
      <c r="I66" s="53" t="str">
        <f aca="false">IF(OR(A66="",NOT(AND(ISNUMBER(C66),ISNUMBER(D66)))),"",IF(D66-C66+1&gt;30,"⚠ Período acima de 30 dias",IF(COUNTIFS($B$2:$B$301,B66,$C$2:$C$301,"&lt;="&amp;D66,$D$2:$D$301,"&gt;="&amp;C66)&gt;1,"⚠ Coincide com férias de outro do setor","")))</f>
        <v/>
      </c>
      <c r="K66" s="0" t="str">
        <f aca="true">IF(AND(ISNUMBER(C66),ISNUMBER(D66),C66&lt;=TODAY(),D66&gt;=TODAY()),D66+ROW()/100000,"")</f>
        <v/>
      </c>
      <c r="L66" s="0" t="str">
        <f aca="true">IF(AND(ISNUMBER(C66),C66&gt;TODAY(),C66&lt;=TODAY()+30),C66+ROW()/100000,"")</f>
        <v/>
      </c>
      <c r="M66" s="0" t="str">
        <f aca="false">IF(AND(ISNUMBER(C66),ISNUMBER(D66),C66&lt;=CALENDÁRIO!$L$4,D66&gt;=CALENDÁRIO!$L$4),ROW(),"")</f>
        <v/>
      </c>
    </row>
    <row r="67" customFormat="false" ht="15" hidden="false" customHeight="true" outlineLevel="0" collapsed="false">
      <c r="A67" s="52"/>
      <c r="B67" s="52"/>
      <c r="C67" s="51"/>
      <c r="D67" s="51"/>
      <c r="E67" s="52"/>
      <c r="F67" s="61" t="str">
        <f aca="false">IF(AND(ISNUMBER(C67),ISNUMBER(D67),D67&gt;=C67),D67-C67+1,"")</f>
        <v/>
      </c>
      <c r="G67" s="62" t="str">
        <f aca="false">IF(AND(ISNUMBER(C67),ISNUMBER(D67),D67&gt;=C67),WORKDAY(D67,1),"")</f>
        <v/>
      </c>
      <c r="H67" s="53" t="str">
        <f aca="true">IF(A67="","",IF(NOT(AND(ISNUMBER(C67),ISNUMBER(D67))),"Sem data definida",IF(D67&lt;C67,"⚠ Datas invertidas",IF(TODAY()&lt;C67,IF(C67-TODAY()=1,"Começa amanhã","Começa em "&amp;(C67-TODAY())&amp;" dias"),IF(TODAY()&gt;D67,"Concluídas",IF(TODAY()=D67,"EM FÉRIAS (último dia)","EM FÉRIAS (faltam "&amp;(D67-TODAY())&amp;" dias)"))))))</f>
        <v/>
      </c>
      <c r="I67" s="53" t="str">
        <f aca="false">IF(OR(A67="",NOT(AND(ISNUMBER(C67),ISNUMBER(D67)))),"",IF(D67-C67+1&gt;30,"⚠ Período acima de 30 dias",IF(COUNTIFS($B$2:$B$301,B67,$C$2:$C$301,"&lt;="&amp;D67,$D$2:$D$301,"&gt;="&amp;C67)&gt;1,"⚠ Coincide com férias de outro do setor","")))</f>
        <v/>
      </c>
      <c r="K67" s="0" t="str">
        <f aca="true">IF(AND(ISNUMBER(C67),ISNUMBER(D67),C67&lt;=TODAY(),D67&gt;=TODAY()),D67+ROW()/100000,"")</f>
        <v/>
      </c>
      <c r="L67" s="0" t="str">
        <f aca="true">IF(AND(ISNUMBER(C67),C67&gt;TODAY(),C67&lt;=TODAY()+30),C67+ROW()/100000,"")</f>
        <v/>
      </c>
      <c r="M67" s="0" t="str">
        <f aca="false">IF(AND(ISNUMBER(C67),ISNUMBER(D67),C67&lt;=CALENDÁRIO!$L$4,D67&gt;=CALENDÁRIO!$L$4),ROW(),"")</f>
        <v/>
      </c>
    </row>
    <row r="68" customFormat="false" ht="15" hidden="false" customHeight="true" outlineLevel="0" collapsed="false">
      <c r="A68" s="52"/>
      <c r="B68" s="52"/>
      <c r="C68" s="51"/>
      <c r="D68" s="51"/>
      <c r="E68" s="52"/>
      <c r="F68" s="61" t="str">
        <f aca="false">IF(AND(ISNUMBER(C68),ISNUMBER(D68),D68&gt;=C68),D68-C68+1,"")</f>
        <v/>
      </c>
      <c r="G68" s="62" t="str">
        <f aca="false">IF(AND(ISNUMBER(C68),ISNUMBER(D68),D68&gt;=C68),WORKDAY(D68,1),"")</f>
        <v/>
      </c>
      <c r="H68" s="53" t="str">
        <f aca="true">IF(A68="","",IF(NOT(AND(ISNUMBER(C68),ISNUMBER(D68))),"Sem data definida",IF(D68&lt;C68,"⚠ Datas invertidas",IF(TODAY()&lt;C68,IF(C68-TODAY()=1,"Começa amanhã","Começa em "&amp;(C68-TODAY())&amp;" dias"),IF(TODAY()&gt;D68,"Concluídas",IF(TODAY()=D68,"EM FÉRIAS (último dia)","EM FÉRIAS (faltam "&amp;(D68-TODAY())&amp;" dias)"))))))</f>
        <v/>
      </c>
      <c r="I68" s="53" t="str">
        <f aca="false">IF(OR(A68="",NOT(AND(ISNUMBER(C68),ISNUMBER(D68)))),"",IF(D68-C68+1&gt;30,"⚠ Período acima de 30 dias",IF(COUNTIFS($B$2:$B$301,B68,$C$2:$C$301,"&lt;="&amp;D68,$D$2:$D$301,"&gt;="&amp;C68)&gt;1,"⚠ Coincide com férias de outro do setor","")))</f>
        <v/>
      </c>
      <c r="K68" s="0" t="str">
        <f aca="true">IF(AND(ISNUMBER(C68),ISNUMBER(D68),C68&lt;=TODAY(),D68&gt;=TODAY()),D68+ROW()/100000,"")</f>
        <v/>
      </c>
      <c r="L68" s="0" t="str">
        <f aca="true">IF(AND(ISNUMBER(C68),C68&gt;TODAY(),C68&lt;=TODAY()+30),C68+ROW()/100000,"")</f>
        <v/>
      </c>
      <c r="M68" s="0" t="str">
        <f aca="false">IF(AND(ISNUMBER(C68),ISNUMBER(D68),C68&lt;=CALENDÁRIO!$L$4,D68&gt;=CALENDÁRIO!$L$4),ROW(),"")</f>
        <v/>
      </c>
    </row>
    <row r="69" customFormat="false" ht="15" hidden="false" customHeight="true" outlineLevel="0" collapsed="false">
      <c r="A69" s="52"/>
      <c r="B69" s="52"/>
      <c r="C69" s="51"/>
      <c r="D69" s="51"/>
      <c r="E69" s="52"/>
      <c r="F69" s="61" t="str">
        <f aca="false">IF(AND(ISNUMBER(C69),ISNUMBER(D69),D69&gt;=C69),D69-C69+1,"")</f>
        <v/>
      </c>
      <c r="G69" s="62" t="str">
        <f aca="false">IF(AND(ISNUMBER(C69),ISNUMBER(D69),D69&gt;=C69),WORKDAY(D69,1),"")</f>
        <v/>
      </c>
      <c r="H69" s="53" t="str">
        <f aca="true">IF(A69="","",IF(NOT(AND(ISNUMBER(C69),ISNUMBER(D69))),"Sem data definida",IF(D69&lt;C69,"⚠ Datas invertidas",IF(TODAY()&lt;C69,IF(C69-TODAY()=1,"Começa amanhã","Começa em "&amp;(C69-TODAY())&amp;" dias"),IF(TODAY()&gt;D69,"Concluídas",IF(TODAY()=D69,"EM FÉRIAS (último dia)","EM FÉRIAS (faltam "&amp;(D69-TODAY())&amp;" dias)"))))))</f>
        <v/>
      </c>
      <c r="I69" s="53" t="str">
        <f aca="false">IF(OR(A69="",NOT(AND(ISNUMBER(C69),ISNUMBER(D69)))),"",IF(D69-C69+1&gt;30,"⚠ Período acima de 30 dias",IF(COUNTIFS($B$2:$B$301,B69,$C$2:$C$301,"&lt;="&amp;D69,$D$2:$D$301,"&gt;="&amp;C69)&gt;1,"⚠ Coincide com férias de outro do setor","")))</f>
        <v/>
      </c>
      <c r="K69" s="0" t="str">
        <f aca="true">IF(AND(ISNUMBER(C69),ISNUMBER(D69),C69&lt;=TODAY(),D69&gt;=TODAY()),D69+ROW()/100000,"")</f>
        <v/>
      </c>
      <c r="L69" s="0" t="str">
        <f aca="true">IF(AND(ISNUMBER(C69),C69&gt;TODAY(),C69&lt;=TODAY()+30),C69+ROW()/100000,"")</f>
        <v/>
      </c>
      <c r="M69" s="0" t="str">
        <f aca="false">IF(AND(ISNUMBER(C69),ISNUMBER(D69),C69&lt;=CALENDÁRIO!$L$4,D69&gt;=CALENDÁRIO!$L$4),ROW(),"")</f>
        <v/>
      </c>
    </row>
    <row r="70" customFormat="false" ht="15" hidden="false" customHeight="true" outlineLevel="0" collapsed="false">
      <c r="A70" s="52"/>
      <c r="B70" s="52"/>
      <c r="C70" s="51"/>
      <c r="D70" s="51"/>
      <c r="E70" s="52"/>
      <c r="F70" s="61" t="str">
        <f aca="false">IF(AND(ISNUMBER(C70),ISNUMBER(D70),D70&gt;=C70),D70-C70+1,"")</f>
        <v/>
      </c>
      <c r="G70" s="62" t="str">
        <f aca="false">IF(AND(ISNUMBER(C70),ISNUMBER(D70),D70&gt;=C70),WORKDAY(D70,1),"")</f>
        <v/>
      </c>
      <c r="H70" s="53" t="str">
        <f aca="true">IF(A70="","",IF(NOT(AND(ISNUMBER(C70),ISNUMBER(D70))),"Sem data definida",IF(D70&lt;C70,"⚠ Datas invertidas",IF(TODAY()&lt;C70,IF(C70-TODAY()=1,"Começa amanhã","Começa em "&amp;(C70-TODAY())&amp;" dias"),IF(TODAY()&gt;D70,"Concluídas",IF(TODAY()=D70,"EM FÉRIAS (último dia)","EM FÉRIAS (faltam "&amp;(D70-TODAY())&amp;" dias)"))))))</f>
        <v/>
      </c>
      <c r="I70" s="53" t="str">
        <f aca="false">IF(OR(A70="",NOT(AND(ISNUMBER(C70),ISNUMBER(D70)))),"",IF(D70-C70+1&gt;30,"⚠ Período acima de 30 dias",IF(COUNTIFS($B$2:$B$301,B70,$C$2:$C$301,"&lt;="&amp;D70,$D$2:$D$301,"&gt;="&amp;C70)&gt;1,"⚠ Coincide com férias de outro do setor","")))</f>
        <v/>
      </c>
      <c r="K70" s="0" t="str">
        <f aca="true">IF(AND(ISNUMBER(C70),ISNUMBER(D70),C70&lt;=TODAY(),D70&gt;=TODAY()),D70+ROW()/100000,"")</f>
        <v/>
      </c>
      <c r="L70" s="0" t="str">
        <f aca="true">IF(AND(ISNUMBER(C70),C70&gt;TODAY(),C70&lt;=TODAY()+30),C70+ROW()/100000,"")</f>
        <v/>
      </c>
      <c r="M70" s="0" t="str">
        <f aca="false">IF(AND(ISNUMBER(C70),ISNUMBER(D70),C70&lt;=CALENDÁRIO!$L$4,D70&gt;=CALENDÁRIO!$L$4),ROW(),"")</f>
        <v/>
      </c>
    </row>
    <row r="71" customFormat="false" ht="15" hidden="false" customHeight="true" outlineLevel="0" collapsed="false">
      <c r="A71" s="52"/>
      <c r="B71" s="52"/>
      <c r="C71" s="51"/>
      <c r="D71" s="51"/>
      <c r="E71" s="52"/>
      <c r="F71" s="61" t="str">
        <f aca="false">IF(AND(ISNUMBER(C71),ISNUMBER(D71),D71&gt;=C71),D71-C71+1,"")</f>
        <v/>
      </c>
      <c r="G71" s="62" t="str">
        <f aca="false">IF(AND(ISNUMBER(C71),ISNUMBER(D71),D71&gt;=C71),WORKDAY(D71,1),"")</f>
        <v/>
      </c>
      <c r="H71" s="53" t="str">
        <f aca="true">IF(A71="","",IF(NOT(AND(ISNUMBER(C71),ISNUMBER(D71))),"Sem data definida",IF(D71&lt;C71,"⚠ Datas invertidas",IF(TODAY()&lt;C71,IF(C71-TODAY()=1,"Começa amanhã","Começa em "&amp;(C71-TODAY())&amp;" dias"),IF(TODAY()&gt;D71,"Concluídas",IF(TODAY()=D71,"EM FÉRIAS (último dia)","EM FÉRIAS (faltam "&amp;(D71-TODAY())&amp;" dias)"))))))</f>
        <v/>
      </c>
      <c r="I71" s="53" t="str">
        <f aca="false">IF(OR(A71="",NOT(AND(ISNUMBER(C71),ISNUMBER(D71)))),"",IF(D71-C71+1&gt;30,"⚠ Período acima de 30 dias",IF(COUNTIFS($B$2:$B$301,B71,$C$2:$C$301,"&lt;="&amp;D71,$D$2:$D$301,"&gt;="&amp;C71)&gt;1,"⚠ Coincide com férias de outro do setor","")))</f>
        <v/>
      </c>
      <c r="K71" s="0" t="str">
        <f aca="true">IF(AND(ISNUMBER(C71),ISNUMBER(D71),C71&lt;=TODAY(),D71&gt;=TODAY()),D71+ROW()/100000,"")</f>
        <v/>
      </c>
      <c r="L71" s="0" t="str">
        <f aca="true">IF(AND(ISNUMBER(C71),C71&gt;TODAY(),C71&lt;=TODAY()+30),C71+ROW()/100000,"")</f>
        <v/>
      </c>
      <c r="M71" s="0" t="str">
        <f aca="false">IF(AND(ISNUMBER(C71),ISNUMBER(D71),C71&lt;=CALENDÁRIO!$L$4,D71&gt;=CALENDÁRIO!$L$4),ROW(),"")</f>
        <v/>
      </c>
    </row>
    <row r="72" customFormat="false" ht="15" hidden="false" customHeight="true" outlineLevel="0" collapsed="false">
      <c r="A72" s="52"/>
      <c r="B72" s="52"/>
      <c r="C72" s="51"/>
      <c r="D72" s="51"/>
      <c r="E72" s="52"/>
      <c r="F72" s="61" t="str">
        <f aca="false">IF(AND(ISNUMBER(C72),ISNUMBER(D72),D72&gt;=C72),D72-C72+1,"")</f>
        <v/>
      </c>
      <c r="G72" s="62" t="str">
        <f aca="false">IF(AND(ISNUMBER(C72),ISNUMBER(D72),D72&gt;=C72),WORKDAY(D72,1),"")</f>
        <v/>
      </c>
      <c r="H72" s="53" t="str">
        <f aca="true">IF(A72="","",IF(NOT(AND(ISNUMBER(C72),ISNUMBER(D72))),"Sem data definida",IF(D72&lt;C72,"⚠ Datas invertidas",IF(TODAY()&lt;C72,IF(C72-TODAY()=1,"Começa amanhã","Começa em "&amp;(C72-TODAY())&amp;" dias"),IF(TODAY()&gt;D72,"Concluídas",IF(TODAY()=D72,"EM FÉRIAS (último dia)","EM FÉRIAS (faltam "&amp;(D72-TODAY())&amp;" dias)"))))))</f>
        <v/>
      </c>
      <c r="I72" s="53" t="str">
        <f aca="false">IF(OR(A72="",NOT(AND(ISNUMBER(C72),ISNUMBER(D72)))),"",IF(D72-C72+1&gt;30,"⚠ Período acima de 30 dias",IF(COUNTIFS($B$2:$B$301,B72,$C$2:$C$301,"&lt;="&amp;D72,$D$2:$D$301,"&gt;="&amp;C72)&gt;1,"⚠ Coincide com férias de outro do setor","")))</f>
        <v/>
      </c>
      <c r="K72" s="0" t="str">
        <f aca="true">IF(AND(ISNUMBER(C72),ISNUMBER(D72),C72&lt;=TODAY(),D72&gt;=TODAY()),D72+ROW()/100000,"")</f>
        <v/>
      </c>
      <c r="L72" s="0" t="str">
        <f aca="true">IF(AND(ISNUMBER(C72),C72&gt;TODAY(),C72&lt;=TODAY()+30),C72+ROW()/100000,"")</f>
        <v/>
      </c>
      <c r="M72" s="0" t="str">
        <f aca="false">IF(AND(ISNUMBER(C72),ISNUMBER(D72),C72&lt;=CALENDÁRIO!$L$4,D72&gt;=CALENDÁRIO!$L$4),ROW(),"")</f>
        <v/>
      </c>
    </row>
    <row r="73" customFormat="false" ht="15" hidden="false" customHeight="true" outlineLevel="0" collapsed="false">
      <c r="A73" s="52"/>
      <c r="B73" s="52"/>
      <c r="C73" s="51"/>
      <c r="D73" s="51"/>
      <c r="E73" s="52"/>
      <c r="F73" s="61" t="str">
        <f aca="false">IF(AND(ISNUMBER(C73),ISNUMBER(D73),D73&gt;=C73),D73-C73+1,"")</f>
        <v/>
      </c>
      <c r="G73" s="62" t="str">
        <f aca="false">IF(AND(ISNUMBER(C73),ISNUMBER(D73),D73&gt;=C73),WORKDAY(D73,1),"")</f>
        <v/>
      </c>
      <c r="H73" s="53" t="str">
        <f aca="true">IF(A73="","",IF(NOT(AND(ISNUMBER(C73),ISNUMBER(D73))),"Sem data definida",IF(D73&lt;C73,"⚠ Datas invertidas",IF(TODAY()&lt;C73,IF(C73-TODAY()=1,"Começa amanhã","Começa em "&amp;(C73-TODAY())&amp;" dias"),IF(TODAY()&gt;D73,"Concluídas",IF(TODAY()=D73,"EM FÉRIAS (último dia)","EM FÉRIAS (faltam "&amp;(D73-TODAY())&amp;" dias)"))))))</f>
        <v/>
      </c>
      <c r="I73" s="53" t="str">
        <f aca="false">IF(OR(A73="",NOT(AND(ISNUMBER(C73),ISNUMBER(D73)))),"",IF(D73-C73+1&gt;30,"⚠ Período acima de 30 dias",IF(COUNTIFS($B$2:$B$301,B73,$C$2:$C$301,"&lt;="&amp;D73,$D$2:$D$301,"&gt;="&amp;C73)&gt;1,"⚠ Coincide com férias de outro do setor","")))</f>
        <v/>
      </c>
      <c r="K73" s="0" t="str">
        <f aca="true">IF(AND(ISNUMBER(C73),ISNUMBER(D73),C73&lt;=TODAY(),D73&gt;=TODAY()),D73+ROW()/100000,"")</f>
        <v/>
      </c>
      <c r="L73" s="0" t="str">
        <f aca="true">IF(AND(ISNUMBER(C73),C73&gt;TODAY(),C73&lt;=TODAY()+30),C73+ROW()/100000,"")</f>
        <v/>
      </c>
      <c r="M73" s="0" t="str">
        <f aca="false">IF(AND(ISNUMBER(C73),ISNUMBER(D73),C73&lt;=CALENDÁRIO!$L$4,D73&gt;=CALENDÁRIO!$L$4),ROW(),"")</f>
        <v/>
      </c>
    </row>
    <row r="74" customFormat="false" ht="15" hidden="false" customHeight="true" outlineLevel="0" collapsed="false">
      <c r="A74" s="52"/>
      <c r="B74" s="52"/>
      <c r="C74" s="51"/>
      <c r="D74" s="51"/>
      <c r="E74" s="52"/>
      <c r="F74" s="61" t="str">
        <f aca="false">IF(AND(ISNUMBER(C74),ISNUMBER(D74),D74&gt;=C74),D74-C74+1,"")</f>
        <v/>
      </c>
      <c r="G74" s="62" t="str">
        <f aca="false">IF(AND(ISNUMBER(C74),ISNUMBER(D74),D74&gt;=C74),WORKDAY(D74,1),"")</f>
        <v/>
      </c>
      <c r="H74" s="53" t="str">
        <f aca="true">IF(A74="","",IF(NOT(AND(ISNUMBER(C74),ISNUMBER(D74))),"Sem data definida",IF(D74&lt;C74,"⚠ Datas invertidas",IF(TODAY()&lt;C74,IF(C74-TODAY()=1,"Começa amanhã","Começa em "&amp;(C74-TODAY())&amp;" dias"),IF(TODAY()&gt;D74,"Concluídas",IF(TODAY()=D74,"EM FÉRIAS (último dia)","EM FÉRIAS (faltam "&amp;(D74-TODAY())&amp;" dias)"))))))</f>
        <v/>
      </c>
      <c r="I74" s="53" t="str">
        <f aca="false">IF(OR(A74="",NOT(AND(ISNUMBER(C74),ISNUMBER(D74)))),"",IF(D74-C74+1&gt;30,"⚠ Período acima de 30 dias",IF(COUNTIFS($B$2:$B$301,B74,$C$2:$C$301,"&lt;="&amp;D74,$D$2:$D$301,"&gt;="&amp;C74)&gt;1,"⚠ Coincide com férias de outro do setor","")))</f>
        <v/>
      </c>
      <c r="K74" s="0" t="str">
        <f aca="true">IF(AND(ISNUMBER(C74),ISNUMBER(D74),C74&lt;=TODAY(),D74&gt;=TODAY()),D74+ROW()/100000,"")</f>
        <v/>
      </c>
      <c r="L74" s="0" t="str">
        <f aca="true">IF(AND(ISNUMBER(C74),C74&gt;TODAY(),C74&lt;=TODAY()+30),C74+ROW()/100000,"")</f>
        <v/>
      </c>
      <c r="M74" s="0" t="str">
        <f aca="false">IF(AND(ISNUMBER(C74),ISNUMBER(D74),C74&lt;=CALENDÁRIO!$L$4,D74&gt;=CALENDÁRIO!$L$4),ROW(),"")</f>
        <v/>
      </c>
    </row>
    <row r="75" customFormat="false" ht="15" hidden="false" customHeight="true" outlineLevel="0" collapsed="false">
      <c r="A75" s="52"/>
      <c r="B75" s="52"/>
      <c r="C75" s="51"/>
      <c r="D75" s="51"/>
      <c r="E75" s="52"/>
      <c r="F75" s="61" t="str">
        <f aca="false">IF(AND(ISNUMBER(C75),ISNUMBER(D75),D75&gt;=C75),D75-C75+1,"")</f>
        <v/>
      </c>
      <c r="G75" s="62" t="str">
        <f aca="false">IF(AND(ISNUMBER(C75),ISNUMBER(D75),D75&gt;=C75),WORKDAY(D75,1),"")</f>
        <v/>
      </c>
      <c r="H75" s="53" t="str">
        <f aca="true">IF(A75="","",IF(NOT(AND(ISNUMBER(C75),ISNUMBER(D75))),"Sem data definida",IF(D75&lt;C75,"⚠ Datas invertidas",IF(TODAY()&lt;C75,IF(C75-TODAY()=1,"Começa amanhã","Começa em "&amp;(C75-TODAY())&amp;" dias"),IF(TODAY()&gt;D75,"Concluídas",IF(TODAY()=D75,"EM FÉRIAS (último dia)","EM FÉRIAS (faltam "&amp;(D75-TODAY())&amp;" dias)"))))))</f>
        <v/>
      </c>
      <c r="I75" s="53" t="str">
        <f aca="false">IF(OR(A75="",NOT(AND(ISNUMBER(C75),ISNUMBER(D75)))),"",IF(D75-C75+1&gt;30,"⚠ Período acima de 30 dias",IF(COUNTIFS($B$2:$B$301,B75,$C$2:$C$301,"&lt;="&amp;D75,$D$2:$D$301,"&gt;="&amp;C75)&gt;1,"⚠ Coincide com férias de outro do setor","")))</f>
        <v/>
      </c>
      <c r="K75" s="0" t="str">
        <f aca="true">IF(AND(ISNUMBER(C75),ISNUMBER(D75),C75&lt;=TODAY(),D75&gt;=TODAY()),D75+ROW()/100000,"")</f>
        <v/>
      </c>
      <c r="L75" s="0" t="str">
        <f aca="true">IF(AND(ISNUMBER(C75),C75&gt;TODAY(),C75&lt;=TODAY()+30),C75+ROW()/100000,"")</f>
        <v/>
      </c>
      <c r="M75" s="0" t="str">
        <f aca="false">IF(AND(ISNUMBER(C75),ISNUMBER(D75),C75&lt;=CALENDÁRIO!$L$4,D75&gt;=CALENDÁRIO!$L$4),ROW(),"")</f>
        <v/>
      </c>
    </row>
    <row r="76" customFormat="false" ht="15" hidden="false" customHeight="true" outlineLevel="0" collapsed="false">
      <c r="A76" s="52"/>
      <c r="B76" s="52"/>
      <c r="C76" s="51"/>
      <c r="D76" s="51"/>
      <c r="E76" s="52"/>
      <c r="F76" s="61" t="str">
        <f aca="false">IF(AND(ISNUMBER(C76),ISNUMBER(D76),D76&gt;=C76),D76-C76+1,"")</f>
        <v/>
      </c>
      <c r="G76" s="62" t="str">
        <f aca="false">IF(AND(ISNUMBER(C76),ISNUMBER(D76),D76&gt;=C76),WORKDAY(D76,1),"")</f>
        <v/>
      </c>
      <c r="H76" s="53" t="str">
        <f aca="true">IF(A76="","",IF(NOT(AND(ISNUMBER(C76),ISNUMBER(D76))),"Sem data definida",IF(D76&lt;C76,"⚠ Datas invertidas",IF(TODAY()&lt;C76,IF(C76-TODAY()=1,"Começa amanhã","Começa em "&amp;(C76-TODAY())&amp;" dias"),IF(TODAY()&gt;D76,"Concluídas",IF(TODAY()=D76,"EM FÉRIAS (último dia)","EM FÉRIAS (faltam "&amp;(D76-TODAY())&amp;" dias)"))))))</f>
        <v/>
      </c>
      <c r="I76" s="53" t="str">
        <f aca="false">IF(OR(A76="",NOT(AND(ISNUMBER(C76),ISNUMBER(D76)))),"",IF(D76-C76+1&gt;30,"⚠ Período acima de 30 dias",IF(COUNTIFS($B$2:$B$301,B76,$C$2:$C$301,"&lt;="&amp;D76,$D$2:$D$301,"&gt;="&amp;C76)&gt;1,"⚠ Coincide com férias de outro do setor","")))</f>
        <v/>
      </c>
      <c r="K76" s="0" t="str">
        <f aca="true">IF(AND(ISNUMBER(C76),ISNUMBER(D76),C76&lt;=TODAY(),D76&gt;=TODAY()),D76+ROW()/100000,"")</f>
        <v/>
      </c>
      <c r="L76" s="0" t="str">
        <f aca="true">IF(AND(ISNUMBER(C76),C76&gt;TODAY(),C76&lt;=TODAY()+30),C76+ROW()/100000,"")</f>
        <v/>
      </c>
      <c r="M76" s="0" t="str">
        <f aca="false">IF(AND(ISNUMBER(C76),ISNUMBER(D76),C76&lt;=CALENDÁRIO!$L$4,D76&gt;=CALENDÁRIO!$L$4),ROW(),"")</f>
        <v/>
      </c>
    </row>
    <row r="77" customFormat="false" ht="15" hidden="false" customHeight="true" outlineLevel="0" collapsed="false">
      <c r="A77" s="52"/>
      <c r="B77" s="52"/>
      <c r="C77" s="51"/>
      <c r="D77" s="51"/>
      <c r="E77" s="52"/>
      <c r="F77" s="61" t="str">
        <f aca="false">IF(AND(ISNUMBER(C77),ISNUMBER(D77),D77&gt;=C77),D77-C77+1,"")</f>
        <v/>
      </c>
      <c r="G77" s="62" t="str">
        <f aca="false">IF(AND(ISNUMBER(C77),ISNUMBER(D77),D77&gt;=C77),WORKDAY(D77,1),"")</f>
        <v/>
      </c>
      <c r="H77" s="53" t="str">
        <f aca="true">IF(A77="","",IF(NOT(AND(ISNUMBER(C77),ISNUMBER(D77))),"Sem data definida",IF(D77&lt;C77,"⚠ Datas invertidas",IF(TODAY()&lt;C77,IF(C77-TODAY()=1,"Começa amanhã","Começa em "&amp;(C77-TODAY())&amp;" dias"),IF(TODAY()&gt;D77,"Concluídas",IF(TODAY()=D77,"EM FÉRIAS (último dia)","EM FÉRIAS (faltam "&amp;(D77-TODAY())&amp;" dias)"))))))</f>
        <v/>
      </c>
      <c r="I77" s="53" t="str">
        <f aca="false">IF(OR(A77="",NOT(AND(ISNUMBER(C77),ISNUMBER(D77)))),"",IF(D77-C77+1&gt;30,"⚠ Período acima de 30 dias",IF(COUNTIFS($B$2:$B$301,B77,$C$2:$C$301,"&lt;="&amp;D77,$D$2:$D$301,"&gt;="&amp;C77)&gt;1,"⚠ Coincide com férias de outro do setor","")))</f>
        <v/>
      </c>
      <c r="K77" s="0" t="str">
        <f aca="true">IF(AND(ISNUMBER(C77),ISNUMBER(D77),C77&lt;=TODAY(),D77&gt;=TODAY()),D77+ROW()/100000,"")</f>
        <v/>
      </c>
      <c r="L77" s="0" t="str">
        <f aca="true">IF(AND(ISNUMBER(C77),C77&gt;TODAY(),C77&lt;=TODAY()+30),C77+ROW()/100000,"")</f>
        <v/>
      </c>
      <c r="M77" s="0" t="str">
        <f aca="false">IF(AND(ISNUMBER(C77),ISNUMBER(D77),C77&lt;=CALENDÁRIO!$L$4,D77&gt;=CALENDÁRIO!$L$4),ROW(),"")</f>
        <v/>
      </c>
    </row>
    <row r="78" customFormat="false" ht="15" hidden="false" customHeight="true" outlineLevel="0" collapsed="false">
      <c r="A78" s="52"/>
      <c r="B78" s="52"/>
      <c r="C78" s="51"/>
      <c r="D78" s="51"/>
      <c r="E78" s="52"/>
      <c r="F78" s="61" t="str">
        <f aca="false">IF(AND(ISNUMBER(C78),ISNUMBER(D78),D78&gt;=C78),D78-C78+1,"")</f>
        <v/>
      </c>
      <c r="G78" s="62" t="str">
        <f aca="false">IF(AND(ISNUMBER(C78),ISNUMBER(D78),D78&gt;=C78),WORKDAY(D78,1),"")</f>
        <v/>
      </c>
      <c r="H78" s="53" t="str">
        <f aca="true">IF(A78="","",IF(NOT(AND(ISNUMBER(C78),ISNUMBER(D78))),"Sem data definida",IF(D78&lt;C78,"⚠ Datas invertidas",IF(TODAY()&lt;C78,IF(C78-TODAY()=1,"Começa amanhã","Começa em "&amp;(C78-TODAY())&amp;" dias"),IF(TODAY()&gt;D78,"Concluídas",IF(TODAY()=D78,"EM FÉRIAS (último dia)","EM FÉRIAS (faltam "&amp;(D78-TODAY())&amp;" dias)"))))))</f>
        <v/>
      </c>
      <c r="I78" s="53" t="str">
        <f aca="false">IF(OR(A78="",NOT(AND(ISNUMBER(C78),ISNUMBER(D78)))),"",IF(D78-C78+1&gt;30,"⚠ Período acima de 30 dias",IF(COUNTIFS($B$2:$B$301,B78,$C$2:$C$301,"&lt;="&amp;D78,$D$2:$D$301,"&gt;="&amp;C78)&gt;1,"⚠ Coincide com férias de outro do setor","")))</f>
        <v/>
      </c>
      <c r="K78" s="0" t="str">
        <f aca="true">IF(AND(ISNUMBER(C78),ISNUMBER(D78),C78&lt;=TODAY(),D78&gt;=TODAY()),D78+ROW()/100000,"")</f>
        <v/>
      </c>
      <c r="L78" s="0" t="str">
        <f aca="true">IF(AND(ISNUMBER(C78),C78&gt;TODAY(),C78&lt;=TODAY()+30),C78+ROW()/100000,"")</f>
        <v/>
      </c>
      <c r="M78" s="0" t="str">
        <f aca="false">IF(AND(ISNUMBER(C78),ISNUMBER(D78),C78&lt;=CALENDÁRIO!$L$4,D78&gt;=CALENDÁRIO!$L$4),ROW(),"")</f>
        <v/>
      </c>
    </row>
    <row r="79" customFormat="false" ht="15" hidden="false" customHeight="true" outlineLevel="0" collapsed="false">
      <c r="A79" s="52"/>
      <c r="B79" s="52"/>
      <c r="C79" s="51"/>
      <c r="D79" s="51"/>
      <c r="E79" s="52"/>
      <c r="F79" s="61" t="str">
        <f aca="false">IF(AND(ISNUMBER(C79),ISNUMBER(D79),D79&gt;=C79),D79-C79+1,"")</f>
        <v/>
      </c>
      <c r="G79" s="62" t="str">
        <f aca="false">IF(AND(ISNUMBER(C79),ISNUMBER(D79),D79&gt;=C79),WORKDAY(D79,1),"")</f>
        <v/>
      </c>
      <c r="H79" s="53" t="str">
        <f aca="true">IF(A79="","",IF(NOT(AND(ISNUMBER(C79),ISNUMBER(D79))),"Sem data definida",IF(D79&lt;C79,"⚠ Datas invertidas",IF(TODAY()&lt;C79,IF(C79-TODAY()=1,"Começa amanhã","Começa em "&amp;(C79-TODAY())&amp;" dias"),IF(TODAY()&gt;D79,"Concluídas",IF(TODAY()=D79,"EM FÉRIAS (último dia)","EM FÉRIAS (faltam "&amp;(D79-TODAY())&amp;" dias)"))))))</f>
        <v/>
      </c>
      <c r="I79" s="53" t="str">
        <f aca="false">IF(OR(A79="",NOT(AND(ISNUMBER(C79),ISNUMBER(D79)))),"",IF(D79-C79+1&gt;30,"⚠ Período acima de 30 dias",IF(COUNTIFS($B$2:$B$301,B79,$C$2:$C$301,"&lt;="&amp;D79,$D$2:$D$301,"&gt;="&amp;C79)&gt;1,"⚠ Coincide com férias de outro do setor","")))</f>
        <v/>
      </c>
      <c r="K79" s="0" t="str">
        <f aca="true">IF(AND(ISNUMBER(C79),ISNUMBER(D79),C79&lt;=TODAY(),D79&gt;=TODAY()),D79+ROW()/100000,"")</f>
        <v/>
      </c>
      <c r="L79" s="0" t="str">
        <f aca="true">IF(AND(ISNUMBER(C79),C79&gt;TODAY(),C79&lt;=TODAY()+30),C79+ROW()/100000,"")</f>
        <v/>
      </c>
      <c r="M79" s="0" t="str">
        <f aca="false">IF(AND(ISNUMBER(C79),ISNUMBER(D79),C79&lt;=CALENDÁRIO!$L$4,D79&gt;=CALENDÁRIO!$L$4),ROW(),"")</f>
        <v/>
      </c>
    </row>
    <row r="80" customFormat="false" ht="15" hidden="false" customHeight="true" outlineLevel="0" collapsed="false">
      <c r="A80" s="52"/>
      <c r="B80" s="52"/>
      <c r="C80" s="51"/>
      <c r="D80" s="51"/>
      <c r="E80" s="52"/>
      <c r="F80" s="61" t="str">
        <f aca="false">IF(AND(ISNUMBER(C80),ISNUMBER(D80),D80&gt;=C80),D80-C80+1,"")</f>
        <v/>
      </c>
      <c r="G80" s="62" t="str">
        <f aca="false">IF(AND(ISNUMBER(C80),ISNUMBER(D80),D80&gt;=C80),WORKDAY(D80,1),"")</f>
        <v/>
      </c>
      <c r="H80" s="53" t="str">
        <f aca="true">IF(A80="","",IF(NOT(AND(ISNUMBER(C80),ISNUMBER(D80))),"Sem data definida",IF(D80&lt;C80,"⚠ Datas invertidas",IF(TODAY()&lt;C80,IF(C80-TODAY()=1,"Começa amanhã","Começa em "&amp;(C80-TODAY())&amp;" dias"),IF(TODAY()&gt;D80,"Concluídas",IF(TODAY()=D80,"EM FÉRIAS (último dia)","EM FÉRIAS (faltam "&amp;(D80-TODAY())&amp;" dias)"))))))</f>
        <v/>
      </c>
      <c r="I80" s="53" t="str">
        <f aca="false">IF(OR(A80="",NOT(AND(ISNUMBER(C80),ISNUMBER(D80)))),"",IF(D80-C80+1&gt;30,"⚠ Período acima de 30 dias",IF(COUNTIFS($B$2:$B$301,B80,$C$2:$C$301,"&lt;="&amp;D80,$D$2:$D$301,"&gt;="&amp;C80)&gt;1,"⚠ Coincide com férias de outro do setor","")))</f>
        <v/>
      </c>
      <c r="K80" s="0" t="str">
        <f aca="true">IF(AND(ISNUMBER(C80),ISNUMBER(D80),C80&lt;=TODAY(),D80&gt;=TODAY()),D80+ROW()/100000,"")</f>
        <v/>
      </c>
      <c r="L80" s="0" t="str">
        <f aca="true">IF(AND(ISNUMBER(C80),C80&gt;TODAY(),C80&lt;=TODAY()+30),C80+ROW()/100000,"")</f>
        <v/>
      </c>
      <c r="M80" s="0" t="str">
        <f aca="false">IF(AND(ISNUMBER(C80),ISNUMBER(D80),C80&lt;=CALENDÁRIO!$L$4,D80&gt;=CALENDÁRIO!$L$4),ROW(),"")</f>
        <v/>
      </c>
    </row>
    <row r="81" customFormat="false" ht="15" hidden="false" customHeight="true" outlineLevel="0" collapsed="false">
      <c r="A81" s="52"/>
      <c r="B81" s="52"/>
      <c r="C81" s="51"/>
      <c r="D81" s="51"/>
      <c r="E81" s="52"/>
      <c r="F81" s="61" t="str">
        <f aca="false">IF(AND(ISNUMBER(C81),ISNUMBER(D81),D81&gt;=C81),D81-C81+1,"")</f>
        <v/>
      </c>
      <c r="G81" s="62" t="str">
        <f aca="false">IF(AND(ISNUMBER(C81),ISNUMBER(D81),D81&gt;=C81),WORKDAY(D81,1),"")</f>
        <v/>
      </c>
      <c r="H81" s="53" t="str">
        <f aca="true">IF(A81="","",IF(NOT(AND(ISNUMBER(C81),ISNUMBER(D81))),"Sem data definida",IF(D81&lt;C81,"⚠ Datas invertidas",IF(TODAY()&lt;C81,IF(C81-TODAY()=1,"Começa amanhã","Começa em "&amp;(C81-TODAY())&amp;" dias"),IF(TODAY()&gt;D81,"Concluídas",IF(TODAY()=D81,"EM FÉRIAS (último dia)","EM FÉRIAS (faltam "&amp;(D81-TODAY())&amp;" dias)"))))))</f>
        <v/>
      </c>
      <c r="I81" s="53" t="str">
        <f aca="false">IF(OR(A81="",NOT(AND(ISNUMBER(C81),ISNUMBER(D81)))),"",IF(D81-C81+1&gt;30,"⚠ Período acima de 30 dias",IF(COUNTIFS($B$2:$B$301,B81,$C$2:$C$301,"&lt;="&amp;D81,$D$2:$D$301,"&gt;="&amp;C81)&gt;1,"⚠ Coincide com férias de outro do setor","")))</f>
        <v/>
      </c>
      <c r="K81" s="0" t="str">
        <f aca="true">IF(AND(ISNUMBER(C81),ISNUMBER(D81),C81&lt;=TODAY(),D81&gt;=TODAY()),D81+ROW()/100000,"")</f>
        <v/>
      </c>
      <c r="L81" s="0" t="str">
        <f aca="true">IF(AND(ISNUMBER(C81),C81&gt;TODAY(),C81&lt;=TODAY()+30),C81+ROW()/100000,"")</f>
        <v/>
      </c>
      <c r="M81" s="0" t="str">
        <f aca="false">IF(AND(ISNUMBER(C81),ISNUMBER(D81),C81&lt;=CALENDÁRIO!$L$4,D81&gt;=CALENDÁRIO!$L$4),ROW(),"")</f>
        <v/>
      </c>
    </row>
    <row r="82" customFormat="false" ht="15" hidden="false" customHeight="true" outlineLevel="0" collapsed="false">
      <c r="A82" s="52"/>
      <c r="B82" s="52"/>
      <c r="C82" s="51"/>
      <c r="D82" s="51"/>
      <c r="E82" s="52"/>
      <c r="F82" s="61" t="str">
        <f aca="false">IF(AND(ISNUMBER(C82),ISNUMBER(D82),D82&gt;=C82),D82-C82+1,"")</f>
        <v/>
      </c>
      <c r="G82" s="62" t="str">
        <f aca="false">IF(AND(ISNUMBER(C82),ISNUMBER(D82),D82&gt;=C82),WORKDAY(D82,1),"")</f>
        <v/>
      </c>
      <c r="H82" s="53" t="str">
        <f aca="true">IF(A82="","",IF(NOT(AND(ISNUMBER(C82),ISNUMBER(D82))),"Sem data definida",IF(D82&lt;C82,"⚠ Datas invertidas",IF(TODAY()&lt;C82,IF(C82-TODAY()=1,"Começa amanhã","Começa em "&amp;(C82-TODAY())&amp;" dias"),IF(TODAY()&gt;D82,"Concluídas",IF(TODAY()=D82,"EM FÉRIAS (último dia)","EM FÉRIAS (faltam "&amp;(D82-TODAY())&amp;" dias)"))))))</f>
        <v/>
      </c>
      <c r="I82" s="53" t="str">
        <f aca="false">IF(OR(A82="",NOT(AND(ISNUMBER(C82),ISNUMBER(D82)))),"",IF(D82-C82+1&gt;30,"⚠ Período acima de 30 dias",IF(COUNTIFS($B$2:$B$301,B82,$C$2:$C$301,"&lt;="&amp;D82,$D$2:$D$301,"&gt;="&amp;C82)&gt;1,"⚠ Coincide com férias de outro do setor","")))</f>
        <v/>
      </c>
      <c r="K82" s="0" t="str">
        <f aca="true">IF(AND(ISNUMBER(C82),ISNUMBER(D82),C82&lt;=TODAY(),D82&gt;=TODAY()),D82+ROW()/100000,"")</f>
        <v/>
      </c>
      <c r="L82" s="0" t="str">
        <f aca="true">IF(AND(ISNUMBER(C82),C82&gt;TODAY(),C82&lt;=TODAY()+30),C82+ROW()/100000,"")</f>
        <v/>
      </c>
      <c r="M82" s="0" t="str">
        <f aca="false">IF(AND(ISNUMBER(C82),ISNUMBER(D82),C82&lt;=CALENDÁRIO!$L$4,D82&gt;=CALENDÁRIO!$L$4),ROW(),"")</f>
        <v/>
      </c>
    </row>
    <row r="83" customFormat="false" ht="15" hidden="false" customHeight="true" outlineLevel="0" collapsed="false">
      <c r="A83" s="52"/>
      <c r="B83" s="52"/>
      <c r="C83" s="51"/>
      <c r="D83" s="51"/>
      <c r="E83" s="52"/>
      <c r="F83" s="61" t="str">
        <f aca="false">IF(AND(ISNUMBER(C83),ISNUMBER(D83),D83&gt;=C83),D83-C83+1,"")</f>
        <v/>
      </c>
      <c r="G83" s="62" t="str">
        <f aca="false">IF(AND(ISNUMBER(C83),ISNUMBER(D83),D83&gt;=C83),WORKDAY(D83,1),"")</f>
        <v/>
      </c>
      <c r="H83" s="53" t="str">
        <f aca="true">IF(A83="","",IF(NOT(AND(ISNUMBER(C83),ISNUMBER(D83))),"Sem data definida",IF(D83&lt;C83,"⚠ Datas invertidas",IF(TODAY()&lt;C83,IF(C83-TODAY()=1,"Começa amanhã","Começa em "&amp;(C83-TODAY())&amp;" dias"),IF(TODAY()&gt;D83,"Concluídas",IF(TODAY()=D83,"EM FÉRIAS (último dia)","EM FÉRIAS (faltam "&amp;(D83-TODAY())&amp;" dias)"))))))</f>
        <v/>
      </c>
      <c r="I83" s="53" t="str">
        <f aca="false">IF(OR(A83="",NOT(AND(ISNUMBER(C83),ISNUMBER(D83)))),"",IF(D83-C83+1&gt;30,"⚠ Período acima de 30 dias",IF(COUNTIFS($B$2:$B$301,B83,$C$2:$C$301,"&lt;="&amp;D83,$D$2:$D$301,"&gt;="&amp;C83)&gt;1,"⚠ Coincide com férias de outro do setor","")))</f>
        <v/>
      </c>
      <c r="K83" s="0" t="str">
        <f aca="true">IF(AND(ISNUMBER(C83),ISNUMBER(D83),C83&lt;=TODAY(),D83&gt;=TODAY()),D83+ROW()/100000,"")</f>
        <v/>
      </c>
      <c r="L83" s="0" t="str">
        <f aca="true">IF(AND(ISNUMBER(C83),C83&gt;TODAY(),C83&lt;=TODAY()+30),C83+ROW()/100000,"")</f>
        <v/>
      </c>
      <c r="M83" s="0" t="str">
        <f aca="false">IF(AND(ISNUMBER(C83),ISNUMBER(D83),C83&lt;=CALENDÁRIO!$L$4,D83&gt;=CALENDÁRIO!$L$4),ROW(),"")</f>
        <v/>
      </c>
    </row>
    <row r="84" customFormat="false" ht="15" hidden="false" customHeight="true" outlineLevel="0" collapsed="false">
      <c r="A84" s="52"/>
      <c r="B84" s="52"/>
      <c r="C84" s="51"/>
      <c r="D84" s="51"/>
      <c r="E84" s="52"/>
      <c r="F84" s="61" t="str">
        <f aca="false">IF(AND(ISNUMBER(C84),ISNUMBER(D84),D84&gt;=C84),D84-C84+1,"")</f>
        <v/>
      </c>
      <c r="G84" s="62" t="str">
        <f aca="false">IF(AND(ISNUMBER(C84),ISNUMBER(D84),D84&gt;=C84),WORKDAY(D84,1),"")</f>
        <v/>
      </c>
      <c r="H84" s="53" t="str">
        <f aca="true">IF(A84="","",IF(NOT(AND(ISNUMBER(C84),ISNUMBER(D84))),"Sem data definida",IF(D84&lt;C84,"⚠ Datas invertidas",IF(TODAY()&lt;C84,IF(C84-TODAY()=1,"Começa amanhã","Começa em "&amp;(C84-TODAY())&amp;" dias"),IF(TODAY()&gt;D84,"Concluídas",IF(TODAY()=D84,"EM FÉRIAS (último dia)","EM FÉRIAS (faltam "&amp;(D84-TODAY())&amp;" dias)"))))))</f>
        <v/>
      </c>
      <c r="I84" s="53" t="str">
        <f aca="false">IF(OR(A84="",NOT(AND(ISNUMBER(C84),ISNUMBER(D84)))),"",IF(D84-C84+1&gt;30,"⚠ Período acima de 30 dias",IF(COUNTIFS($B$2:$B$301,B84,$C$2:$C$301,"&lt;="&amp;D84,$D$2:$D$301,"&gt;="&amp;C84)&gt;1,"⚠ Coincide com férias de outro do setor","")))</f>
        <v/>
      </c>
      <c r="K84" s="0" t="str">
        <f aca="true">IF(AND(ISNUMBER(C84),ISNUMBER(D84),C84&lt;=TODAY(),D84&gt;=TODAY()),D84+ROW()/100000,"")</f>
        <v/>
      </c>
      <c r="L84" s="0" t="str">
        <f aca="true">IF(AND(ISNUMBER(C84),C84&gt;TODAY(),C84&lt;=TODAY()+30),C84+ROW()/100000,"")</f>
        <v/>
      </c>
      <c r="M84" s="0" t="str">
        <f aca="false">IF(AND(ISNUMBER(C84),ISNUMBER(D84),C84&lt;=CALENDÁRIO!$L$4,D84&gt;=CALENDÁRIO!$L$4),ROW(),"")</f>
        <v/>
      </c>
    </row>
    <row r="85" customFormat="false" ht="15" hidden="false" customHeight="true" outlineLevel="0" collapsed="false">
      <c r="A85" s="52"/>
      <c r="B85" s="52"/>
      <c r="C85" s="51"/>
      <c r="D85" s="51"/>
      <c r="E85" s="52"/>
      <c r="F85" s="61" t="str">
        <f aca="false">IF(AND(ISNUMBER(C85),ISNUMBER(D85),D85&gt;=C85),D85-C85+1,"")</f>
        <v/>
      </c>
      <c r="G85" s="62" t="str">
        <f aca="false">IF(AND(ISNUMBER(C85),ISNUMBER(D85),D85&gt;=C85),WORKDAY(D85,1),"")</f>
        <v/>
      </c>
      <c r="H85" s="53" t="str">
        <f aca="true">IF(A85="","",IF(NOT(AND(ISNUMBER(C85),ISNUMBER(D85))),"Sem data definida",IF(D85&lt;C85,"⚠ Datas invertidas",IF(TODAY()&lt;C85,IF(C85-TODAY()=1,"Começa amanhã","Começa em "&amp;(C85-TODAY())&amp;" dias"),IF(TODAY()&gt;D85,"Concluídas",IF(TODAY()=D85,"EM FÉRIAS (último dia)","EM FÉRIAS (faltam "&amp;(D85-TODAY())&amp;" dias)"))))))</f>
        <v/>
      </c>
      <c r="I85" s="53" t="str">
        <f aca="false">IF(OR(A85="",NOT(AND(ISNUMBER(C85),ISNUMBER(D85)))),"",IF(D85-C85+1&gt;30,"⚠ Período acima de 30 dias",IF(COUNTIFS($B$2:$B$301,B85,$C$2:$C$301,"&lt;="&amp;D85,$D$2:$D$301,"&gt;="&amp;C85)&gt;1,"⚠ Coincide com férias de outro do setor","")))</f>
        <v/>
      </c>
      <c r="K85" s="0" t="str">
        <f aca="true">IF(AND(ISNUMBER(C85),ISNUMBER(D85),C85&lt;=TODAY(),D85&gt;=TODAY()),D85+ROW()/100000,"")</f>
        <v/>
      </c>
      <c r="L85" s="0" t="str">
        <f aca="true">IF(AND(ISNUMBER(C85),C85&gt;TODAY(),C85&lt;=TODAY()+30),C85+ROW()/100000,"")</f>
        <v/>
      </c>
      <c r="M85" s="0" t="str">
        <f aca="false">IF(AND(ISNUMBER(C85),ISNUMBER(D85),C85&lt;=CALENDÁRIO!$L$4,D85&gt;=CALENDÁRIO!$L$4),ROW(),"")</f>
        <v/>
      </c>
    </row>
    <row r="86" customFormat="false" ht="15" hidden="false" customHeight="true" outlineLevel="0" collapsed="false">
      <c r="A86" s="52"/>
      <c r="B86" s="52"/>
      <c r="C86" s="51"/>
      <c r="D86" s="51"/>
      <c r="E86" s="52"/>
      <c r="F86" s="61" t="str">
        <f aca="false">IF(AND(ISNUMBER(C86),ISNUMBER(D86),D86&gt;=C86),D86-C86+1,"")</f>
        <v/>
      </c>
      <c r="G86" s="62" t="str">
        <f aca="false">IF(AND(ISNUMBER(C86),ISNUMBER(D86),D86&gt;=C86),WORKDAY(D86,1),"")</f>
        <v/>
      </c>
      <c r="H86" s="53" t="str">
        <f aca="true">IF(A86="","",IF(NOT(AND(ISNUMBER(C86),ISNUMBER(D86))),"Sem data definida",IF(D86&lt;C86,"⚠ Datas invertidas",IF(TODAY()&lt;C86,IF(C86-TODAY()=1,"Começa amanhã","Começa em "&amp;(C86-TODAY())&amp;" dias"),IF(TODAY()&gt;D86,"Concluídas",IF(TODAY()=D86,"EM FÉRIAS (último dia)","EM FÉRIAS (faltam "&amp;(D86-TODAY())&amp;" dias)"))))))</f>
        <v/>
      </c>
      <c r="I86" s="53" t="str">
        <f aca="false">IF(OR(A86="",NOT(AND(ISNUMBER(C86),ISNUMBER(D86)))),"",IF(D86-C86+1&gt;30,"⚠ Período acima de 30 dias",IF(COUNTIFS($B$2:$B$301,B86,$C$2:$C$301,"&lt;="&amp;D86,$D$2:$D$301,"&gt;="&amp;C86)&gt;1,"⚠ Coincide com férias de outro do setor","")))</f>
        <v/>
      </c>
      <c r="K86" s="0" t="str">
        <f aca="true">IF(AND(ISNUMBER(C86),ISNUMBER(D86),C86&lt;=TODAY(),D86&gt;=TODAY()),D86+ROW()/100000,"")</f>
        <v/>
      </c>
      <c r="L86" s="0" t="str">
        <f aca="true">IF(AND(ISNUMBER(C86),C86&gt;TODAY(),C86&lt;=TODAY()+30),C86+ROW()/100000,"")</f>
        <v/>
      </c>
      <c r="M86" s="0" t="str">
        <f aca="false">IF(AND(ISNUMBER(C86),ISNUMBER(D86),C86&lt;=CALENDÁRIO!$L$4,D86&gt;=CALENDÁRIO!$L$4),ROW(),"")</f>
        <v/>
      </c>
    </row>
    <row r="87" customFormat="false" ht="15" hidden="false" customHeight="true" outlineLevel="0" collapsed="false">
      <c r="A87" s="52"/>
      <c r="B87" s="52"/>
      <c r="C87" s="51"/>
      <c r="D87" s="51"/>
      <c r="E87" s="52"/>
      <c r="F87" s="61" t="str">
        <f aca="false">IF(AND(ISNUMBER(C87),ISNUMBER(D87),D87&gt;=C87),D87-C87+1,"")</f>
        <v/>
      </c>
      <c r="G87" s="62" t="str">
        <f aca="false">IF(AND(ISNUMBER(C87),ISNUMBER(D87),D87&gt;=C87),WORKDAY(D87,1),"")</f>
        <v/>
      </c>
      <c r="H87" s="53" t="str">
        <f aca="true">IF(A87="","",IF(NOT(AND(ISNUMBER(C87),ISNUMBER(D87))),"Sem data definida",IF(D87&lt;C87,"⚠ Datas invertidas",IF(TODAY()&lt;C87,IF(C87-TODAY()=1,"Começa amanhã","Começa em "&amp;(C87-TODAY())&amp;" dias"),IF(TODAY()&gt;D87,"Concluídas",IF(TODAY()=D87,"EM FÉRIAS (último dia)","EM FÉRIAS (faltam "&amp;(D87-TODAY())&amp;" dias)"))))))</f>
        <v/>
      </c>
      <c r="I87" s="53" t="str">
        <f aca="false">IF(OR(A87="",NOT(AND(ISNUMBER(C87),ISNUMBER(D87)))),"",IF(D87-C87+1&gt;30,"⚠ Período acima de 30 dias",IF(COUNTIFS($B$2:$B$301,B87,$C$2:$C$301,"&lt;="&amp;D87,$D$2:$D$301,"&gt;="&amp;C87)&gt;1,"⚠ Coincide com férias de outro do setor","")))</f>
        <v/>
      </c>
      <c r="K87" s="0" t="str">
        <f aca="true">IF(AND(ISNUMBER(C87),ISNUMBER(D87),C87&lt;=TODAY(),D87&gt;=TODAY()),D87+ROW()/100000,"")</f>
        <v/>
      </c>
      <c r="L87" s="0" t="str">
        <f aca="true">IF(AND(ISNUMBER(C87),C87&gt;TODAY(),C87&lt;=TODAY()+30),C87+ROW()/100000,"")</f>
        <v/>
      </c>
      <c r="M87" s="0" t="str">
        <f aca="false">IF(AND(ISNUMBER(C87),ISNUMBER(D87),C87&lt;=CALENDÁRIO!$L$4,D87&gt;=CALENDÁRIO!$L$4),ROW(),"")</f>
        <v/>
      </c>
    </row>
    <row r="88" customFormat="false" ht="15" hidden="false" customHeight="true" outlineLevel="0" collapsed="false">
      <c r="A88" s="52"/>
      <c r="B88" s="52"/>
      <c r="C88" s="51"/>
      <c r="D88" s="51"/>
      <c r="E88" s="52"/>
      <c r="F88" s="61" t="str">
        <f aca="false">IF(AND(ISNUMBER(C88),ISNUMBER(D88),D88&gt;=C88),D88-C88+1,"")</f>
        <v/>
      </c>
      <c r="G88" s="62" t="str">
        <f aca="false">IF(AND(ISNUMBER(C88),ISNUMBER(D88),D88&gt;=C88),WORKDAY(D88,1),"")</f>
        <v/>
      </c>
      <c r="H88" s="53" t="str">
        <f aca="true">IF(A88="","",IF(NOT(AND(ISNUMBER(C88),ISNUMBER(D88))),"Sem data definida",IF(D88&lt;C88,"⚠ Datas invertidas",IF(TODAY()&lt;C88,IF(C88-TODAY()=1,"Começa amanhã","Começa em "&amp;(C88-TODAY())&amp;" dias"),IF(TODAY()&gt;D88,"Concluídas",IF(TODAY()=D88,"EM FÉRIAS (último dia)","EM FÉRIAS (faltam "&amp;(D88-TODAY())&amp;" dias)"))))))</f>
        <v/>
      </c>
      <c r="I88" s="53" t="str">
        <f aca="false">IF(OR(A88="",NOT(AND(ISNUMBER(C88),ISNUMBER(D88)))),"",IF(D88-C88+1&gt;30,"⚠ Período acima de 30 dias",IF(COUNTIFS($B$2:$B$301,B88,$C$2:$C$301,"&lt;="&amp;D88,$D$2:$D$301,"&gt;="&amp;C88)&gt;1,"⚠ Coincide com férias de outro do setor","")))</f>
        <v/>
      </c>
      <c r="K88" s="0" t="str">
        <f aca="true">IF(AND(ISNUMBER(C88),ISNUMBER(D88),C88&lt;=TODAY(),D88&gt;=TODAY()),D88+ROW()/100000,"")</f>
        <v/>
      </c>
      <c r="L88" s="0" t="str">
        <f aca="true">IF(AND(ISNUMBER(C88),C88&gt;TODAY(),C88&lt;=TODAY()+30),C88+ROW()/100000,"")</f>
        <v/>
      </c>
      <c r="M88" s="0" t="str">
        <f aca="false">IF(AND(ISNUMBER(C88),ISNUMBER(D88),C88&lt;=CALENDÁRIO!$L$4,D88&gt;=CALENDÁRIO!$L$4),ROW(),"")</f>
        <v/>
      </c>
    </row>
    <row r="89" customFormat="false" ht="15" hidden="false" customHeight="true" outlineLevel="0" collapsed="false">
      <c r="A89" s="52"/>
      <c r="B89" s="52"/>
      <c r="C89" s="51"/>
      <c r="D89" s="51"/>
      <c r="E89" s="52"/>
      <c r="F89" s="61" t="str">
        <f aca="false">IF(AND(ISNUMBER(C89),ISNUMBER(D89),D89&gt;=C89),D89-C89+1,"")</f>
        <v/>
      </c>
      <c r="G89" s="62" t="str">
        <f aca="false">IF(AND(ISNUMBER(C89),ISNUMBER(D89),D89&gt;=C89),WORKDAY(D89,1),"")</f>
        <v/>
      </c>
      <c r="H89" s="53" t="str">
        <f aca="true">IF(A89="","",IF(NOT(AND(ISNUMBER(C89),ISNUMBER(D89))),"Sem data definida",IF(D89&lt;C89,"⚠ Datas invertidas",IF(TODAY()&lt;C89,IF(C89-TODAY()=1,"Começa amanhã","Começa em "&amp;(C89-TODAY())&amp;" dias"),IF(TODAY()&gt;D89,"Concluídas",IF(TODAY()=D89,"EM FÉRIAS (último dia)","EM FÉRIAS (faltam "&amp;(D89-TODAY())&amp;" dias)"))))))</f>
        <v/>
      </c>
      <c r="I89" s="53" t="str">
        <f aca="false">IF(OR(A89="",NOT(AND(ISNUMBER(C89),ISNUMBER(D89)))),"",IF(D89-C89+1&gt;30,"⚠ Período acima de 30 dias",IF(COUNTIFS($B$2:$B$301,B89,$C$2:$C$301,"&lt;="&amp;D89,$D$2:$D$301,"&gt;="&amp;C89)&gt;1,"⚠ Coincide com férias de outro do setor","")))</f>
        <v/>
      </c>
      <c r="K89" s="0" t="str">
        <f aca="true">IF(AND(ISNUMBER(C89),ISNUMBER(D89),C89&lt;=TODAY(),D89&gt;=TODAY()),D89+ROW()/100000,"")</f>
        <v/>
      </c>
      <c r="L89" s="0" t="str">
        <f aca="true">IF(AND(ISNUMBER(C89),C89&gt;TODAY(),C89&lt;=TODAY()+30),C89+ROW()/100000,"")</f>
        <v/>
      </c>
      <c r="M89" s="0" t="str">
        <f aca="false">IF(AND(ISNUMBER(C89),ISNUMBER(D89),C89&lt;=CALENDÁRIO!$L$4,D89&gt;=CALENDÁRIO!$L$4),ROW(),"")</f>
        <v/>
      </c>
    </row>
    <row r="90" customFormat="false" ht="15" hidden="false" customHeight="true" outlineLevel="0" collapsed="false">
      <c r="A90" s="52"/>
      <c r="B90" s="52"/>
      <c r="C90" s="51"/>
      <c r="D90" s="51"/>
      <c r="E90" s="52"/>
      <c r="F90" s="61" t="str">
        <f aca="false">IF(AND(ISNUMBER(C90),ISNUMBER(D90),D90&gt;=C90),D90-C90+1,"")</f>
        <v/>
      </c>
      <c r="G90" s="62" t="str">
        <f aca="false">IF(AND(ISNUMBER(C90),ISNUMBER(D90),D90&gt;=C90),WORKDAY(D90,1),"")</f>
        <v/>
      </c>
      <c r="H90" s="53" t="str">
        <f aca="true">IF(A90="","",IF(NOT(AND(ISNUMBER(C90),ISNUMBER(D90))),"Sem data definida",IF(D90&lt;C90,"⚠ Datas invertidas",IF(TODAY()&lt;C90,IF(C90-TODAY()=1,"Começa amanhã","Começa em "&amp;(C90-TODAY())&amp;" dias"),IF(TODAY()&gt;D90,"Concluídas",IF(TODAY()=D90,"EM FÉRIAS (último dia)","EM FÉRIAS (faltam "&amp;(D90-TODAY())&amp;" dias)"))))))</f>
        <v/>
      </c>
      <c r="I90" s="53" t="str">
        <f aca="false">IF(OR(A90="",NOT(AND(ISNUMBER(C90),ISNUMBER(D90)))),"",IF(D90-C90+1&gt;30,"⚠ Período acima de 30 dias",IF(COUNTIFS($B$2:$B$301,B90,$C$2:$C$301,"&lt;="&amp;D90,$D$2:$D$301,"&gt;="&amp;C90)&gt;1,"⚠ Coincide com férias de outro do setor","")))</f>
        <v/>
      </c>
      <c r="K90" s="0" t="str">
        <f aca="true">IF(AND(ISNUMBER(C90),ISNUMBER(D90),C90&lt;=TODAY(),D90&gt;=TODAY()),D90+ROW()/100000,"")</f>
        <v/>
      </c>
      <c r="L90" s="0" t="str">
        <f aca="true">IF(AND(ISNUMBER(C90),C90&gt;TODAY(),C90&lt;=TODAY()+30),C90+ROW()/100000,"")</f>
        <v/>
      </c>
      <c r="M90" s="0" t="str">
        <f aca="false">IF(AND(ISNUMBER(C90),ISNUMBER(D90),C90&lt;=CALENDÁRIO!$L$4,D90&gt;=CALENDÁRIO!$L$4),ROW(),"")</f>
        <v/>
      </c>
    </row>
    <row r="91" customFormat="false" ht="15" hidden="false" customHeight="true" outlineLevel="0" collapsed="false">
      <c r="A91" s="52"/>
      <c r="B91" s="52"/>
      <c r="C91" s="51"/>
      <c r="D91" s="51"/>
      <c r="E91" s="52"/>
      <c r="F91" s="61" t="str">
        <f aca="false">IF(AND(ISNUMBER(C91),ISNUMBER(D91),D91&gt;=C91),D91-C91+1,"")</f>
        <v/>
      </c>
      <c r="G91" s="62" t="str">
        <f aca="false">IF(AND(ISNUMBER(C91),ISNUMBER(D91),D91&gt;=C91),WORKDAY(D91,1),"")</f>
        <v/>
      </c>
      <c r="H91" s="53" t="str">
        <f aca="true">IF(A91="","",IF(NOT(AND(ISNUMBER(C91),ISNUMBER(D91))),"Sem data definida",IF(D91&lt;C91,"⚠ Datas invertidas",IF(TODAY()&lt;C91,IF(C91-TODAY()=1,"Começa amanhã","Começa em "&amp;(C91-TODAY())&amp;" dias"),IF(TODAY()&gt;D91,"Concluídas",IF(TODAY()=D91,"EM FÉRIAS (último dia)","EM FÉRIAS (faltam "&amp;(D91-TODAY())&amp;" dias)"))))))</f>
        <v/>
      </c>
      <c r="I91" s="53" t="str">
        <f aca="false">IF(OR(A91="",NOT(AND(ISNUMBER(C91),ISNUMBER(D91)))),"",IF(D91-C91+1&gt;30,"⚠ Período acima de 30 dias",IF(COUNTIFS($B$2:$B$301,B91,$C$2:$C$301,"&lt;="&amp;D91,$D$2:$D$301,"&gt;="&amp;C91)&gt;1,"⚠ Coincide com férias de outro do setor","")))</f>
        <v/>
      </c>
      <c r="K91" s="0" t="str">
        <f aca="true">IF(AND(ISNUMBER(C91),ISNUMBER(D91),C91&lt;=TODAY(),D91&gt;=TODAY()),D91+ROW()/100000,"")</f>
        <v/>
      </c>
      <c r="L91" s="0" t="str">
        <f aca="true">IF(AND(ISNUMBER(C91),C91&gt;TODAY(),C91&lt;=TODAY()+30),C91+ROW()/100000,"")</f>
        <v/>
      </c>
      <c r="M91" s="0" t="str">
        <f aca="false">IF(AND(ISNUMBER(C91),ISNUMBER(D91),C91&lt;=CALENDÁRIO!$L$4,D91&gt;=CALENDÁRIO!$L$4),ROW(),"")</f>
        <v/>
      </c>
    </row>
    <row r="92" customFormat="false" ht="15" hidden="false" customHeight="true" outlineLevel="0" collapsed="false">
      <c r="A92" s="52"/>
      <c r="B92" s="52"/>
      <c r="C92" s="51"/>
      <c r="D92" s="51"/>
      <c r="E92" s="52"/>
      <c r="F92" s="61" t="str">
        <f aca="false">IF(AND(ISNUMBER(C92),ISNUMBER(D92),D92&gt;=C92),D92-C92+1,"")</f>
        <v/>
      </c>
      <c r="G92" s="62" t="str">
        <f aca="false">IF(AND(ISNUMBER(C92),ISNUMBER(D92),D92&gt;=C92),WORKDAY(D92,1),"")</f>
        <v/>
      </c>
      <c r="H92" s="53" t="str">
        <f aca="true">IF(A92="","",IF(NOT(AND(ISNUMBER(C92),ISNUMBER(D92))),"Sem data definida",IF(D92&lt;C92,"⚠ Datas invertidas",IF(TODAY()&lt;C92,IF(C92-TODAY()=1,"Começa amanhã","Começa em "&amp;(C92-TODAY())&amp;" dias"),IF(TODAY()&gt;D92,"Concluídas",IF(TODAY()=D92,"EM FÉRIAS (último dia)","EM FÉRIAS (faltam "&amp;(D92-TODAY())&amp;" dias)"))))))</f>
        <v/>
      </c>
      <c r="I92" s="53" t="str">
        <f aca="false">IF(OR(A92="",NOT(AND(ISNUMBER(C92),ISNUMBER(D92)))),"",IF(D92-C92+1&gt;30,"⚠ Período acima de 30 dias",IF(COUNTIFS($B$2:$B$301,B92,$C$2:$C$301,"&lt;="&amp;D92,$D$2:$D$301,"&gt;="&amp;C92)&gt;1,"⚠ Coincide com férias de outro do setor","")))</f>
        <v/>
      </c>
      <c r="K92" s="0" t="str">
        <f aca="true">IF(AND(ISNUMBER(C92),ISNUMBER(D92),C92&lt;=TODAY(),D92&gt;=TODAY()),D92+ROW()/100000,"")</f>
        <v/>
      </c>
      <c r="L92" s="0" t="str">
        <f aca="true">IF(AND(ISNUMBER(C92),C92&gt;TODAY(),C92&lt;=TODAY()+30),C92+ROW()/100000,"")</f>
        <v/>
      </c>
      <c r="M92" s="0" t="str">
        <f aca="false">IF(AND(ISNUMBER(C92),ISNUMBER(D92),C92&lt;=CALENDÁRIO!$L$4,D92&gt;=CALENDÁRIO!$L$4),ROW(),"")</f>
        <v/>
      </c>
    </row>
    <row r="93" customFormat="false" ht="15" hidden="false" customHeight="true" outlineLevel="0" collapsed="false">
      <c r="A93" s="52"/>
      <c r="B93" s="52"/>
      <c r="C93" s="51"/>
      <c r="D93" s="51"/>
      <c r="E93" s="52"/>
      <c r="F93" s="61" t="str">
        <f aca="false">IF(AND(ISNUMBER(C93),ISNUMBER(D93),D93&gt;=C93),D93-C93+1,"")</f>
        <v/>
      </c>
      <c r="G93" s="62" t="str">
        <f aca="false">IF(AND(ISNUMBER(C93),ISNUMBER(D93),D93&gt;=C93),WORKDAY(D93,1),"")</f>
        <v/>
      </c>
      <c r="H93" s="53" t="str">
        <f aca="true">IF(A93="","",IF(NOT(AND(ISNUMBER(C93),ISNUMBER(D93))),"Sem data definida",IF(D93&lt;C93,"⚠ Datas invertidas",IF(TODAY()&lt;C93,IF(C93-TODAY()=1,"Começa amanhã","Começa em "&amp;(C93-TODAY())&amp;" dias"),IF(TODAY()&gt;D93,"Concluídas",IF(TODAY()=D93,"EM FÉRIAS (último dia)","EM FÉRIAS (faltam "&amp;(D93-TODAY())&amp;" dias)"))))))</f>
        <v/>
      </c>
      <c r="I93" s="53" t="str">
        <f aca="false">IF(OR(A93="",NOT(AND(ISNUMBER(C93),ISNUMBER(D93)))),"",IF(D93-C93+1&gt;30,"⚠ Período acima de 30 dias",IF(COUNTIFS($B$2:$B$301,B93,$C$2:$C$301,"&lt;="&amp;D93,$D$2:$D$301,"&gt;="&amp;C93)&gt;1,"⚠ Coincide com férias de outro do setor","")))</f>
        <v/>
      </c>
      <c r="K93" s="0" t="str">
        <f aca="true">IF(AND(ISNUMBER(C93),ISNUMBER(D93),C93&lt;=TODAY(),D93&gt;=TODAY()),D93+ROW()/100000,"")</f>
        <v/>
      </c>
      <c r="L93" s="0" t="str">
        <f aca="true">IF(AND(ISNUMBER(C93),C93&gt;TODAY(),C93&lt;=TODAY()+30),C93+ROW()/100000,"")</f>
        <v/>
      </c>
      <c r="M93" s="0" t="str">
        <f aca="false">IF(AND(ISNUMBER(C93),ISNUMBER(D93),C93&lt;=CALENDÁRIO!$L$4,D93&gt;=CALENDÁRIO!$L$4),ROW(),"")</f>
        <v/>
      </c>
    </row>
    <row r="94" customFormat="false" ht="15" hidden="false" customHeight="true" outlineLevel="0" collapsed="false">
      <c r="A94" s="52"/>
      <c r="B94" s="52"/>
      <c r="C94" s="51"/>
      <c r="D94" s="51"/>
      <c r="E94" s="52"/>
      <c r="F94" s="61" t="str">
        <f aca="false">IF(AND(ISNUMBER(C94),ISNUMBER(D94),D94&gt;=C94),D94-C94+1,"")</f>
        <v/>
      </c>
      <c r="G94" s="62" t="str">
        <f aca="false">IF(AND(ISNUMBER(C94),ISNUMBER(D94),D94&gt;=C94),WORKDAY(D94,1),"")</f>
        <v/>
      </c>
      <c r="H94" s="53" t="str">
        <f aca="true">IF(A94="","",IF(NOT(AND(ISNUMBER(C94),ISNUMBER(D94))),"Sem data definida",IF(D94&lt;C94,"⚠ Datas invertidas",IF(TODAY()&lt;C94,IF(C94-TODAY()=1,"Começa amanhã","Começa em "&amp;(C94-TODAY())&amp;" dias"),IF(TODAY()&gt;D94,"Concluídas",IF(TODAY()=D94,"EM FÉRIAS (último dia)","EM FÉRIAS (faltam "&amp;(D94-TODAY())&amp;" dias)"))))))</f>
        <v/>
      </c>
      <c r="I94" s="53" t="str">
        <f aca="false">IF(OR(A94="",NOT(AND(ISNUMBER(C94),ISNUMBER(D94)))),"",IF(D94-C94+1&gt;30,"⚠ Período acima de 30 dias",IF(COUNTIFS($B$2:$B$301,B94,$C$2:$C$301,"&lt;="&amp;D94,$D$2:$D$301,"&gt;="&amp;C94)&gt;1,"⚠ Coincide com férias de outro do setor","")))</f>
        <v/>
      </c>
      <c r="K94" s="0" t="str">
        <f aca="true">IF(AND(ISNUMBER(C94),ISNUMBER(D94),C94&lt;=TODAY(),D94&gt;=TODAY()),D94+ROW()/100000,"")</f>
        <v/>
      </c>
      <c r="L94" s="0" t="str">
        <f aca="true">IF(AND(ISNUMBER(C94),C94&gt;TODAY(),C94&lt;=TODAY()+30),C94+ROW()/100000,"")</f>
        <v/>
      </c>
      <c r="M94" s="0" t="str">
        <f aca="false">IF(AND(ISNUMBER(C94),ISNUMBER(D94),C94&lt;=CALENDÁRIO!$L$4,D94&gt;=CALENDÁRIO!$L$4),ROW(),"")</f>
        <v/>
      </c>
    </row>
    <row r="95" customFormat="false" ht="15" hidden="false" customHeight="true" outlineLevel="0" collapsed="false">
      <c r="A95" s="52"/>
      <c r="B95" s="52"/>
      <c r="C95" s="51"/>
      <c r="D95" s="51"/>
      <c r="E95" s="52"/>
      <c r="F95" s="61" t="str">
        <f aca="false">IF(AND(ISNUMBER(C95),ISNUMBER(D95),D95&gt;=C95),D95-C95+1,"")</f>
        <v/>
      </c>
      <c r="G95" s="62" t="str">
        <f aca="false">IF(AND(ISNUMBER(C95),ISNUMBER(D95),D95&gt;=C95),WORKDAY(D95,1),"")</f>
        <v/>
      </c>
      <c r="H95" s="53" t="str">
        <f aca="true">IF(A95="","",IF(NOT(AND(ISNUMBER(C95),ISNUMBER(D95))),"Sem data definida",IF(D95&lt;C95,"⚠ Datas invertidas",IF(TODAY()&lt;C95,IF(C95-TODAY()=1,"Começa amanhã","Começa em "&amp;(C95-TODAY())&amp;" dias"),IF(TODAY()&gt;D95,"Concluídas",IF(TODAY()=D95,"EM FÉRIAS (último dia)","EM FÉRIAS (faltam "&amp;(D95-TODAY())&amp;" dias)"))))))</f>
        <v/>
      </c>
      <c r="I95" s="53" t="str">
        <f aca="false">IF(OR(A95="",NOT(AND(ISNUMBER(C95),ISNUMBER(D95)))),"",IF(D95-C95+1&gt;30,"⚠ Período acima de 30 dias",IF(COUNTIFS($B$2:$B$301,B95,$C$2:$C$301,"&lt;="&amp;D95,$D$2:$D$301,"&gt;="&amp;C95)&gt;1,"⚠ Coincide com férias de outro do setor","")))</f>
        <v/>
      </c>
      <c r="K95" s="0" t="str">
        <f aca="true">IF(AND(ISNUMBER(C95),ISNUMBER(D95),C95&lt;=TODAY(),D95&gt;=TODAY()),D95+ROW()/100000,"")</f>
        <v/>
      </c>
      <c r="L95" s="0" t="str">
        <f aca="true">IF(AND(ISNUMBER(C95),C95&gt;TODAY(),C95&lt;=TODAY()+30),C95+ROW()/100000,"")</f>
        <v/>
      </c>
      <c r="M95" s="0" t="str">
        <f aca="false">IF(AND(ISNUMBER(C95),ISNUMBER(D95),C95&lt;=CALENDÁRIO!$L$4,D95&gt;=CALENDÁRIO!$L$4),ROW(),"")</f>
        <v/>
      </c>
    </row>
    <row r="96" customFormat="false" ht="15" hidden="false" customHeight="true" outlineLevel="0" collapsed="false">
      <c r="A96" s="52"/>
      <c r="B96" s="52"/>
      <c r="C96" s="51"/>
      <c r="D96" s="51"/>
      <c r="E96" s="52"/>
      <c r="F96" s="61" t="str">
        <f aca="false">IF(AND(ISNUMBER(C96),ISNUMBER(D96),D96&gt;=C96),D96-C96+1,"")</f>
        <v/>
      </c>
      <c r="G96" s="62" t="str">
        <f aca="false">IF(AND(ISNUMBER(C96),ISNUMBER(D96),D96&gt;=C96),WORKDAY(D96,1),"")</f>
        <v/>
      </c>
      <c r="H96" s="53" t="str">
        <f aca="true">IF(A96="","",IF(NOT(AND(ISNUMBER(C96),ISNUMBER(D96))),"Sem data definida",IF(D96&lt;C96,"⚠ Datas invertidas",IF(TODAY()&lt;C96,IF(C96-TODAY()=1,"Começa amanhã","Começa em "&amp;(C96-TODAY())&amp;" dias"),IF(TODAY()&gt;D96,"Concluídas",IF(TODAY()=D96,"EM FÉRIAS (último dia)","EM FÉRIAS (faltam "&amp;(D96-TODAY())&amp;" dias)"))))))</f>
        <v/>
      </c>
      <c r="I96" s="53" t="str">
        <f aca="false">IF(OR(A96="",NOT(AND(ISNUMBER(C96),ISNUMBER(D96)))),"",IF(D96-C96+1&gt;30,"⚠ Período acima de 30 dias",IF(COUNTIFS($B$2:$B$301,B96,$C$2:$C$301,"&lt;="&amp;D96,$D$2:$D$301,"&gt;="&amp;C96)&gt;1,"⚠ Coincide com férias de outro do setor","")))</f>
        <v/>
      </c>
      <c r="K96" s="0" t="str">
        <f aca="true">IF(AND(ISNUMBER(C96),ISNUMBER(D96),C96&lt;=TODAY(),D96&gt;=TODAY()),D96+ROW()/100000,"")</f>
        <v/>
      </c>
      <c r="L96" s="0" t="str">
        <f aca="true">IF(AND(ISNUMBER(C96),C96&gt;TODAY(),C96&lt;=TODAY()+30),C96+ROW()/100000,"")</f>
        <v/>
      </c>
      <c r="M96" s="0" t="str">
        <f aca="false">IF(AND(ISNUMBER(C96),ISNUMBER(D96),C96&lt;=CALENDÁRIO!$L$4,D96&gt;=CALENDÁRIO!$L$4),ROW(),"")</f>
        <v/>
      </c>
    </row>
    <row r="97" customFormat="false" ht="15" hidden="false" customHeight="true" outlineLevel="0" collapsed="false">
      <c r="A97" s="52"/>
      <c r="B97" s="52"/>
      <c r="C97" s="51"/>
      <c r="D97" s="51"/>
      <c r="E97" s="52"/>
      <c r="F97" s="61" t="str">
        <f aca="false">IF(AND(ISNUMBER(C97),ISNUMBER(D97),D97&gt;=C97),D97-C97+1,"")</f>
        <v/>
      </c>
      <c r="G97" s="62" t="str">
        <f aca="false">IF(AND(ISNUMBER(C97),ISNUMBER(D97),D97&gt;=C97),WORKDAY(D97,1),"")</f>
        <v/>
      </c>
      <c r="H97" s="53" t="str">
        <f aca="true">IF(A97="","",IF(NOT(AND(ISNUMBER(C97),ISNUMBER(D97))),"Sem data definida",IF(D97&lt;C97,"⚠ Datas invertidas",IF(TODAY()&lt;C97,IF(C97-TODAY()=1,"Começa amanhã","Começa em "&amp;(C97-TODAY())&amp;" dias"),IF(TODAY()&gt;D97,"Concluídas",IF(TODAY()=D97,"EM FÉRIAS (último dia)","EM FÉRIAS (faltam "&amp;(D97-TODAY())&amp;" dias)"))))))</f>
        <v/>
      </c>
      <c r="I97" s="53" t="str">
        <f aca="false">IF(OR(A97="",NOT(AND(ISNUMBER(C97),ISNUMBER(D97)))),"",IF(D97-C97+1&gt;30,"⚠ Período acima de 30 dias",IF(COUNTIFS($B$2:$B$301,B97,$C$2:$C$301,"&lt;="&amp;D97,$D$2:$D$301,"&gt;="&amp;C97)&gt;1,"⚠ Coincide com férias de outro do setor","")))</f>
        <v/>
      </c>
      <c r="K97" s="0" t="str">
        <f aca="true">IF(AND(ISNUMBER(C97),ISNUMBER(D97),C97&lt;=TODAY(),D97&gt;=TODAY()),D97+ROW()/100000,"")</f>
        <v/>
      </c>
      <c r="L97" s="0" t="str">
        <f aca="true">IF(AND(ISNUMBER(C97),C97&gt;TODAY(),C97&lt;=TODAY()+30),C97+ROW()/100000,"")</f>
        <v/>
      </c>
      <c r="M97" s="0" t="str">
        <f aca="false">IF(AND(ISNUMBER(C97),ISNUMBER(D97),C97&lt;=CALENDÁRIO!$L$4,D97&gt;=CALENDÁRIO!$L$4),ROW(),"")</f>
        <v/>
      </c>
    </row>
    <row r="98" customFormat="false" ht="15" hidden="false" customHeight="true" outlineLevel="0" collapsed="false">
      <c r="A98" s="52"/>
      <c r="B98" s="52"/>
      <c r="C98" s="51"/>
      <c r="D98" s="51"/>
      <c r="E98" s="52"/>
      <c r="F98" s="61" t="str">
        <f aca="false">IF(AND(ISNUMBER(C98),ISNUMBER(D98),D98&gt;=C98),D98-C98+1,"")</f>
        <v/>
      </c>
      <c r="G98" s="62" t="str">
        <f aca="false">IF(AND(ISNUMBER(C98),ISNUMBER(D98),D98&gt;=C98),WORKDAY(D98,1),"")</f>
        <v/>
      </c>
      <c r="H98" s="53" t="str">
        <f aca="true">IF(A98="","",IF(NOT(AND(ISNUMBER(C98),ISNUMBER(D98))),"Sem data definida",IF(D98&lt;C98,"⚠ Datas invertidas",IF(TODAY()&lt;C98,IF(C98-TODAY()=1,"Começa amanhã","Começa em "&amp;(C98-TODAY())&amp;" dias"),IF(TODAY()&gt;D98,"Concluídas",IF(TODAY()=D98,"EM FÉRIAS (último dia)","EM FÉRIAS (faltam "&amp;(D98-TODAY())&amp;" dias)"))))))</f>
        <v/>
      </c>
      <c r="I98" s="53" t="str">
        <f aca="false">IF(OR(A98="",NOT(AND(ISNUMBER(C98),ISNUMBER(D98)))),"",IF(D98-C98+1&gt;30,"⚠ Período acima de 30 dias",IF(COUNTIFS($B$2:$B$301,B98,$C$2:$C$301,"&lt;="&amp;D98,$D$2:$D$301,"&gt;="&amp;C98)&gt;1,"⚠ Coincide com férias de outro do setor","")))</f>
        <v/>
      </c>
      <c r="K98" s="0" t="str">
        <f aca="true">IF(AND(ISNUMBER(C98),ISNUMBER(D98),C98&lt;=TODAY(),D98&gt;=TODAY()),D98+ROW()/100000,"")</f>
        <v/>
      </c>
      <c r="L98" s="0" t="str">
        <f aca="true">IF(AND(ISNUMBER(C98),C98&gt;TODAY(),C98&lt;=TODAY()+30),C98+ROW()/100000,"")</f>
        <v/>
      </c>
      <c r="M98" s="0" t="str">
        <f aca="false">IF(AND(ISNUMBER(C98),ISNUMBER(D98),C98&lt;=CALENDÁRIO!$L$4,D98&gt;=CALENDÁRIO!$L$4),ROW(),"")</f>
        <v/>
      </c>
    </row>
    <row r="99" customFormat="false" ht="15" hidden="false" customHeight="true" outlineLevel="0" collapsed="false">
      <c r="A99" s="52"/>
      <c r="B99" s="52"/>
      <c r="C99" s="51"/>
      <c r="D99" s="51"/>
      <c r="E99" s="52"/>
      <c r="F99" s="61" t="str">
        <f aca="false">IF(AND(ISNUMBER(C99),ISNUMBER(D99),D99&gt;=C99),D99-C99+1,"")</f>
        <v/>
      </c>
      <c r="G99" s="62" t="str">
        <f aca="false">IF(AND(ISNUMBER(C99),ISNUMBER(D99),D99&gt;=C99),WORKDAY(D99,1),"")</f>
        <v/>
      </c>
      <c r="H99" s="53" t="str">
        <f aca="true">IF(A99="","",IF(NOT(AND(ISNUMBER(C99),ISNUMBER(D99))),"Sem data definida",IF(D99&lt;C99,"⚠ Datas invertidas",IF(TODAY()&lt;C99,IF(C99-TODAY()=1,"Começa amanhã","Começa em "&amp;(C99-TODAY())&amp;" dias"),IF(TODAY()&gt;D99,"Concluídas",IF(TODAY()=D99,"EM FÉRIAS (último dia)","EM FÉRIAS (faltam "&amp;(D99-TODAY())&amp;" dias)"))))))</f>
        <v/>
      </c>
      <c r="I99" s="53" t="str">
        <f aca="false">IF(OR(A99="",NOT(AND(ISNUMBER(C99),ISNUMBER(D99)))),"",IF(D99-C99+1&gt;30,"⚠ Período acima de 30 dias",IF(COUNTIFS($B$2:$B$301,B99,$C$2:$C$301,"&lt;="&amp;D99,$D$2:$D$301,"&gt;="&amp;C99)&gt;1,"⚠ Coincide com férias de outro do setor","")))</f>
        <v/>
      </c>
      <c r="K99" s="0" t="str">
        <f aca="true">IF(AND(ISNUMBER(C99),ISNUMBER(D99),C99&lt;=TODAY(),D99&gt;=TODAY()),D99+ROW()/100000,"")</f>
        <v/>
      </c>
      <c r="L99" s="0" t="str">
        <f aca="true">IF(AND(ISNUMBER(C99),C99&gt;TODAY(),C99&lt;=TODAY()+30),C99+ROW()/100000,"")</f>
        <v/>
      </c>
      <c r="M99" s="0" t="str">
        <f aca="false">IF(AND(ISNUMBER(C99),ISNUMBER(D99),C99&lt;=CALENDÁRIO!$L$4,D99&gt;=CALENDÁRIO!$L$4),ROW(),"")</f>
        <v/>
      </c>
    </row>
    <row r="100" customFormat="false" ht="15" hidden="false" customHeight="true" outlineLevel="0" collapsed="false">
      <c r="A100" s="52"/>
      <c r="B100" s="52"/>
      <c r="C100" s="51"/>
      <c r="D100" s="51"/>
      <c r="E100" s="52"/>
      <c r="F100" s="61" t="str">
        <f aca="false">IF(AND(ISNUMBER(C100),ISNUMBER(D100),D100&gt;=C100),D100-C100+1,"")</f>
        <v/>
      </c>
      <c r="G100" s="62" t="str">
        <f aca="false">IF(AND(ISNUMBER(C100),ISNUMBER(D100),D100&gt;=C100),WORKDAY(D100,1),"")</f>
        <v/>
      </c>
      <c r="H100" s="53" t="str">
        <f aca="true">IF(A100="","",IF(NOT(AND(ISNUMBER(C100),ISNUMBER(D100))),"Sem data definida",IF(D100&lt;C100,"⚠ Datas invertidas",IF(TODAY()&lt;C100,IF(C100-TODAY()=1,"Começa amanhã","Começa em "&amp;(C100-TODAY())&amp;" dias"),IF(TODAY()&gt;D100,"Concluídas",IF(TODAY()=D100,"EM FÉRIAS (último dia)","EM FÉRIAS (faltam "&amp;(D100-TODAY())&amp;" dias)"))))))</f>
        <v/>
      </c>
      <c r="I100" s="53" t="str">
        <f aca="false">IF(OR(A100="",NOT(AND(ISNUMBER(C100),ISNUMBER(D100)))),"",IF(D100-C100+1&gt;30,"⚠ Período acima de 30 dias",IF(COUNTIFS($B$2:$B$301,B100,$C$2:$C$301,"&lt;="&amp;D100,$D$2:$D$301,"&gt;="&amp;C100)&gt;1,"⚠ Coincide com férias de outro do setor","")))</f>
        <v/>
      </c>
      <c r="K100" s="0" t="str">
        <f aca="true">IF(AND(ISNUMBER(C100),ISNUMBER(D100),C100&lt;=TODAY(),D100&gt;=TODAY()),D100+ROW()/100000,"")</f>
        <v/>
      </c>
      <c r="L100" s="0" t="str">
        <f aca="true">IF(AND(ISNUMBER(C100),C100&gt;TODAY(),C100&lt;=TODAY()+30),C100+ROW()/100000,"")</f>
        <v/>
      </c>
      <c r="M100" s="0" t="str">
        <f aca="false">IF(AND(ISNUMBER(C100),ISNUMBER(D100),C100&lt;=CALENDÁRIO!$L$4,D100&gt;=CALENDÁRIO!$L$4),ROW(),"")</f>
        <v/>
      </c>
    </row>
    <row r="101" customFormat="false" ht="15" hidden="false" customHeight="true" outlineLevel="0" collapsed="false">
      <c r="A101" s="52"/>
      <c r="B101" s="52"/>
      <c r="C101" s="51"/>
      <c r="D101" s="51"/>
      <c r="E101" s="52"/>
      <c r="F101" s="61" t="str">
        <f aca="false">IF(AND(ISNUMBER(C101),ISNUMBER(D101),D101&gt;=C101),D101-C101+1,"")</f>
        <v/>
      </c>
      <c r="G101" s="62" t="str">
        <f aca="false">IF(AND(ISNUMBER(C101),ISNUMBER(D101),D101&gt;=C101),WORKDAY(D101,1),"")</f>
        <v/>
      </c>
      <c r="H101" s="53" t="str">
        <f aca="true">IF(A101="","",IF(NOT(AND(ISNUMBER(C101),ISNUMBER(D101))),"Sem data definida",IF(D101&lt;C101,"⚠ Datas invertidas",IF(TODAY()&lt;C101,IF(C101-TODAY()=1,"Começa amanhã","Começa em "&amp;(C101-TODAY())&amp;" dias"),IF(TODAY()&gt;D101,"Concluídas",IF(TODAY()=D101,"EM FÉRIAS (último dia)","EM FÉRIAS (faltam "&amp;(D101-TODAY())&amp;" dias)"))))))</f>
        <v/>
      </c>
      <c r="I101" s="53" t="str">
        <f aca="false">IF(OR(A101="",NOT(AND(ISNUMBER(C101),ISNUMBER(D101)))),"",IF(D101-C101+1&gt;30,"⚠ Período acima de 30 dias",IF(COUNTIFS($B$2:$B$301,B101,$C$2:$C$301,"&lt;="&amp;D101,$D$2:$D$301,"&gt;="&amp;C101)&gt;1,"⚠ Coincide com férias de outro do setor","")))</f>
        <v/>
      </c>
      <c r="K101" s="0" t="str">
        <f aca="true">IF(AND(ISNUMBER(C101),ISNUMBER(D101),C101&lt;=TODAY(),D101&gt;=TODAY()),D101+ROW()/100000,"")</f>
        <v/>
      </c>
      <c r="L101" s="0" t="str">
        <f aca="true">IF(AND(ISNUMBER(C101),C101&gt;TODAY(),C101&lt;=TODAY()+30),C101+ROW()/100000,"")</f>
        <v/>
      </c>
      <c r="M101" s="0" t="str">
        <f aca="false">IF(AND(ISNUMBER(C101),ISNUMBER(D101),C101&lt;=CALENDÁRIO!$L$4,D101&gt;=CALENDÁRIO!$L$4),ROW(),"")</f>
        <v/>
      </c>
    </row>
    <row r="102" customFormat="false" ht="15" hidden="false" customHeight="true" outlineLevel="0" collapsed="false">
      <c r="A102" s="52"/>
      <c r="B102" s="52"/>
      <c r="C102" s="51"/>
      <c r="D102" s="51"/>
      <c r="E102" s="52"/>
      <c r="F102" s="61" t="str">
        <f aca="false">IF(AND(ISNUMBER(C102),ISNUMBER(D102),D102&gt;=C102),D102-C102+1,"")</f>
        <v/>
      </c>
      <c r="G102" s="62" t="str">
        <f aca="false">IF(AND(ISNUMBER(C102),ISNUMBER(D102),D102&gt;=C102),WORKDAY(D102,1),"")</f>
        <v/>
      </c>
      <c r="H102" s="53" t="str">
        <f aca="true">IF(A102="","",IF(NOT(AND(ISNUMBER(C102),ISNUMBER(D102))),"Sem data definida",IF(D102&lt;C102,"⚠ Datas invertidas",IF(TODAY()&lt;C102,IF(C102-TODAY()=1,"Começa amanhã","Começa em "&amp;(C102-TODAY())&amp;" dias"),IF(TODAY()&gt;D102,"Concluídas",IF(TODAY()=D102,"EM FÉRIAS (último dia)","EM FÉRIAS (faltam "&amp;(D102-TODAY())&amp;" dias)"))))))</f>
        <v/>
      </c>
      <c r="I102" s="53" t="str">
        <f aca="false">IF(OR(A102="",NOT(AND(ISNUMBER(C102),ISNUMBER(D102)))),"",IF(D102-C102+1&gt;30,"⚠ Período acima de 30 dias",IF(COUNTIFS($B$2:$B$301,B102,$C$2:$C$301,"&lt;="&amp;D102,$D$2:$D$301,"&gt;="&amp;C102)&gt;1,"⚠ Coincide com férias de outro do setor","")))</f>
        <v/>
      </c>
      <c r="K102" s="0" t="str">
        <f aca="true">IF(AND(ISNUMBER(C102),ISNUMBER(D102),C102&lt;=TODAY(),D102&gt;=TODAY()),D102+ROW()/100000,"")</f>
        <v/>
      </c>
      <c r="L102" s="0" t="str">
        <f aca="true">IF(AND(ISNUMBER(C102),C102&gt;TODAY(),C102&lt;=TODAY()+30),C102+ROW()/100000,"")</f>
        <v/>
      </c>
      <c r="M102" s="0" t="str">
        <f aca="false">IF(AND(ISNUMBER(C102),ISNUMBER(D102),C102&lt;=CALENDÁRIO!$L$4,D102&gt;=CALENDÁRIO!$L$4),ROW(),"")</f>
        <v/>
      </c>
    </row>
    <row r="103" customFormat="false" ht="15" hidden="false" customHeight="true" outlineLevel="0" collapsed="false">
      <c r="A103" s="52"/>
      <c r="B103" s="52"/>
      <c r="C103" s="51"/>
      <c r="D103" s="51"/>
      <c r="E103" s="52"/>
      <c r="F103" s="61" t="str">
        <f aca="false">IF(AND(ISNUMBER(C103),ISNUMBER(D103),D103&gt;=C103),D103-C103+1,"")</f>
        <v/>
      </c>
      <c r="G103" s="62" t="str">
        <f aca="false">IF(AND(ISNUMBER(C103),ISNUMBER(D103),D103&gt;=C103),WORKDAY(D103,1),"")</f>
        <v/>
      </c>
      <c r="H103" s="53" t="str">
        <f aca="true">IF(A103="","",IF(NOT(AND(ISNUMBER(C103),ISNUMBER(D103))),"Sem data definida",IF(D103&lt;C103,"⚠ Datas invertidas",IF(TODAY()&lt;C103,IF(C103-TODAY()=1,"Começa amanhã","Começa em "&amp;(C103-TODAY())&amp;" dias"),IF(TODAY()&gt;D103,"Concluídas",IF(TODAY()=D103,"EM FÉRIAS (último dia)","EM FÉRIAS (faltam "&amp;(D103-TODAY())&amp;" dias)"))))))</f>
        <v/>
      </c>
      <c r="I103" s="53" t="str">
        <f aca="false">IF(OR(A103="",NOT(AND(ISNUMBER(C103),ISNUMBER(D103)))),"",IF(D103-C103+1&gt;30,"⚠ Período acima de 30 dias",IF(COUNTIFS($B$2:$B$301,B103,$C$2:$C$301,"&lt;="&amp;D103,$D$2:$D$301,"&gt;="&amp;C103)&gt;1,"⚠ Coincide com férias de outro do setor","")))</f>
        <v/>
      </c>
      <c r="K103" s="0" t="str">
        <f aca="true">IF(AND(ISNUMBER(C103),ISNUMBER(D103),C103&lt;=TODAY(),D103&gt;=TODAY()),D103+ROW()/100000,"")</f>
        <v/>
      </c>
      <c r="L103" s="0" t="str">
        <f aca="true">IF(AND(ISNUMBER(C103),C103&gt;TODAY(),C103&lt;=TODAY()+30),C103+ROW()/100000,"")</f>
        <v/>
      </c>
      <c r="M103" s="0" t="str">
        <f aca="false">IF(AND(ISNUMBER(C103),ISNUMBER(D103),C103&lt;=CALENDÁRIO!$L$4,D103&gt;=CALENDÁRIO!$L$4),ROW(),"")</f>
        <v/>
      </c>
    </row>
    <row r="104" customFormat="false" ht="15" hidden="false" customHeight="true" outlineLevel="0" collapsed="false">
      <c r="A104" s="52"/>
      <c r="B104" s="52"/>
      <c r="C104" s="51"/>
      <c r="D104" s="51"/>
      <c r="E104" s="52"/>
      <c r="F104" s="61" t="str">
        <f aca="false">IF(AND(ISNUMBER(C104),ISNUMBER(D104),D104&gt;=C104),D104-C104+1,"")</f>
        <v/>
      </c>
      <c r="G104" s="62" t="str">
        <f aca="false">IF(AND(ISNUMBER(C104),ISNUMBER(D104),D104&gt;=C104),WORKDAY(D104,1),"")</f>
        <v/>
      </c>
      <c r="H104" s="53" t="str">
        <f aca="true">IF(A104="","",IF(NOT(AND(ISNUMBER(C104),ISNUMBER(D104))),"Sem data definida",IF(D104&lt;C104,"⚠ Datas invertidas",IF(TODAY()&lt;C104,IF(C104-TODAY()=1,"Começa amanhã","Começa em "&amp;(C104-TODAY())&amp;" dias"),IF(TODAY()&gt;D104,"Concluídas",IF(TODAY()=D104,"EM FÉRIAS (último dia)","EM FÉRIAS (faltam "&amp;(D104-TODAY())&amp;" dias)"))))))</f>
        <v/>
      </c>
      <c r="I104" s="53" t="str">
        <f aca="false">IF(OR(A104="",NOT(AND(ISNUMBER(C104),ISNUMBER(D104)))),"",IF(D104-C104+1&gt;30,"⚠ Período acima de 30 dias",IF(COUNTIFS($B$2:$B$301,B104,$C$2:$C$301,"&lt;="&amp;D104,$D$2:$D$301,"&gt;="&amp;C104)&gt;1,"⚠ Coincide com férias de outro do setor","")))</f>
        <v/>
      </c>
      <c r="K104" s="0" t="str">
        <f aca="true">IF(AND(ISNUMBER(C104),ISNUMBER(D104),C104&lt;=TODAY(),D104&gt;=TODAY()),D104+ROW()/100000,"")</f>
        <v/>
      </c>
      <c r="L104" s="0" t="str">
        <f aca="true">IF(AND(ISNUMBER(C104),C104&gt;TODAY(),C104&lt;=TODAY()+30),C104+ROW()/100000,"")</f>
        <v/>
      </c>
      <c r="M104" s="0" t="str">
        <f aca="false">IF(AND(ISNUMBER(C104),ISNUMBER(D104),C104&lt;=CALENDÁRIO!$L$4,D104&gt;=CALENDÁRIO!$L$4),ROW(),"")</f>
        <v/>
      </c>
    </row>
    <row r="105" customFormat="false" ht="15" hidden="false" customHeight="true" outlineLevel="0" collapsed="false">
      <c r="A105" s="52"/>
      <c r="B105" s="52"/>
      <c r="C105" s="51"/>
      <c r="D105" s="51"/>
      <c r="E105" s="52"/>
      <c r="F105" s="61" t="str">
        <f aca="false">IF(AND(ISNUMBER(C105),ISNUMBER(D105),D105&gt;=C105),D105-C105+1,"")</f>
        <v/>
      </c>
      <c r="G105" s="62" t="str">
        <f aca="false">IF(AND(ISNUMBER(C105),ISNUMBER(D105),D105&gt;=C105),WORKDAY(D105,1),"")</f>
        <v/>
      </c>
      <c r="H105" s="53" t="str">
        <f aca="true">IF(A105="","",IF(NOT(AND(ISNUMBER(C105),ISNUMBER(D105))),"Sem data definida",IF(D105&lt;C105,"⚠ Datas invertidas",IF(TODAY()&lt;C105,IF(C105-TODAY()=1,"Começa amanhã","Começa em "&amp;(C105-TODAY())&amp;" dias"),IF(TODAY()&gt;D105,"Concluídas",IF(TODAY()=D105,"EM FÉRIAS (último dia)","EM FÉRIAS (faltam "&amp;(D105-TODAY())&amp;" dias)"))))))</f>
        <v/>
      </c>
      <c r="I105" s="53" t="str">
        <f aca="false">IF(OR(A105="",NOT(AND(ISNUMBER(C105),ISNUMBER(D105)))),"",IF(D105-C105+1&gt;30,"⚠ Período acima de 30 dias",IF(COUNTIFS($B$2:$B$301,B105,$C$2:$C$301,"&lt;="&amp;D105,$D$2:$D$301,"&gt;="&amp;C105)&gt;1,"⚠ Coincide com férias de outro do setor","")))</f>
        <v/>
      </c>
      <c r="K105" s="0" t="str">
        <f aca="true">IF(AND(ISNUMBER(C105),ISNUMBER(D105),C105&lt;=TODAY(),D105&gt;=TODAY()),D105+ROW()/100000,"")</f>
        <v/>
      </c>
      <c r="L105" s="0" t="str">
        <f aca="true">IF(AND(ISNUMBER(C105),C105&gt;TODAY(),C105&lt;=TODAY()+30),C105+ROW()/100000,"")</f>
        <v/>
      </c>
      <c r="M105" s="0" t="str">
        <f aca="false">IF(AND(ISNUMBER(C105),ISNUMBER(D105),C105&lt;=CALENDÁRIO!$L$4,D105&gt;=CALENDÁRIO!$L$4),ROW(),"")</f>
        <v/>
      </c>
    </row>
    <row r="106" customFormat="false" ht="15" hidden="false" customHeight="true" outlineLevel="0" collapsed="false">
      <c r="A106" s="52"/>
      <c r="B106" s="52"/>
      <c r="C106" s="51"/>
      <c r="D106" s="51"/>
      <c r="E106" s="52"/>
      <c r="F106" s="61" t="str">
        <f aca="false">IF(AND(ISNUMBER(C106),ISNUMBER(D106),D106&gt;=C106),D106-C106+1,"")</f>
        <v/>
      </c>
      <c r="G106" s="62" t="str">
        <f aca="false">IF(AND(ISNUMBER(C106),ISNUMBER(D106),D106&gt;=C106),WORKDAY(D106,1),"")</f>
        <v/>
      </c>
      <c r="H106" s="53" t="str">
        <f aca="true">IF(A106="","",IF(NOT(AND(ISNUMBER(C106),ISNUMBER(D106))),"Sem data definida",IF(D106&lt;C106,"⚠ Datas invertidas",IF(TODAY()&lt;C106,IF(C106-TODAY()=1,"Começa amanhã","Começa em "&amp;(C106-TODAY())&amp;" dias"),IF(TODAY()&gt;D106,"Concluídas",IF(TODAY()=D106,"EM FÉRIAS (último dia)","EM FÉRIAS (faltam "&amp;(D106-TODAY())&amp;" dias)"))))))</f>
        <v/>
      </c>
      <c r="I106" s="53" t="str">
        <f aca="false">IF(OR(A106="",NOT(AND(ISNUMBER(C106),ISNUMBER(D106)))),"",IF(D106-C106+1&gt;30,"⚠ Período acima de 30 dias",IF(COUNTIFS($B$2:$B$301,B106,$C$2:$C$301,"&lt;="&amp;D106,$D$2:$D$301,"&gt;="&amp;C106)&gt;1,"⚠ Coincide com férias de outro do setor","")))</f>
        <v/>
      </c>
      <c r="K106" s="0" t="str">
        <f aca="true">IF(AND(ISNUMBER(C106),ISNUMBER(D106),C106&lt;=TODAY(),D106&gt;=TODAY()),D106+ROW()/100000,"")</f>
        <v/>
      </c>
      <c r="L106" s="0" t="str">
        <f aca="true">IF(AND(ISNUMBER(C106),C106&gt;TODAY(),C106&lt;=TODAY()+30),C106+ROW()/100000,"")</f>
        <v/>
      </c>
      <c r="M106" s="0" t="str">
        <f aca="false">IF(AND(ISNUMBER(C106),ISNUMBER(D106),C106&lt;=CALENDÁRIO!$L$4,D106&gt;=CALENDÁRIO!$L$4),ROW(),"")</f>
        <v/>
      </c>
    </row>
    <row r="107" customFormat="false" ht="15" hidden="false" customHeight="true" outlineLevel="0" collapsed="false">
      <c r="A107" s="52"/>
      <c r="B107" s="52"/>
      <c r="C107" s="51"/>
      <c r="D107" s="51"/>
      <c r="E107" s="52"/>
      <c r="F107" s="61" t="str">
        <f aca="false">IF(AND(ISNUMBER(C107),ISNUMBER(D107),D107&gt;=C107),D107-C107+1,"")</f>
        <v/>
      </c>
      <c r="G107" s="62" t="str">
        <f aca="false">IF(AND(ISNUMBER(C107),ISNUMBER(D107),D107&gt;=C107),WORKDAY(D107,1),"")</f>
        <v/>
      </c>
      <c r="H107" s="53" t="str">
        <f aca="true">IF(A107="","",IF(NOT(AND(ISNUMBER(C107),ISNUMBER(D107))),"Sem data definida",IF(D107&lt;C107,"⚠ Datas invertidas",IF(TODAY()&lt;C107,IF(C107-TODAY()=1,"Começa amanhã","Começa em "&amp;(C107-TODAY())&amp;" dias"),IF(TODAY()&gt;D107,"Concluídas",IF(TODAY()=D107,"EM FÉRIAS (último dia)","EM FÉRIAS (faltam "&amp;(D107-TODAY())&amp;" dias)"))))))</f>
        <v/>
      </c>
      <c r="I107" s="53" t="str">
        <f aca="false">IF(OR(A107="",NOT(AND(ISNUMBER(C107),ISNUMBER(D107)))),"",IF(D107-C107+1&gt;30,"⚠ Período acima de 30 dias",IF(COUNTIFS($B$2:$B$301,B107,$C$2:$C$301,"&lt;="&amp;D107,$D$2:$D$301,"&gt;="&amp;C107)&gt;1,"⚠ Coincide com férias de outro do setor","")))</f>
        <v/>
      </c>
      <c r="K107" s="0" t="str">
        <f aca="true">IF(AND(ISNUMBER(C107),ISNUMBER(D107),C107&lt;=TODAY(),D107&gt;=TODAY()),D107+ROW()/100000,"")</f>
        <v/>
      </c>
      <c r="L107" s="0" t="str">
        <f aca="true">IF(AND(ISNUMBER(C107),C107&gt;TODAY(),C107&lt;=TODAY()+30),C107+ROW()/100000,"")</f>
        <v/>
      </c>
      <c r="M107" s="0" t="str">
        <f aca="false">IF(AND(ISNUMBER(C107),ISNUMBER(D107),C107&lt;=CALENDÁRIO!$L$4,D107&gt;=CALENDÁRIO!$L$4),ROW(),"")</f>
        <v/>
      </c>
    </row>
    <row r="108" customFormat="false" ht="15" hidden="false" customHeight="true" outlineLevel="0" collapsed="false">
      <c r="A108" s="52"/>
      <c r="B108" s="52"/>
      <c r="C108" s="51"/>
      <c r="D108" s="51"/>
      <c r="E108" s="52"/>
      <c r="F108" s="61" t="str">
        <f aca="false">IF(AND(ISNUMBER(C108),ISNUMBER(D108),D108&gt;=C108),D108-C108+1,"")</f>
        <v/>
      </c>
      <c r="G108" s="62" t="str">
        <f aca="false">IF(AND(ISNUMBER(C108),ISNUMBER(D108),D108&gt;=C108),WORKDAY(D108,1),"")</f>
        <v/>
      </c>
      <c r="H108" s="53" t="str">
        <f aca="true">IF(A108="","",IF(NOT(AND(ISNUMBER(C108),ISNUMBER(D108))),"Sem data definida",IF(D108&lt;C108,"⚠ Datas invertidas",IF(TODAY()&lt;C108,IF(C108-TODAY()=1,"Começa amanhã","Começa em "&amp;(C108-TODAY())&amp;" dias"),IF(TODAY()&gt;D108,"Concluídas",IF(TODAY()=D108,"EM FÉRIAS (último dia)","EM FÉRIAS (faltam "&amp;(D108-TODAY())&amp;" dias)"))))))</f>
        <v/>
      </c>
      <c r="I108" s="53" t="str">
        <f aca="false">IF(OR(A108="",NOT(AND(ISNUMBER(C108),ISNUMBER(D108)))),"",IF(D108-C108+1&gt;30,"⚠ Período acima de 30 dias",IF(COUNTIFS($B$2:$B$301,B108,$C$2:$C$301,"&lt;="&amp;D108,$D$2:$D$301,"&gt;="&amp;C108)&gt;1,"⚠ Coincide com férias de outro do setor","")))</f>
        <v/>
      </c>
      <c r="K108" s="0" t="str">
        <f aca="true">IF(AND(ISNUMBER(C108),ISNUMBER(D108),C108&lt;=TODAY(),D108&gt;=TODAY()),D108+ROW()/100000,"")</f>
        <v/>
      </c>
      <c r="L108" s="0" t="str">
        <f aca="true">IF(AND(ISNUMBER(C108),C108&gt;TODAY(),C108&lt;=TODAY()+30),C108+ROW()/100000,"")</f>
        <v/>
      </c>
      <c r="M108" s="0" t="str">
        <f aca="false">IF(AND(ISNUMBER(C108),ISNUMBER(D108),C108&lt;=CALENDÁRIO!$L$4,D108&gt;=CALENDÁRIO!$L$4),ROW(),"")</f>
        <v/>
      </c>
    </row>
    <row r="109" customFormat="false" ht="15" hidden="false" customHeight="true" outlineLevel="0" collapsed="false">
      <c r="A109" s="52"/>
      <c r="B109" s="52"/>
      <c r="C109" s="51"/>
      <c r="D109" s="51"/>
      <c r="E109" s="52"/>
      <c r="F109" s="61" t="str">
        <f aca="false">IF(AND(ISNUMBER(C109),ISNUMBER(D109),D109&gt;=C109),D109-C109+1,"")</f>
        <v/>
      </c>
      <c r="G109" s="62" t="str">
        <f aca="false">IF(AND(ISNUMBER(C109),ISNUMBER(D109),D109&gt;=C109),WORKDAY(D109,1),"")</f>
        <v/>
      </c>
      <c r="H109" s="53" t="str">
        <f aca="true">IF(A109="","",IF(NOT(AND(ISNUMBER(C109),ISNUMBER(D109))),"Sem data definida",IF(D109&lt;C109,"⚠ Datas invertidas",IF(TODAY()&lt;C109,IF(C109-TODAY()=1,"Começa amanhã","Começa em "&amp;(C109-TODAY())&amp;" dias"),IF(TODAY()&gt;D109,"Concluídas",IF(TODAY()=D109,"EM FÉRIAS (último dia)","EM FÉRIAS (faltam "&amp;(D109-TODAY())&amp;" dias)"))))))</f>
        <v/>
      </c>
      <c r="I109" s="53" t="str">
        <f aca="false">IF(OR(A109="",NOT(AND(ISNUMBER(C109),ISNUMBER(D109)))),"",IF(D109-C109+1&gt;30,"⚠ Período acima de 30 dias",IF(COUNTIFS($B$2:$B$301,B109,$C$2:$C$301,"&lt;="&amp;D109,$D$2:$D$301,"&gt;="&amp;C109)&gt;1,"⚠ Coincide com férias de outro do setor","")))</f>
        <v/>
      </c>
      <c r="K109" s="0" t="str">
        <f aca="true">IF(AND(ISNUMBER(C109),ISNUMBER(D109),C109&lt;=TODAY(),D109&gt;=TODAY()),D109+ROW()/100000,"")</f>
        <v/>
      </c>
      <c r="L109" s="0" t="str">
        <f aca="true">IF(AND(ISNUMBER(C109),C109&gt;TODAY(),C109&lt;=TODAY()+30),C109+ROW()/100000,"")</f>
        <v/>
      </c>
      <c r="M109" s="0" t="str">
        <f aca="false">IF(AND(ISNUMBER(C109),ISNUMBER(D109),C109&lt;=CALENDÁRIO!$L$4,D109&gt;=CALENDÁRIO!$L$4),ROW(),"")</f>
        <v/>
      </c>
    </row>
    <row r="110" customFormat="false" ht="15" hidden="false" customHeight="true" outlineLevel="0" collapsed="false">
      <c r="A110" s="52"/>
      <c r="B110" s="52"/>
      <c r="C110" s="51"/>
      <c r="D110" s="51"/>
      <c r="E110" s="52"/>
      <c r="F110" s="61" t="str">
        <f aca="false">IF(AND(ISNUMBER(C110),ISNUMBER(D110),D110&gt;=C110),D110-C110+1,"")</f>
        <v/>
      </c>
      <c r="G110" s="62" t="str">
        <f aca="false">IF(AND(ISNUMBER(C110),ISNUMBER(D110),D110&gt;=C110),WORKDAY(D110,1),"")</f>
        <v/>
      </c>
      <c r="H110" s="53" t="str">
        <f aca="true">IF(A110="","",IF(NOT(AND(ISNUMBER(C110),ISNUMBER(D110))),"Sem data definida",IF(D110&lt;C110,"⚠ Datas invertidas",IF(TODAY()&lt;C110,IF(C110-TODAY()=1,"Começa amanhã","Começa em "&amp;(C110-TODAY())&amp;" dias"),IF(TODAY()&gt;D110,"Concluídas",IF(TODAY()=D110,"EM FÉRIAS (último dia)","EM FÉRIAS (faltam "&amp;(D110-TODAY())&amp;" dias)"))))))</f>
        <v/>
      </c>
      <c r="I110" s="53" t="str">
        <f aca="false">IF(OR(A110="",NOT(AND(ISNUMBER(C110),ISNUMBER(D110)))),"",IF(D110-C110+1&gt;30,"⚠ Período acima de 30 dias",IF(COUNTIFS($B$2:$B$301,B110,$C$2:$C$301,"&lt;="&amp;D110,$D$2:$D$301,"&gt;="&amp;C110)&gt;1,"⚠ Coincide com férias de outro do setor","")))</f>
        <v/>
      </c>
      <c r="K110" s="0" t="str">
        <f aca="true">IF(AND(ISNUMBER(C110),ISNUMBER(D110),C110&lt;=TODAY(),D110&gt;=TODAY()),D110+ROW()/100000,"")</f>
        <v/>
      </c>
      <c r="L110" s="0" t="str">
        <f aca="true">IF(AND(ISNUMBER(C110),C110&gt;TODAY(),C110&lt;=TODAY()+30),C110+ROW()/100000,"")</f>
        <v/>
      </c>
      <c r="M110" s="0" t="str">
        <f aca="false">IF(AND(ISNUMBER(C110),ISNUMBER(D110),C110&lt;=CALENDÁRIO!$L$4,D110&gt;=CALENDÁRIO!$L$4),ROW(),"")</f>
        <v/>
      </c>
    </row>
    <row r="111" customFormat="false" ht="15" hidden="false" customHeight="true" outlineLevel="0" collapsed="false">
      <c r="A111" s="52"/>
      <c r="B111" s="52"/>
      <c r="C111" s="51"/>
      <c r="D111" s="51"/>
      <c r="E111" s="52"/>
      <c r="F111" s="61" t="str">
        <f aca="false">IF(AND(ISNUMBER(C111),ISNUMBER(D111),D111&gt;=C111),D111-C111+1,"")</f>
        <v/>
      </c>
      <c r="G111" s="62" t="str">
        <f aca="false">IF(AND(ISNUMBER(C111),ISNUMBER(D111),D111&gt;=C111),WORKDAY(D111,1),"")</f>
        <v/>
      </c>
      <c r="H111" s="53" t="str">
        <f aca="true">IF(A111="","",IF(NOT(AND(ISNUMBER(C111),ISNUMBER(D111))),"Sem data definida",IF(D111&lt;C111,"⚠ Datas invertidas",IF(TODAY()&lt;C111,IF(C111-TODAY()=1,"Começa amanhã","Começa em "&amp;(C111-TODAY())&amp;" dias"),IF(TODAY()&gt;D111,"Concluídas",IF(TODAY()=D111,"EM FÉRIAS (último dia)","EM FÉRIAS (faltam "&amp;(D111-TODAY())&amp;" dias)"))))))</f>
        <v/>
      </c>
      <c r="I111" s="53" t="str">
        <f aca="false">IF(OR(A111="",NOT(AND(ISNUMBER(C111),ISNUMBER(D111)))),"",IF(D111-C111+1&gt;30,"⚠ Período acima de 30 dias",IF(COUNTIFS($B$2:$B$301,B111,$C$2:$C$301,"&lt;="&amp;D111,$D$2:$D$301,"&gt;="&amp;C111)&gt;1,"⚠ Coincide com férias de outro do setor","")))</f>
        <v/>
      </c>
      <c r="K111" s="0" t="str">
        <f aca="true">IF(AND(ISNUMBER(C111),ISNUMBER(D111),C111&lt;=TODAY(),D111&gt;=TODAY()),D111+ROW()/100000,"")</f>
        <v/>
      </c>
      <c r="L111" s="0" t="str">
        <f aca="true">IF(AND(ISNUMBER(C111),C111&gt;TODAY(),C111&lt;=TODAY()+30),C111+ROW()/100000,"")</f>
        <v/>
      </c>
      <c r="M111" s="0" t="str">
        <f aca="false">IF(AND(ISNUMBER(C111),ISNUMBER(D111),C111&lt;=CALENDÁRIO!$L$4,D111&gt;=CALENDÁRIO!$L$4),ROW(),"")</f>
        <v/>
      </c>
    </row>
    <row r="112" customFormat="false" ht="15" hidden="false" customHeight="true" outlineLevel="0" collapsed="false">
      <c r="A112" s="52"/>
      <c r="B112" s="52"/>
      <c r="C112" s="51"/>
      <c r="D112" s="51"/>
      <c r="E112" s="52"/>
      <c r="F112" s="61" t="str">
        <f aca="false">IF(AND(ISNUMBER(C112),ISNUMBER(D112),D112&gt;=C112),D112-C112+1,"")</f>
        <v/>
      </c>
      <c r="G112" s="62" t="str">
        <f aca="false">IF(AND(ISNUMBER(C112),ISNUMBER(D112),D112&gt;=C112),WORKDAY(D112,1),"")</f>
        <v/>
      </c>
      <c r="H112" s="53" t="str">
        <f aca="true">IF(A112="","",IF(NOT(AND(ISNUMBER(C112),ISNUMBER(D112))),"Sem data definida",IF(D112&lt;C112,"⚠ Datas invertidas",IF(TODAY()&lt;C112,IF(C112-TODAY()=1,"Começa amanhã","Começa em "&amp;(C112-TODAY())&amp;" dias"),IF(TODAY()&gt;D112,"Concluídas",IF(TODAY()=D112,"EM FÉRIAS (último dia)","EM FÉRIAS (faltam "&amp;(D112-TODAY())&amp;" dias)"))))))</f>
        <v/>
      </c>
      <c r="I112" s="53" t="str">
        <f aca="false">IF(OR(A112="",NOT(AND(ISNUMBER(C112),ISNUMBER(D112)))),"",IF(D112-C112+1&gt;30,"⚠ Período acima de 30 dias",IF(COUNTIFS($B$2:$B$301,B112,$C$2:$C$301,"&lt;="&amp;D112,$D$2:$D$301,"&gt;="&amp;C112)&gt;1,"⚠ Coincide com férias de outro do setor","")))</f>
        <v/>
      </c>
      <c r="K112" s="0" t="str">
        <f aca="true">IF(AND(ISNUMBER(C112),ISNUMBER(D112),C112&lt;=TODAY(),D112&gt;=TODAY()),D112+ROW()/100000,"")</f>
        <v/>
      </c>
      <c r="L112" s="0" t="str">
        <f aca="true">IF(AND(ISNUMBER(C112),C112&gt;TODAY(),C112&lt;=TODAY()+30),C112+ROW()/100000,"")</f>
        <v/>
      </c>
      <c r="M112" s="0" t="str">
        <f aca="false">IF(AND(ISNUMBER(C112),ISNUMBER(D112),C112&lt;=CALENDÁRIO!$L$4,D112&gt;=CALENDÁRIO!$L$4),ROW(),"")</f>
        <v/>
      </c>
    </row>
    <row r="113" customFormat="false" ht="15" hidden="false" customHeight="true" outlineLevel="0" collapsed="false">
      <c r="A113" s="52"/>
      <c r="B113" s="52"/>
      <c r="C113" s="51"/>
      <c r="D113" s="51"/>
      <c r="E113" s="52"/>
      <c r="F113" s="61" t="str">
        <f aca="false">IF(AND(ISNUMBER(C113),ISNUMBER(D113),D113&gt;=C113),D113-C113+1,"")</f>
        <v/>
      </c>
      <c r="G113" s="62" t="str">
        <f aca="false">IF(AND(ISNUMBER(C113),ISNUMBER(D113),D113&gt;=C113),WORKDAY(D113,1),"")</f>
        <v/>
      </c>
      <c r="H113" s="53" t="str">
        <f aca="true">IF(A113="","",IF(NOT(AND(ISNUMBER(C113),ISNUMBER(D113))),"Sem data definida",IF(D113&lt;C113,"⚠ Datas invertidas",IF(TODAY()&lt;C113,IF(C113-TODAY()=1,"Começa amanhã","Começa em "&amp;(C113-TODAY())&amp;" dias"),IF(TODAY()&gt;D113,"Concluídas",IF(TODAY()=D113,"EM FÉRIAS (último dia)","EM FÉRIAS (faltam "&amp;(D113-TODAY())&amp;" dias)"))))))</f>
        <v/>
      </c>
      <c r="I113" s="53" t="str">
        <f aca="false">IF(OR(A113="",NOT(AND(ISNUMBER(C113),ISNUMBER(D113)))),"",IF(D113-C113+1&gt;30,"⚠ Período acima de 30 dias",IF(COUNTIFS($B$2:$B$301,B113,$C$2:$C$301,"&lt;="&amp;D113,$D$2:$D$301,"&gt;="&amp;C113)&gt;1,"⚠ Coincide com férias de outro do setor","")))</f>
        <v/>
      </c>
      <c r="K113" s="0" t="str">
        <f aca="true">IF(AND(ISNUMBER(C113),ISNUMBER(D113),C113&lt;=TODAY(),D113&gt;=TODAY()),D113+ROW()/100000,"")</f>
        <v/>
      </c>
      <c r="L113" s="0" t="str">
        <f aca="true">IF(AND(ISNUMBER(C113),C113&gt;TODAY(),C113&lt;=TODAY()+30),C113+ROW()/100000,"")</f>
        <v/>
      </c>
      <c r="M113" s="0" t="str">
        <f aca="false">IF(AND(ISNUMBER(C113),ISNUMBER(D113),C113&lt;=CALENDÁRIO!$L$4,D113&gt;=CALENDÁRIO!$L$4),ROW(),"")</f>
        <v/>
      </c>
    </row>
    <row r="114" customFormat="false" ht="15" hidden="false" customHeight="true" outlineLevel="0" collapsed="false">
      <c r="A114" s="52"/>
      <c r="B114" s="52"/>
      <c r="C114" s="51"/>
      <c r="D114" s="51"/>
      <c r="E114" s="52"/>
      <c r="F114" s="61" t="str">
        <f aca="false">IF(AND(ISNUMBER(C114),ISNUMBER(D114),D114&gt;=C114),D114-C114+1,"")</f>
        <v/>
      </c>
      <c r="G114" s="62" t="str">
        <f aca="false">IF(AND(ISNUMBER(C114),ISNUMBER(D114),D114&gt;=C114),WORKDAY(D114,1),"")</f>
        <v/>
      </c>
      <c r="H114" s="53" t="str">
        <f aca="true">IF(A114="","",IF(NOT(AND(ISNUMBER(C114),ISNUMBER(D114))),"Sem data definida",IF(D114&lt;C114,"⚠ Datas invertidas",IF(TODAY()&lt;C114,IF(C114-TODAY()=1,"Começa amanhã","Começa em "&amp;(C114-TODAY())&amp;" dias"),IF(TODAY()&gt;D114,"Concluídas",IF(TODAY()=D114,"EM FÉRIAS (último dia)","EM FÉRIAS (faltam "&amp;(D114-TODAY())&amp;" dias)"))))))</f>
        <v/>
      </c>
      <c r="I114" s="53" t="str">
        <f aca="false">IF(OR(A114="",NOT(AND(ISNUMBER(C114),ISNUMBER(D114)))),"",IF(D114-C114+1&gt;30,"⚠ Período acima de 30 dias",IF(COUNTIFS($B$2:$B$301,B114,$C$2:$C$301,"&lt;="&amp;D114,$D$2:$D$301,"&gt;="&amp;C114)&gt;1,"⚠ Coincide com férias de outro do setor","")))</f>
        <v/>
      </c>
      <c r="K114" s="0" t="str">
        <f aca="true">IF(AND(ISNUMBER(C114),ISNUMBER(D114),C114&lt;=TODAY(),D114&gt;=TODAY()),D114+ROW()/100000,"")</f>
        <v/>
      </c>
      <c r="L114" s="0" t="str">
        <f aca="true">IF(AND(ISNUMBER(C114),C114&gt;TODAY(),C114&lt;=TODAY()+30),C114+ROW()/100000,"")</f>
        <v/>
      </c>
      <c r="M114" s="0" t="str">
        <f aca="false">IF(AND(ISNUMBER(C114),ISNUMBER(D114),C114&lt;=CALENDÁRIO!$L$4,D114&gt;=CALENDÁRIO!$L$4),ROW(),"")</f>
        <v/>
      </c>
    </row>
    <row r="115" customFormat="false" ht="15" hidden="false" customHeight="true" outlineLevel="0" collapsed="false">
      <c r="A115" s="52"/>
      <c r="B115" s="52"/>
      <c r="C115" s="51"/>
      <c r="D115" s="51"/>
      <c r="E115" s="52"/>
      <c r="F115" s="61" t="str">
        <f aca="false">IF(AND(ISNUMBER(C115),ISNUMBER(D115),D115&gt;=C115),D115-C115+1,"")</f>
        <v/>
      </c>
      <c r="G115" s="62" t="str">
        <f aca="false">IF(AND(ISNUMBER(C115),ISNUMBER(D115),D115&gt;=C115),WORKDAY(D115,1),"")</f>
        <v/>
      </c>
      <c r="H115" s="53" t="str">
        <f aca="true">IF(A115="","",IF(NOT(AND(ISNUMBER(C115),ISNUMBER(D115))),"Sem data definida",IF(D115&lt;C115,"⚠ Datas invertidas",IF(TODAY()&lt;C115,IF(C115-TODAY()=1,"Começa amanhã","Começa em "&amp;(C115-TODAY())&amp;" dias"),IF(TODAY()&gt;D115,"Concluídas",IF(TODAY()=D115,"EM FÉRIAS (último dia)","EM FÉRIAS (faltam "&amp;(D115-TODAY())&amp;" dias)"))))))</f>
        <v/>
      </c>
      <c r="I115" s="53" t="str">
        <f aca="false">IF(OR(A115="",NOT(AND(ISNUMBER(C115),ISNUMBER(D115)))),"",IF(D115-C115+1&gt;30,"⚠ Período acima de 30 dias",IF(COUNTIFS($B$2:$B$301,B115,$C$2:$C$301,"&lt;="&amp;D115,$D$2:$D$301,"&gt;="&amp;C115)&gt;1,"⚠ Coincide com férias de outro do setor","")))</f>
        <v/>
      </c>
      <c r="K115" s="0" t="str">
        <f aca="true">IF(AND(ISNUMBER(C115),ISNUMBER(D115),C115&lt;=TODAY(),D115&gt;=TODAY()),D115+ROW()/100000,"")</f>
        <v/>
      </c>
      <c r="L115" s="0" t="str">
        <f aca="true">IF(AND(ISNUMBER(C115),C115&gt;TODAY(),C115&lt;=TODAY()+30),C115+ROW()/100000,"")</f>
        <v/>
      </c>
      <c r="M115" s="0" t="str">
        <f aca="false">IF(AND(ISNUMBER(C115),ISNUMBER(D115),C115&lt;=CALENDÁRIO!$L$4,D115&gt;=CALENDÁRIO!$L$4),ROW(),"")</f>
        <v/>
      </c>
    </row>
    <row r="116" customFormat="false" ht="15" hidden="false" customHeight="true" outlineLevel="0" collapsed="false">
      <c r="A116" s="52"/>
      <c r="B116" s="52"/>
      <c r="C116" s="51"/>
      <c r="D116" s="51"/>
      <c r="E116" s="52"/>
      <c r="F116" s="61" t="str">
        <f aca="false">IF(AND(ISNUMBER(C116),ISNUMBER(D116),D116&gt;=C116),D116-C116+1,"")</f>
        <v/>
      </c>
      <c r="G116" s="62" t="str">
        <f aca="false">IF(AND(ISNUMBER(C116),ISNUMBER(D116),D116&gt;=C116),WORKDAY(D116,1),"")</f>
        <v/>
      </c>
      <c r="H116" s="53" t="str">
        <f aca="true">IF(A116="","",IF(NOT(AND(ISNUMBER(C116),ISNUMBER(D116))),"Sem data definida",IF(D116&lt;C116,"⚠ Datas invertidas",IF(TODAY()&lt;C116,IF(C116-TODAY()=1,"Começa amanhã","Começa em "&amp;(C116-TODAY())&amp;" dias"),IF(TODAY()&gt;D116,"Concluídas",IF(TODAY()=D116,"EM FÉRIAS (último dia)","EM FÉRIAS (faltam "&amp;(D116-TODAY())&amp;" dias)"))))))</f>
        <v/>
      </c>
      <c r="I116" s="53" t="str">
        <f aca="false">IF(OR(A116="",NOT(AND(ISNUMBER(C116),ISNUMBER(D116)))),"",IF(D116-C116+1&gt;30,"⚠ Período acima de 30 dias",IF(COUNTIFS($B$2:$B$301,B116,$C$2:$C$301,"&lt;="&amp;D116,$D$2:$D$301,"&gt;="&amp;C116)&gt;1,"⚠ Coincide com férias de outro do setor","")))</f>
        <v/>
      </c>
      <c r="K116" s="0" t="str">
        <f aca="true">IF(AND(ISNUMBER(C116),ISNUMBER(D116),C116&lt;=TODAY(),D116&gt;=TODAY()),D116+ROW()/100000,"")</f>
        <v/>
      </c>
      <c r="L116" s="0" t="str">
        <f aca="true">IF(AND(ISNUMBER(C116),C116&gt;TODAY(),C116&lt;=TODAY()+30),C116+ROW()/100000,"")</f>
        <v/>
      </c>
      <c r="M116" s="0" t="str">
        <f aca="false">IF(AND(ISNUMBER(C116),ISNUMBER(D116),C116&lt;=CALENDÁRIO!$L$4,D116&gt;=CALENDÁRIO!$L$4),ROW(),"")</f>
        <v/>
      </c>
    </row>
    <row r="117" customFormat="false" ht="15" hidden="false" customHeight="true" outlineLevel="0" collapsed="false">
      <c r="A117" s="52"/>
      <c r="B117" s="52"/>
      <c r="C117" s="51"/>
      <c r="D117" s="51"/>
      <c r="E117" s="52"/>
      <c r="F117" s="61" t="str">
        <f aca="false">IF(AND(ISNUMBER(C117),ISNUMBER(D117),D117&gt;=C117),D117-C117+1,"")</f>
        <v/>
      </c>
      <c r="G117" s="62" t="str">
        <f aca="false">IF(AND(ISNUMBER(C117),ISNUMBER(D117),D117&gt;=C117),WORKDAY(D117,1),"")</f>
        <v/>
      </c>
      <c r="H117" s="53" t="str">
        <f aca="true">IF(A117="","",IF(NOT(AND(ISNUMBER(C117),ISNUMBER(D117))),"Sem data definida",IF(D117&lt;C117,"⚠ Datas invertidas",IF(TODAY()&lt;C117,IF(C117-TODAY()=1,"Começa amanhã","Começa em "&amp;(C117-TODAY())&amp;" dias"),IF(TODAY()&gt;D117,"Concluídas",IF(TODAY()=D117,"EM FÉRIAS (último dia)","EM FÉRIAS (faltam "&amp;(D117-TODAY())&amp;" dias)"))))))</f>
        <v/>
      </c>
      <c r="I117" s="53" t="str">
        <f aca="false">IF(OR(A117="",NOT(AND(ISNUMBER(C117),ISNUMBER(D117)))),"",IF(D117-C117+1&gt;30,"⚠ Período acima de 30 dias",IF(COUNTIFS($B$2:$B$301,B117,$C$2:$C$301,"&lt;="&amp;D117,$D$2:$D$301,"&gt;="&amp;C117)&gt;1,"⚠ Coincide com férias de outro do setor","")))</f>
        <v/>
      </c>
      <c r="K117" s="0" t="str">
        <f aca="true">IF(AND(ISNUMBER(C117),ISNUMBER(D117),C117&lt;=TODAY(),D117&gt;=TODAY()),D117+ROW()/100000,"")</f>
        <v/>
      </c>
      <c r="L117" s="0" t="str">
        <f aca="true">IF(AND(ISNUMBER(C117),C117&gt;TODAY(),C117&lt;=TODAY()+30),C117+ROW()/100000,"")</f>
        <v/>
      </c>
      <c r="M117" s="0" t="str">
        <f aca="false">IF(AND(ISNUMBER(C117),ISNUMBER(D117),C117&lt;=CALENDÁRIO!$L$4,D117&gt;=CALENDÁRIO!$L$4),ROW(),"")</f>
        <v/>
      </c>
    </row>
    <row r="118" customFormat="false" ht="15" hidden="false" customHeight="true" outlineLevel="0" collapsed="false">
      <c r="A118" s="52"/>
      <c r="B118" s="52"/>
      <c r="C118" s="51"/>
      <c r="D118" s="51"/>
      <c r="E118" s="52"/>
      <c r="F118" s="61" t="str">
        <f aca="false">IF(AND(ISNUMBER(C118),ISNUMBER(D118),D118&gt;=C118),D118-C118+1,"")</f>
        <v/>
      </c>
      <c r="G118" s="62" t="str">
        <f aca="false">IF(AND(ISNUMBER(C118),ISNUMBER(D118),D118&gt;=C118),WORKDAY(D118,1),"")</f>
        <v/>
      </c>
      <c r="H118" s="53" t="str">
        <f aca="true">IF(A118="","",IF(NOT(AND(ISNUMBER(C118),ISNUMBER(D118))),"Sem data definida",IF(D118&lt;C118,"⚠ Datas invertidas",IF(TODAY()&lt;C118,IF(C118-TODAY()=1,"Começa amanhã","Começa em "&amp;(C118-TODAY())&amp;" dias"),IF(TODAY()&gt;D118,"Concluídas",IF(TODAY()=D118,"EM FÉRIAS (último dia)","EM FÉRIAS (faltam "&amp;(D118-TODAY())&amp;" dias)"))))))</f>
        <v/>
      </c>
      <c r="I118" s="53" t="str">
        <f aca="false">IF(OR(A118="",NOT(AND(ISNUMBER(C118),ISNUMBER(D118)))),"",IF(D118-C118+1&gt;30,"⚠ Período acima de 30 dias",IF(COUNTIFS($B$2:$B$301,B118,$C$2:$C$301,"&lt;="&amp;D118,$D$2:$D$301,"&gt;="&amp;C118)&gt;1,"⚠ Coincide com férias de outro do setor","")))</f>
        <v/>
      </c>
      <c r="K118" s="0" t="str">
        <f aca="true">IF(AND(ISNUMBER(C118),ISNUMBER(D118),C118&lt;=TODAY(),D118&gt;=TODAY()),D118+ROW()/100000,"")</f>
        <v/>
      </c>
      <c r="L118" s="0" t="str">
        <f aca="true">IF(AND(ISNUMBER(C118),C118&gt;TODAY(),C118&lt;=TODAY()+30),C118+ROW()/100000,"")</f>
        <v/>
      </c>
      <c r="M118" s="0" t="str">
        <f aca="false">IF(AND(ISNUMBER(C118),ISNUMBER(D118),C118&lt;=CALENDÁRIO!$L$4,D118&gt;=CALENDÁRIO!$L$4),ROW(),"")</f>
        <v/>
      </c>
    </row>
    <row r="119" customFormat="false" ht="15" hidden="false" customHeight="true" outlineLevel="0" collapsed="false">
      <c r="A119" s="52"/>
      <c r="B119" s="52"/>
      <c r="C119" s="51"/>
      <c r="D119" s="51"/>
      <c r="E119" s="52"/>
      <c r="F119" s="61" t="str">
        <f aca="false">IF(AND(ISNUMBER(C119),ISNUMBER(D119),D119&gt;=C119),D119-C119+1,"")</f>
        <v/>
      </c>
      <c r="G119" s="62" t="str">
        <f aca="false">IF(AND(ISNUMBER(C119),ISNUMBER(D119),D119&gt;=C119),WORKDAY(D119,1),"")</f>
        <v/>
      </c>
      <c r="H119" s="53" t="str">
        <f aca="true">IF(A119="","",IF(NOT(AND(ISNUMBER(C119),ISNUMBER(D119))),"Sem data definida",IF(D119&lt;C119,"⚠ Datas invertidas",IF(TODAY()&lt;C119,IF(C119-TODAY()=1,"Começa amanhã","Começa em "&amp;(C119-TODAY())&amp;" dias"),IF(TODAY()&gt;D119,"Concluídas",IF(TODAY()=D119,"EM FÉRIAS (último dia)","EM FÉRIAS (faltam "&amp;(D119-TODAY())&amp;" dias)"))))))</f>
        <v/>
      </c>
      <c r="I119" s="53" t="str">
        <f aca="false">IF(OR(A119="",NOT(AND(ISNUMBER(C119),ISNUMBER(D119)))),"",IF(D119-C119+1&gt;30,"⚠ Período acima de 30 dias",IF(COUNTIFS($B$2:$B$301,B119,$C$2:$C$301,"&lt;="&amp;D119,$D$2:$D$301,"&gt;="&amp;C119)&gt;1,"⚠ Coincide com férias de outro do setor","")))</f>
        <v/>
      </c>
      <c r="K119" s="0" t="str">
        <f aca="true">IF(AND(ISNUMBER(C119),ISNUMBER(D119),C119&lt;=TODAY(),D119&gt;=TODAY()),D119+ROW()/100000,"")</f>
        <v/>
      </c>
      <c r="L119" s="0" t="str">
        <f aca="true">IF(AND(ISNUMBER(C119),C119&gt;TODAY(),C119&lt;=TODAY()+30),C119+ROW()/100000,"")</f>
        <v/>
      </c>
      <c r="M119" s="0" t="str">
        <f aca="false">IF(AND(ISNUMBER(C119),ISNUMBER(D119),C119&lt;=CALENDÁRIO!$L$4,D119&gt;=CALENDÁRIO!$L$4),ROW(),"")</f>
        <v/>
      </c>
    </row>
    <row r="120" customFormat="false" ht="15" hidden="false" customHeight="true" outlineLevel="0" collapsed="false">
      <c r="A120" s="52"/>
      <c r="B120" s="52"/>
      <c r="C120" s="51"/>
      <c r="D120" s="51"/>
      <c r="E120" s="52"/>
      <c r="F120" s="61" t="str">
        <f aca="false">IF(AND(ISNUMBER(C120),ISNUMBER(D120),D120&gt;=C120),D120-C120+1,"")</f>
        <v/>
      </c>
      <c r="G120" s="62" t="str">
        <f aca="false">IF(AND(ISNUMBER(C120),ISNUMBER(D120),D120&gt;=C120),WORKDAY(D120,1),"")</f>
        <v/>
      </c>
      <c r="H120" s="53" t="str">
        <f aca="true">IF(A120="","",IF(NOT(AND(ISNUMBER(C120),ISNUMBER(D120))),"Sem data definida",IF(D120&lt;C120,"⚠ Datas invertidas",IF(TODAY()&lt;C120,IF(C120-TODAY()=1,"Começa amanhã","Começa em "&amp;(C120-TODAY())&amp;" dias"),IF(TODAY()&gt;D120,"Concluídas",IF(TODAY()=D120,"EM FÉRIAS (último dia)","EM FÉRIAS (faltam "&amp;(D120-TODAY())&amp;" dias)"))))))</f>
        <v/>
      </c>
      <c r="I120" s="53" t="str">
        <f aca="false">IF(OR(A120="",NOT(AND(ISNUMBER(C120),ISNUMBER(D120)))),"",IF(D120-C120+1&gt;30,"⚠ Período acima de 30 dias",IF(COUNTIFS($B$2:$B$301,B120,$C$2:$C$301,"&lt;="&amp;D120,$D$2:$D$301,"&gt;="&amp;C120)&gt;1,"⚠ Coincide com férias de outro do setor","")))</f>
        <v/>
      </c>
      <c r="K120" s="0" t="str">
        <f aca="true">IF(AND(ISNUMBER(C120),ISNUMBER(D120),C120&lt;=TODAY(),D120&gt;=TODAY()),D120+ROW()/100000,"")</f>
        <v/>
      </c>
      <c r="L120" s="0" t="str">
        <f aca="true">IF(AND(ISNUMBER(C120),C120&gt;TODAY(),C120&lt;=TODAY()+30),C120+ROW()/100000,"")</f>
        <v/>
      </c>
      <c r="M120" s="0" t="str">
        <f aca="false">IF(AND(ISNUMBER(C120),ISNUMBER(D120),C120&lt;=CALENDÁRIO!$L$4,D120&gt;=CALENDÁRIO!$L$4),ROW(),"")</f>
        <v/>
      </c>
    </row>
    <row r="121" customFormat="false" ht="15" hidden="false" customHeight="true" outlineLevel="0" collapsed="false">
      <c r="A121" s="52"/>
      <c r="B121" s="52"/>
      <c r="C121" s="51"/>
      <c r="D121" s="51"/>
      <c r="E121" s="52"/>
      <c r="F121" s="61" t="str">
        <f aca="false">IF(AND(ISNUMBER(C121),ISNUMBER(D121),D121&gt;=C121),D121-C121+1,"")</f>
        <v/>
      </c>
      <c r="G121" s="62" t="str">
        <f aca="false">IF(AND(ISNUMBER(C121),ISNUMBER(D121),D121&gt;=C121),WORKDAY(D121,1),"")</f>
        <v/>
      </c>
      <c r="H121" s="53" t="str">
        <f aca="true">IF(A121="","",IF(NOT(AND(ISNUMBER(C121),ISNUMBER(D121))),"Sem data definida",IF(D121&lt;C121,"⚠ Datas invertidas",IF(TODAY()&lt;C121,IF(C121-TODAY()=1,"Começa amanhã","Começa em "&amp;(C121-TODAY())&amp;" dias"),IF(TODAY()&gt;D121,"Concluídas",IF(TODAY()=D121,"EM FÉRIAS (último dia)","EM FÉRIAS (faltam "&amp;(D121-TODAY())&amp;" dias)"))))))</f>
        <v/>
      </c>
      <c r="I121" s="53" t="str">
        <f aca="false">IF(OR(A121="",NOT(AND(ISNUMBER(C121),ISNUMBER(D121)))),"",IF(D121-C121+1&gt;30,"⚠ Período acima de 30 dias",IF(COUNTIFS($B$2:$B$301,B121,$C$2:$C$301,"&lt;="&amp;D121,$D$2:$D$301,"&gt;="&amp;C121)&gt;1,"⚠ Coincide com férias de outro do setor","")))</f>
        <v/>
      </c>
      <c r="K121" s="0" t="str">
        <f aca="true">IF(AND(ISNUMBER(C121),ISNUMBER(D121),C121&lt;=TODAY(),D121&gt;=TODAY()),D121+ROW()/100000,"")</f>
        <v/>
      </c>
      <c r="L121" s="0" t="str">
        <f aca="true">IF(AND(ISNUMBER(C121),C121&gt;TODAY(),C121&lt;=TODAY()+30),C121+ROW()/100000,"")</f>
        <v/>
      </c>
      <c r="M121" s="0" t="str">
        <f aca="false">IF(AND(ISNUMBER(C121),ISNUMBER(D121),C121&lt;=CALENDÁRIO!$L$4,D121&gt;=CALENDÁRIO!$L$4),ROW(),"")</f>
        <v/>
      </c>
    </row>
    <row r="122" customFormat="false" ht="15" hidden="false" customHeight="true" outlineLevel="0" collapsed="false">
      <c r="A122" s="52"/>
      <c r="B122" s="52"/>
      <c r="C122" s="51"/>
      <c r="D122" s="51"/>
      <c r="E122" s="52"/>
      <c r="F122" s="61" t="str">
        <f aca="false">IF(AND(ISNUMBER(C122),ISNUMBER(D122),D122&gt;=C122),D122-C122+1,"")</f>
        <v/>
      </c>
      <c r="G122" s="62" t="str">
        <f aca="false">IF(AND(ISNUMBER(C122),ISNUMBER(D122),D122&gt;=C122),WORKDAY(D122,1),"")</f>
        <v/>
      </c>
      <c r="H122" s="53" t="str">
        <f aca="true">IF(A122="","",IF(NOT(AND(ISNUMBER(C122),ISNUMBER(D122))),"Sem data definida",IF(D122&lt;C122,"⚠ Datas invertidas",IF(TODAY()&lt;C122,IF(C122-TODAY()=1,"Começa amanhã","Começa em "&amp;(C122-TODAY())&amp;" dias"),IF(TODAY()&gt;D122,"Concluídas",IF(TODAY()=D122,"EM FÉRIAS (último dia)","EM FÉRIAS (faltam "&amp;(D122-TODAY())&amp;" dias)"))))))</f>
        <v/>
      </c>
      <c r="I122" s="53" t="str">
        <f aca="false">IF(OR(A122="",NOT(AND(ISNUMBER(C122),ISNUMBER(D122)))),"",IF(D122-C122+1&gt;30,"⚠ Período acima de 30 dias",IF(COUNTIFS($B$2:$B$301,B122,$C$2:$C$301,"&lt;="&amp;D122,$D$2:$D$301,"&gt;="&amp;C122)&gt;1,"⚠ Coincide com férias de outro do setor","")))</f>
        <v/>
      </c>
      <c r="K122" s="0" t="str">
        <f aca="true">IF(AND(ISNUMBER(C122),ISNUMBER(D122),C122&lt;=TODAY(),D122&gt;=TODAY()),D122+ROW()/100000,"")</f>
        <v/>
      </c>
      <c r="L122" s="0" t="str">
        <f aca="true">IF(AND(ISNUMBER(C122),C122&gt;TODAY(),C122&lt;=TODAY()+30),C122+ROW()/100000,"")</f>
        <v/>
      </c>
      <c r="M122" s="0" t="str">
        <f aca="false">IF(AND(ISNUMBER(C122),ISNUMBER(D122),C122&lt;=CALENDÁRIO!$L$4,D122&gt;=CALENDÁRIO!$L$4),ROW(),"")</f>
        <v/>
      </c>
    </row>
    <row r="123" customFormat="false" ht="15" hidden="false" customHeight="true" outlineLevel="0" collapsed="false">
      <c r="A123" s="52"/>
      <c r="B123" s="52"/>
      <c r="C123" s="51"/>
      <c r="D123" s="51"/>
      <c r="E123" s="52"/>
      <c r="F123" s="61" t="str">
        <f aca="false">IF(AND(ISNUMBER(C123),ISNUMBER(D123),D123&gt;=C123),D123-C123+1,"")</f>
        <v/>
      </c>
      <c r="G123" s="62" t="str">
        <f aca="false">IF(AND(ISNUMBER(C123),ISNUMBER(D123),D123&gt;=C123),WORKDAY(D123,1),"")</f>
        <v/>
      </c>
      <c r="H123" s="53" t="str">
        <f aca="true">IF(A123="","",IF(NOT(AND(ISNUMBER(C123),ISNUMBER(D123))),"Sem data definida",IF(D123&lt;C123,"⚠ Datas invertidas",IF(TODAY()&lt;C123,IF(C123-TODAY()=1,"Começa amanhã","Começa em "&amp;(C123-TODAY())&amp;" dias"),IF(TODAY()&gt;D123,"Concluídas",IF(TODAY()=D123,"EM FÉRIAS (último dia)","EM FÉRIAS (faltam "&amp;(D123-TODAY())&amp;" dias)"))))))</f>
        <v/>
      </c>
      <c r="I123" s="53" t="str">
        <f aca="false">IF(OR(A123="",NOT(AND(ISNUMBER(C123),ISNUMBER(D123)))),"",IF(D123-C123+1&gt;30,"⚠ Período acima de 30 dias",IF(COUNTIFS($B$2:$B$301,B123,$C$2:$C$301,"&lt;="&amp;D123,$D$2:$D$301,"&gt;="&amp;C123)&gt;1,"⚠ Coincide com férias de outro do setor","")))</f>
        <v/>
      </c>
      <c r="K123" s="0" t="str">
        <f aca="true">IF(AND(ISNUMBER(C123),ISNUMBER(D123),C123&lt;=TODAY(),D123&gt;=TODAY()),D123+ROW()/100000,"")</f>
        <v/>
      </c>
      <c r="L123" s="0" t="str">
        <f aca="true">IF(AND(ISNUMBER(C123),C123&gt;TODAY(),C123&lt;=TODAY()+30),C123+ROW()/100000,"")</f>
        <v/>
      </c>
      <c r="M123" s="0" t="str">
        <f aca="false">IF(AND(ISNUMBER(C123),ISNUMBER(D123),C123&lt;=CALENDÁRIO!$L$4,D123&gt;=CALENDÁRIO!$L$4),ROW(),"")</f>
        <v/>
      </c>
    </row>
    <row r="124" customFormat="false" ht="15" hidden="false" customHeight="true" outlineLevel="0" collapsed="false">
      <c r="A124" s="52"/>
      <c r="B124" s="52"/>
      <c r="C124" s="51"/>
      <c r="D124" s="51"/>
      <c r="E124" s="52"/>
      <c r="F124" s="61" t="str">
        <f aca="false">IF(AND(ISNUMBER(C124),ISNUMBER(D124),D124&gt;=C124),D124-C124+1,"")</f>
        <v/>
      </c>
      <c r="G124" s="62" t="str">
        <f aca="false">IF(AND(ISNUMBER(C124),ISNUMBER(D124),D124&gt;=C124),WORKDAY(D124,1),"")</f>
        <v/>
      </c>
      <c r="H124" s="53" t="str">
        <f aca="true">IF(A124="","",IF(NOT(AND(ISNUMBER(C124),ISNUMBER(D124))),"Sem data definida",IF(D124&lt;C124,"⚠ Datas invertidas",IF(TODAY()&lt;C124,IF(C124-TODAY()=1,"Começa amanhã","Começa em "&amp;(C124-TODAY())&amp;" dias"),IF(TODAY()&gt;D124,"Concluídas",IF(TODAY()=D124,"EM FÉRIAS (último dia)","EM FÉRIAS (faltam "&amp;(D124-TODAY())&amp;" dias)"))))))</f>
        <v/>
      </c>
      <c r="I124" s="53" t="str">
        <f aca="false">IF(OR(A124="",NOT(AND(ISNUMBER(C124),ISNUMBER(D124)))),"",IF(D124-C124+1&gt;30,"⚠ Período acima de 30 dias",IF(COUNTIFS($B$2:$B$301,B124,$C$2:$C$301,"&lt;="&amp;D124,$D$2:$D$301,"&gt;="&amp;C124)&gt;1,"⚠ Coincide com férias de outro do setor","")))</f>
        <v/>
      </c>
      <c r="K124" s="0" t="str">
        <f aca="true">IF(AND(ISNUMBER(C124),ISNUMBER(D124),C124&lt;=TODAY(),D124&gt;=TODAY()),D124+ROW()/100000,"")</f>
        <v/>
      </c>
      <c r="L124" s="0" t="str">
        <f aca="true">IF(AND(ISNUMBER(C124),C124&gt;TODAY(),C124&lt;=TODAY()+30),C124+ROW()/100000,"")</f>
        <v/>
      </c>
      <c r="M124" s="0" t="str">
        <f aca="false">IF(AND(ISNUMBER(C124),ISNUMBER(D124),C124&lt;=CALENDÁRIO!$L$4,D124&gt;=CALENDÁRIO!$L$4),ROW(),"")</f>
        <v/>
      </c>
    </row>
    <row r="125" customFormat="false" ht="15" hidden="false" customHeight="true" outlineLevel="0" collapsed="false">
      <c r="A125" s="52"/>
      <c r="B125" s="52"/>
      <c r="C125" s="51"/>
      <c r="D125" s="51"/>
      <c r="E125" s="52"/>
      <c r="F125" s="61" t="str">
        <f aca="false">IF(AND(ISNUMBER(C125),ISNUMBER(D125),D125&gt;=C125),D125-C125+1,"")</f>
        <v/>
      </c>
      <c r="G125" s="62" t="str">
        <f aca="false">IF(AND(ISNUMBER(C125),ISNUMBER(D125),D125&gt;=C125),WORKDAY(D125,1),"")</f>
        <v/>
      </c>
      <c r="H125" s="53" t="str">
        <f aca="true">IF(A125="","",IF(NOT(AND(ISNUMBER(C125),ISNUMBER(D125))),"Sem data definida",IF(D125&lt;C125,"⚠ Datas invertidas",IF(TODAY()&lt;C125,IF(C125-TODAY()=1,"Começa amanhã","Começa em "&amp;(C125-TODAY())&amp;" dias"),IF(TODAY()&gt;D125,"Concluídas",IF(TODAY()=D125,"EM FÉRIAS (último dia)","EM FÉRIAS (faltam "&amp;(D125-TODAY())&amp;" dias)"))))))</f>
        <v/>
      </c>
      <c r="I125" s="53" t="str">
        <f aca="false">IF(OR(A125="",NOT(AND(ISNUMBER(C125),ISNUMBER(D125)))),"",IF(D125-C125+1&gt;30,"⚠ Período acima de 30 dias",IF(COUNTIFS($B$2:$B$301,B125,$C$2:$C$301,"&lt;="&amp;D125,$D$2:$D$301,"&gt;="&amp;C125)&gt;1,"⚠ Coincide com férias de outro do setor","")))</f>
        <v/>
      </c>
      <c r="K125" s="0" t="str">
        <f aca="true">IF(AND(ISNUMBER(C125),ISNUMBER(D125),C125&lt;=TODAY(),D125&gt;=TODAY()),D125+ROW()/100000,"")</f>
        <v/>
      </c>
      <c r="L125" s="0" t="str">
        <f aca="true">IF(AND(ISNUMBER(C125),C125&gt;TODAY(),C125&lt;=TODAY()+30),C125+ROW()/100000,"")</f>
        <v/>
      </c>
      <c r="M125" s="0" t="str">
        <f aca="false">IF(AND(ISNUMBER(C125),ISNUMBER(D125),C125&lt;=CALENDÁRIO!$L$4,D125&gt;=CALENDÁRIO!$L$4),ROW(),"")</f>
        <v/>
      </c>
    </row>
    <row r="126" customFormat="false" ht="15" hidden="false" customHeight="true" outlineLevel="0" collapsed="false">
      <c r="A126" s="52"/>
      <c r="B126" s="52"/>
      <c r="C126" s="51"/>
      <c r="D126" s="51"/>
      <c r="E126" s="52"/>
      <c r="F126" s="61" t="str">
        <f aca="false">IF(AND(ISNUMBER(C126),ISNUMBER(D126),D126&gt;=C126),D126-C126+1,"")</f>
        <v/>
      </c>
      <c r="G126" s="62" t="str">
        <f aca="false">IF(AND(ISNUMBER(C126),ISNUMBER(D126),D126&gt;=C126),WORKDAY(D126,1),"")</f>
        <v/>
      </c>
      <c r="H126" s="53" t="str">
        <f aca="true">IF(A126="","",IF(NOT(AND(ISNUMBER(C126),ISNUMBER(D126))),"Sem data definida",IF(D126&lt;C126,"⚠ Datas invertidas",IF(TODAY()&lt;C126,IF(C126-TODAY()=1,"Começa amanhã","Começa em "&amp;(C126-TODAY())&amp;" dias"),IF(TODAY()&gt;D126,"Concluídas",IF(TODAY()=D126,"EM FÉRIAS (último dia)","EM FÉRIAS (faltam "&amp;(D126-TODAY())&amp;" dias)"))))))</f>
        <v/>
      </c>
      <c r="I126" s="53" t="str">
        <f aca="false">IF(OR(A126="",NOT(AND(ISNUMBER(C126),ISNUMBER(D126)))),"",IF(D126-C126+1&gt;30,"⚠ Período acima de 30 dias",IF(COUNTIFS($B$2:$B$301,B126,$C$2:$C$301,"&lt;="&amp;D126,$D$2:$D$301,"&gt;="&amp;C126)&gt;1,"⚠ Coincide com férias de outro do setor","")))</f>
        <v/>
      </c>
      <c r="K126" s="0" t="str">
        <f aca="true">IF(AND(ISNUMBER(C126),ISNUMBER(D126),C126&lt;=TODAY(),D126&gt;=TODAY()),D126+ROW()/100000,"")</f>
        <v/>
      </c>
      <c r="L126" s="0" t="str">
        <f aca="true">IF(AND(ISNUMBER(C126),C126&gt;TODAY(),C126&lt;=TODAY()+30),C126+ROW()/100000,"")</f>
        <v/>
      </c>
      <c r="M126" s="0" t="str">
        <f aca="false">IF(AND(ISNUMBER(C126),ISNUMBER(D126),C126&lt;=CALENDÁRIO!$L$4,D126&gt;=CALENDÁRIO!$L$4),ROW(),"")</f>
        <v/>
      </c>
    </row>
    <row r="127" customFormat="false" ht="15" hidden="false" customHeight="true" outlineLevel="0" collapsed="false">
      <c r="A127" s="52"/>
      <c r="B127" s="52"/>
      <c r="C127" s="51"/>
      <c r="D127" s="51"/>
      <c r="E127" s="52"/>
      <c r="F127" s="61" t="str">
        <f aca="false">IF(AND(ISNUMBER(C127),ISNUMBER(D127),D127&gt;=C127),D127-C127+1,"")</f>
        <v/>
      </c>
      <c r="G127" s="62" t="str">
        <f aca="false">IF(AND(ISNUMBER(C127),ISNUMBER(D127),D127&gt;=C127),WORKDAY(D127,1),"")</f>
        <v/>
      </c>
      <c r="H127" s="53" t="str">
        <f aca="true">IF(A127="","",IF(NOT(AND(ISNUMBER(C127),ISNUMBER(D127))),"Sem data definida",IF(D127&lt;C127,"⚠ Datas invertidas",IF(TODAY()&lt;C127,IF(C127-TODAY()=1,"Começa amanhã","Começa em "&amp;(C127-TODAY())&amp;" dias"),IF(TODAY()&gt;D127,"Concluídas",IF(TODAY()=D127,"EM FÉRIAS (último dia)","EM FÉRIAS (faltam "&amp;(D127-TODAY())&amp;" dias)"))))))</f>
        <v/>
      </c>
      <c r="I127" s="53" t="str">
        <f aca="false">IF(OR(A127="",NOT(AND(ISNUMBER(C127),ISNUMBER(D127)))),"",IF(D127-C127+1&gt;30,"⚠ Período acima de 30 dias",IF(COUNTIFS($B$2:$B$301,B127,$C$2:$C$301,"&lt;="&amp;D127,$D$2:$D$301,"&gt;="&amp;C127)&gt;1,"⚠ Coincide com férias de outro do setor","")))</f>
        <v/>
      </c>
      <c r="K127" s="0" t="str">
        <f aca="true">IF(AND(ISNUMBER(C127),ISNUMBER(D127),C127&lt;=TODAY(),D127&gt;=TODAY()),D127+ROW()/100000,"")</f>
        <v/>
      </c>
      <c r="L127" s="0" t="str">
        <f aca="true">IF(AND(ISNUMBER(C127),C127&gt;TODAY(),C127&lt;=TODAY()+30),C127+ROW()/100000,"")</f>
        <v/>
      </c>
      <c r="M127" s="0" t="str">
        <f aca="false">IF(AND(ISNUMBER(C127),ISNUMBER(D127),C127&lt;=CALENDÁRIO!$L$4,D127&gt;=CALENDÁRIO!$L$4),ROW(),"")</f>
        <v/>
      </c>
    </row>
    <row r="128" customFormat="false" ht="15" hidden="false" customHeight="true" outlineLevel="0" collapsed="false">
      <c r="A128" s="52"/>
      <c r="B128" s="52"/>
      <c r="C128" s="51"/>
      <c r="D128" s="51"/>
      <c r="E128" s="52"/>
      <c r="F128" s="61" t="str">
        <f aca="false">IF(AND(ISNUMBER(C128),ISNUMBER(D128),D128&gt;=C128),D128-C128+1,"")</f>
        <v/>
      </c>
      <c r="G128" s="62" t="str">
        <f aca="false">IF(AND(ISNUMBER(C128),ISNUMBER(D128),D128&gt;=C128),WORKDAY(D128,1),"")</f>
        <v/>
      </c>
      <c r="H128" s="53" t="str">
        <f aca="true">IF(A128="","",IF(NOT(AND(ISNUMBER(C128),ISNUMBER(D128))),"Sem data definida",IF(D128&lt;C128,"⚠ Datas invertidas",IF(TODAY()&lt;C128,IF(C128-TODAY()=1,"Começa amanhã","Começa em "&amp;(C128-TODAY())&amp;" dias"),IF(TODAY()&gt;D128,"Concluídas",IF(TODAY()=D128,"EM FÉRIAS (último dia)","EM FÉRIAS (faltam "&amp;(D128-TODAY())&amp;" dias)"))))))</f>
        <v/>
      </c>
      <c r="I128" s="53" t="str">
        <f aca="false">IF(OR(A128="",NOT(AND(ISNUMBER(C128),ISNUMBER(D128)))),"",IF(D128-C128+1&gt;30,"⚠ Período acima de 30 dias",IF(COUNTIFS($B$2:$B$301,B128,$C$2:$C$301,"&lt;="&amp;D128,$D$2:$D$301,"&gt;="&amp;C128)&gt;1,"⚠ Coincide com férias de outro do setor","")))</f>
        <v/>
      </c>
      <c r="K128" s="0" t="str">
        <f aca="true">IF(AND(ISNUMBER(C128),ISNUMBER(D128),C128&lt;=TODAY(),D128&gt;=TODAY()),D128+ROW()/100000,"")</f>
        <v/>
      </c>
      <c r="L128" s="0" t="str">
        <f aca="true">IF(AND(ISNUMBER(C128),C128&gt;TODAY(),C128&lt;=TODAY()+30),C128+ROW()/100000,"")</f>
        <v/>
      </c>
      <c r="M128" s="0" t="str">
        <f aca="false">IF(AND(ISNUMBER(C128),ISNUMBER(D128),C128&lt;=CALENDÁRIO!$L$4,D128&gt;=CALENDÁRIO!$L$4),ROW(),"")</f>
        <v/>
      </c>
    </row>
    <row r="129" customFormat="false" ht="15" hidden="false" customHeight="true" outlineLevel="0" collapsed="false">
      <c r="A129" s="52"/>
      <c r="B129" s="52"/>
      <c r="C129" s="51"/>
      <c r="D129" s="51"/>
      <c r="E129" s="52"/>
      <c r="F129" s="61" t="str">
        <f aca="false">IF(AND(ISNUMBER(C129),ISNUMBER(D129),D129&gt;=C129),D129-C129+1,"")</f>
        <v/>
      </c>
      <c r="G129" s="62" t="str">
        <f aca="false">IF(AND(ISNUMBER(C129),ISNUMBER(D129),D129&gt;=C129),WORKDAY(D129,1),"")</f>
        <v/>
      </c>
      <c r="H129" s="53" t="str">
        <f aca="true">IF(A129="","",IF(NOT(AND(ISNUMBER(C129),ISNUMBER(D129))),"Sem data definida",IF(D129&lt;C129,"⚠ Datas invertidas",IF(TODAY()&lt;C129,IF(C129-TODAY()=1,"Começa amanhã","Começa em "&amp;(C129-TODAY())&amp;" dias"),IF(TODAY()&gt;D129,"Concluídas",IF(TODAY()=D129,"EM FÉRIAS (último dia)","EM FÉRIAS (faltam "&amp;(D129-TODAY())&amp;" dias)"))))))</f>
        <v/>
      </c>
      <c r="I129" s="53" t="str">
        <f aca="false">IF(OR(A129="",NOT(AND(ISNUMBER(C129),ISNUMBER(D129)))),"",IF(D129-C129+1&gt;30,"⚠ Período acima de 30 dias",IF(COUNTIFS($B$2:$B$301,B129,$C$2:$C$301,"&lt;="&amp;D129,$D$2:$D$301,"&gt;="&amp;C129)&gt;1,"⚠ Coincide com férias de outro do setor","")))</f>
        <v/>
      </c>
      <c r="K129" s="0" t="str">
        <f aca="true">IF(AND(ISNUMBER(C129),ISNUMBER(D129),C129&lt;=TODAY(),D129&gt;=TODAY()),D129+ROW()/100000,"")</f>
        <v/>
      </c>
      <c r="L129" s="0" t="str">
        <f aca="true">IF(AND(ISNUMBER(C129),C129&gt;TODAY(),C129&lt;=TODAY()+30),C129+ROW()/100000,"")</f>
        <v/>
      </c>
      <c r="M129" s="0" t="str">
        <f aca="false">IF(AND(ISNUMBER(C129),ISNUMBER(D129),C129&lt;=CALENDÁRIO!$L$4,D129&gt;=CALENDÁRIO!$L$4),ROW(),"")</f>
        <v/>
      </c>
    </row>
    <row r="130" customFormat="false" ht="15" hidden="false" customHeight="true" outlineLevel="0" collapsed="false">
      <c r="A130" s="52"/>
      <c r="B130" s="52"/>
      <c r="C130" s="51"/>
      <c r="D130" s="51"/>
      <c r="E130" s="52"/>
      <c r="F130" s="61" t="str">
        <f aca="false">IF(AND(ISNUMBER(C130),ISNUMBER(D130),D130&gt;=C130),D130-C130+1,"")</f>
        <v/>
      </c>
      <c r="G130" s="62" t="str">
        <f aca="false">IF(AND(ISNUMBER(C130),ISNUMBER(D130),D130&gt;=C130),WORKDAY(D130,1),"")</f>
        <v/>
      </c>
      <c r="H130" s="53" t="str">
        <f aca="true">IF(A130="","",IF(NOT(AND(ISNUMBER(C130),ISNUMBER(D130))),"Sem data definida",IF(D130&lt;C130,"⚠ Datas invertidas",IF(TODAY()&lt;C130,IF(C130-TODAY()=1,"Começa amanhã","Começa em "&amp;(C130-TODAY())&amp;" dias"),IF(TODAY()&gt;D130,"Concluídas",IF(TODAY()=D130,"EM FÉRIAS (último dia)","EM FÉRIAS (faltam "&amp;(D130-TODAY())&amp;" dias)"))))))</f>
        <v/>
      </c>
      <c r="I130" s="53" t="str">
        <f aca="false">IF(OR(A130="",NOT(AND(ISNUMBER(C130),ISNUMBER(D130)))),"",IF(D130-C130+1&gt;30,"⚠ Período acima de 30 dias",IF(COUNTIFS($B$2:$B$301,B130,$C$2:$C$301,"&lt;="&amp;D130,$D$2:$D$301,"&gt;="&amp;C130)&gt;1,"⚠ Coincide com férias de outro do setor","")))</f>
        <v/>
      </c>
      <c r="K130" s="0" t="str">
        <f aca="true">IF(AND(ISNUMBER(C130),ISNUMBER(D130),C130&lt;=TODAY(),D130&gt;=TODAY()),D130+ROW()/100000,"")</f>
        <v/>
      </c>
      <c r="L130" s="0" t="str">
        <f aca="true">IF(AND(ISNUMBER(C130),C130&gt;TODAY(),C130&lt;=TODAY()+30),C130+ROW()/100000,"")</f>
        <v/>
      </c>
      <c r="M130" s="0" t="str">
        <f aca="false">IF(AND(ISNUMBER(C130),ISNUMBER(D130),C130&lt;=CALENDÁRIO!$L$4,D130&gt;=CALENDÁRIO!$L$4),ROW(),"")</f>
        <v/>
      </c>
    </row>
    <row r="131" customFormat="false" ht="15" hidden="false" customHeight="true" outlineLevel="0" collapsed="false">
      <c r="A131" s="52"/>
      <c r="B131" s="52"/>
      <c r="C131" s="51"/>
      <c r="D131" s="51"/>
      <c r="E131" s="52"/>
      <c r="F131" s="61" t="str">
        <f aca="false">IF(AND(ISNUMBER(C131),ISNUMBER(D131),D131&gt;=C131),D131-C131+1,"")</f>
        <v/>
      </c>
      <c r="G131" s="62" t="str">
        <f aca="false">IF(AND(ISNUMBER(C131),ISNUMBER(D131),D131&gt;=C131),WORKDAY(D131,1),"")</f>
        <v/>
      </c>
      <c r="H131" s="53" t="str">
        <f aca="true">IF(A131="","",IF(NOT(AND(ISNUMBER(C131),ISNUMBER(D131))),"Sem data definida",IF(D131&lt;C131,"⚠ Datas invertidas",IF(TODAY()&lt;C131,IF(C131-TODAY()=1,"Começa amanhã","Começa em "&amp;(C131-TODAY())&amp;" dias"),IF(TODAY()&gt;D131,"Concluídas",IF(TODAY()=D131,"EM FÉRIAS (último dia)","EM FÉRIAS (faltam "&amp;(D131-TODAY())&amp;" dias)"))))))</f>
        <v/>
      </c>
      <c r="I131" s="53" t="str">
        <f aca="false">IF(OR(A131="",NOT(AND(ISNUMBER(C131),ISNUMBER(D131)))),"",IF(D131-C131+1&gt;30,"⚠ Período acima de 30 dias",IF(COUNTIFS($B$2:$B$301,B131,$C$2:$C$301,"&lt;="&amp;D131,$D$2:$D$301,"&gt;="&amp;C131)&gt;1,"⚠ Coincide com férias de outro do setor","")))</f>
        <v/>
      </c>
      <c r="K131" s="0" t="str">
        <f aca="true">IF(AND(ISNUMBER(C131),ISNUMBER(D131),C131&lt;=TODAY(),D131&gt;=TODAY()),D131+ROW()/100000,"")</f>
        <v/>
      </c>
      <c r="L131" s="0" t="str">
        <f aca="true">IF(AND(ISNUMBER(C131),C131&gt;TODAY(),C131&lt;=TODAY()+30),C131+ROW()/100000,"")</f>
        <v/>
      </c>
      <c r="M131" s="0" t="str">
        <f aca="false">IF(AND(ISNUMBER(C131),ISNUMBER(D131),C131&lt;=CALENDÁRIO!$L$4,D131&gt;=CALENDÁRIO!$L$4),ROW(),"")</f>
        <v/>
      </c>
    </row>
    <row r="132" customFormat="false" ht="15" hidden="false" customHeight="true" outlineLevel="0" collapsed="false">
      <c r="A132" s="52"/>
      <c r="B132" s="52"/>
      <c r="C132" s="51"/>
      <c r="D132" s="51"/>
      <c r="E132" s="52"/>
      <c r="F132" s="61" t="str">
        <f aca="false">IF(AND(ISNUMBER(C132),ISNUMBER(D132),D132&gt;=C132),D132-C132+1,"")</f>
        <v/>
      </c>
      <c r="G132" s="62" t="str">
        <f aca="false">IF(AND(ISNUMBER(C132),ISNUMBER(D132),D132&gt;=C132),WORKDAY(D132,1),"")</f>
        <v/>
      </c>
      <c r="H132" s="53" t="str">
        <f aca="true">IF(A132="","",IF(NOT(AND(ISNUMBER(C132),ISNUMBER(D132))),"Sem data definida",IF(D132&lt;C132,"⚠ Datas invertidas",IF(TODAY()&lt;C132,IF(C132-TODAY()=1,"Começa amanhã","Começa em "&amp;(C132-TODAY())&amp;" dias"),IF(TODAY()&gt;D132,"Concluídas",IF(TODAY()=D132,"EM FÉRIAS (último dia)","EM FÉRIAS (faltam "&amp;(D132-TODAY())&amp;" dias)"))))))</f>
        <v/>
      </c>
      <c r="I132" s="53" t="str">
        <f aca="false">IF(OR(A132="",NOT(AND(ISNUMBER(C132),ISNUMBER(D132)))),"",IF(D132-C132+1&gt;30,"⚠ Período acima de 30 dias",IF(COUNTIFS($B$2:$B$301,B132,$C$2:$C$301,"&lt;="&amp;D132,$D$2:$D$301,"&gt;="&amp;C132)&gt;1,"⚠ Coincide com férias de outro do setor","")))</f>
        <v/>
      </c>
      <c r="K132" s="0" t="str">
        <f aca="true">IF(AND(ISNUMBER(C132),ISNUMBER(D132),C132&lt;=TODAY(),D132&gt;=TODAY()),D132+ROW()/100000,"")</f>
        <v/>
      </c>
      <c r="L132" s="0" t="str">
        <f aca="true">IF(AND(ISNUMBER(C132),C132&gt;TODAY(),C132&lt;=TODAY()+30),C132+ROW()/100000,"")</f>
        <v/>
      </c>
      <c r="M132" s="0" t="str">
        <f aca="false">IF(AND(ISNUMBER(C132),ISNUMBER(D132),C132&lt;=CALENDÁRIO!$L$4,D132&gt;=CALENDÁRIO!$L$4),ROW(),"")</f>
        <v/>
      </c>
    </row>
    <row r="133" customFormat="false" ht="15" hidden="false" customHeight="true" outlineLevel="0" collapsed="false">
      <c r="A133" s="52"/>
      <c r="B133" s="52"/>
      <c r="C133" s="51"/>
      <c r="D133" s="51"/>
      <c r="E133" s="52"/>
      <c r="F133" s="61" t="str">
        <f aca="false">IF(AND(ISNUMBER(C133),ISNUMBER(D133),D133&gt;=C133),D133-C133+1,"")</f>
        <v/>
      </c>
      <c r="G133" s="62" t="str">
        <f aca="false">IF(AND(ISNUMBER(C133),ISNUMBER(D133),D133&gt;=C133),WORKDAY(D133,1),"")</f>
        <v/>
      </c>
      <c r="H133" s="53" t="str">
        <f aca="true">IF(A133="","",IF(NOT(AND(ISNUMBER(C133),ISNUMBER(D133))),"Sem data definida",IF(D133&lt;C133,"⚠ Datas invertidas",IF(TODAY()&lt;C133,IF(C133-TODAY()=1,"Começa amanhã","Começa em "&amp;(C133-TODAY())&amp;" dias"),IF(TODAY()&gt;D133,"Concluídas",IF(TODAY()=D133,"EM FÉRIAS (último dia)","EM FÉRIAS (faltam "&amp;(D133-TODAY())&amp;" dias)"))))))</f>
        <v/>
      </c>
      <c r="I133" s="53" t="str">
        <f aca="false">IF(OR(A133="",NOT(AND(ISNUMBER(C133),ISNUMBER(D133)))),"",IF(D133-C133+1&gt;30,"⚠ Período acima de 30 dias",IF(COUNTIFS($B$2:$B$301,B133,$C$2:$C$301,"&lt;="&amp;D133,$D$2:$D$301,"&gt;="&amp;C133)&gt;1,"⚠ Coincide com férias de outro do setor","")))</f>
        <v/>
      </c>
      <c r="K133" s="0" t="str">
        <f aca="true">IF(AND(ISNUMBER(C133),ISNUMBER(D133),C133&lt;=TODAY(),D133&gt;=TODAY()),D133+ROW()/100000,"")</f>
        <v/>
      </c>
      <c r="L133" s="0" t="str">
        <f aca="true">IF(AND(ISNUMBER(C133),C133&gt;TODAY(),C133&lt;=TODAY()+30),C133+ROW()/100000,"")</f>
        <v/>
      </c>
      <c r="M133" s="0" t="str">
        <f aca="false">IF(AND(ISNUMBER(C133),ISNUMBER(D133),C133&lt;=CALENDÁRIO!$L$4,D133&gt;=CALENDÁRIO!$L$4),ROW(),"")</f>
        <v/>
      </c>
    </row>
    <row r="134" customFormat="false" ht="15" hidden="false" customHeight="true" outlineLevel="0" collapsed="false">
      <c r="A134" s="52"/>
      <c r="B134" s="52"/>
      <c r="C134" s="51"/>
      <c r="D134" s="51"/>
      <c r="E134" s="52"/>
      <c r="F134" s="61" t="str">
        <f aca="false">IF(AND(ISNUMBER(C134),ISNUMBER(D134),D134&gt;=C134),D134-C134+1,"")</f>
        <v/>
      </c>
      <c r="G134" s="62" t="str">
        <f aca="false">IF(AND(ISNUMBER(C134),ISNUMBER(D134),D134&gt;=C134),WORKDAY(D134,1),"")</f>
        <v/>
      </c>
      <c r="H134" s="53" t="str">
        <f aca="true">IF(A134="","",IF(NOT(AND(ISNUMBER(C134),ISNUMBER(D134))),"Sem data definida",IF(D134&lt;C134,"⚠ Datas invertidas",IF(TODAY()&lt;C134,IF(C134-TODAY()=1,"Começa amanhã","Começa em "&amp;(C134-TODAY())&amp;" dias"),IF(TODAY()&gt;D134,"Concluídas",IF(TODAY()=D134,"EM FÉRIAS (último dia)","EM FÉRIAS (faltam "&amp;(D134-TODAY())&amp;" dias)"))))))</f>
        <v/>
      </c>
      <c r="I134" s="53" t="str">
        <f aca="false">IF(OR(A134="",NOT(AND(ISNUMBER(C134),ISNUMBER(D134)))),"",IF(D134-C134+1&gt;30,"⚠ Período acima de 30 dias",IF(COUNTIFS($B$2:$B$301,B134,$C$2:$C$301,"&lt;="&amp;D134,$D$2:$D$301,"&gt;="&amp;C134)&gt;1,"⚠ Coincide com férias de outro do setor","")))</f>
        <v/>
      </c>
      <c r="K134" s="0" t="str">
        <f aca="true">IF(AND(ISNUMBER(C134),ISNUMBER(D134),C134&lt;=TODAY(),D134&gt;=TODAY()),D134+ROW()/100000,"")</f>
        <v/>
      </c>
      <c r="L134" s="0" t="str">
        <f aca="true">IF(AND(ISNUMBER(C134),C134&gt;TODAY(),C134&lt;=TODAY()+30),C134+ROW()/100000,"")</f>
        <v/>
      </c>
      <c r="M134" s="0" t="str">
        <f aca="false">IF(AND(ISNUMBER(C134),ISNUMBER(D134),C134&lt;=CALENDÁRIO!$L$4,D134&gt;=CALENDÁRIO!$L$4),ROW(),"")</f>
        <v/>
      </c>
    </row>
    <row r="135" customFormat="false" ht="15" hidden="false" customHeight="true" outlineLevel="0" collapsed="false">
      <c r="A135" s="52"/>
      <c r="B135" s="52"/>
      <c r="C135" s="51"/>
      <c r="D135" s="51"/>
      <c r="E135" s="52"/>
      <c r="F135" s="61" t="str">
        <f aca="false">IF(AND(ISNUMBER(C135),ISNUMBER(D135),D135&gt;=C135),D135-C135+1,"")</f>
        <v/>
      </c>
      <c r="G135" s="62" t="str">
        <f aca="false">IF(AND(ISNUMBER(C135),ISNUMBER(D135),D135&gt;=C135),WORKDAY(D135,1),"")</f>
        <v/>
      </c>
      <c r="H135" s="53" t="str">
        <f aca="true">IF(A135="","",IF(NOT(AND(ISNUMBER(C135),ISNUMBER(D135))),"Sem data definida",IF(D135&lt;C135,"⚠ Datas invertidas",IF(TODAY()&lt;C135,IF(C135-TODAY()=1,"Começa amanhã","Começa em "&amp;(C135-TODAY())&amp;" dias"),IF(TODAY()&gt;D135,"Concluídas",IF(TODAY()=D135,"EM FÉRIAS (último dia)","EM FÉRIAS (faltam "&amp;(D135-TODAY())&amp;" dias)"))))))</f>
        <v/>
      </c>
      <c r="I135" s="53" t="str">
        <f aca="false">IF(OR(A135="",NOT(AND(ISNUMBER(C135),ISNUMBER(D135)))),"",IF(D135-C135+1&gt;30,"⚠ Período acima de 30 dias",IF(COUNTIFS($B$2:$B$301,B135,$C$2:$C$301,"&lt;="&amp;D135,$D$2:$D$301,"&gt;="&amp;C135)&gt;1,"⚠ Coincide com férias de outro do setor","")))</f>
        <v/>
      </c>
      <c r="K135" s="0" t="str">
        <f aca="true">IF(AND(ISNUMBER(C135),ISNUMBER(D135),C135&lt;=TODAY(),D135&gt;=TODAY()),D135+ROW()/100000,"")</f>
        <v/>
      </c>
      <c r="L135" s="0" t="str">
        <f aca="true">IF(AND(ISNUMBER(C135),C135&gt;TODAY(),C135&lt;=TODAY()+30),C135+ROW()/100000,"")</f>
        <v/>
      </c>
      <c r="M135" s="0" t="str">
        <f aca="false">IF(AND(ISNUMBER(C135),ISNUMBER(D135),C135&lt;=CALENDÁRIO!$L$4,D135&gt;=CALENDÁRIO!$L$4),ROW(),"")</f>
        <v/>
      </c>
    </row>
    <row r="136" customFormat="false" ht="15" hidden="false" customHeight="true" outlineLevel="0" collapsed="false">
      <c r="A136" s="52"/>
      <c r="B136" s="52"/>
      <c r="C136" s="51"/>
      <c r="D136" s="51"/>
      <c r="E136" s="52"/>
      <c r="F136" s="61" t="str">
        <f aca="false">IF(AND(ISNUMBER(C136),ISNUMBER(D136),D136&gt;=C136),D136-C136+1,"")</f>
        <v/>
      </c>
      <c r="G136" s="62" t="str">
        <f aca="false">IF(AND(ISNUMBER(C136),ISNUMBER(D136),D136&gt;=C136),WORKDAY(D136,1),"")</f>
        <v/>
      </c>
      <c r="H136" s="53" t="str">
        <f aca="true">IF(A136="","",IF(NOT(AND(ISNUMBER(C136),ISNUMBER(D136))),"Sem data definida",IF(D136&lt;C136,"⚠ Datas invertidas",IF(TODAY()&lt;C136,IF(C136-TODAY()=1,"Começa amanhã","Começa em "&amp;(C136-TODAY())&amp;" dias"),IF(TODAY()&gt;D136,"Concluídas",IF(TODAY()=D136,"EM FÉRIAS (último dia)","EM FÉRIAS (faltam "&amp;(D136-TODAY())&amp;" dias)"))))))</f>
        <v/>
      </c>
      <c r="I136" s="53" t="str">
        <f aca="false">IF(OR(A136="",NOT(AND(ISNUMBER(C136),ISNUMBER(D136)))),"",IF(D136-C136+1&gt;30,"⚠ Período acima de 30 dias",IF(COUNTIFS($B$2:$B$301,B136,$C$2:$C$301,"&lt;="&amp;D136,$D$2:$D$301,"&gt;="&amp;C136)&gt;1,"⚠ Coincide com férias de outro do setor","")))</f>
        <v/>
      </c>
      <c r="K136" s="0" t="str">
        <f aca="true">IF(AND(ISNUMBER(C136),ISNUMBER(D136),C136&lt;=TODAY(),D136&gt;=TODAY()),D136+ROW()/100000,"")</f>
        <v/>
      </c>
      <c r="L136" s="0" t="str">
        <f aca="true">IF(AND(ISNUMBER(C136),C136&gt;TODAY(),C136&lt;=TODAY()+30),C136+ROW()/100000,"")</f>
        <v/>
      </c>
      <c r="M136" s="0" t="str">
        <f aca="false">IF(AND(ISNUMBER(C136),ISNUMBER(D136),C136&lt;=CALENDÁRIO!$L$4,D136&gt;=CALENDÁRIO!$L$4),ROW(),"")</f>
        <v/>
      </c>
    </row>
    <row r="137" customFormat="false" ht="15" hidden="false" customHeight="true" outlineLevel="0" collapsed="false">
      <c r="A137" s="52"/>
      <c r="B137" s="52"/>
      <c r="C137" s="51"/>
      <c r="D137" s="51"/>
      <c r="E137" s="52"/>
      <c r="F137" s="61" t="str">
        <f aca="false">IF(AND(ISNUMBER(C137),ISNUMBER(D137),D137&gt;=C137),D137-C137+1,"")</f>
        <v/>
      </c>
      <c r="G137" s="62" t="str">
        <f aca="false">IF(AND(ISNUMBER(C137),ISNUMBER(D137),D137&gt;=C137),WORKDAY(D137,1),"")</f>
        <v/>
      </c>
      <c r="H137" s="53" t="str">
        <f aca="true">IF(A137="","",IF(NOT(AND(ISNUMBER(C137),ISNUMBER(D137))),"Sem data definida",IF(D137&lt;C137,"⚠ Datas invertidas",IF(TODAY()&lt;C137,IF(C137-TODAY()=1,"Começa amanhã","Começa em "&amp;(C137-TODAY())&amp;" dias"),IF(TODAY()&gt;D137,"Concluídas",IF(TODAY()=D137,"EM FÉRIAS (último dia)","EM FÉRIAS (faltam "&amp;(D137-TODAY())&amp;" dias)"))))))</f>
        <v/>
      </c>
      <c r="I137" s="53" t="str">
        <f aca="false">IF(OR(A137="",NOT(AND(ISNUMBER(C137),ISNUMBER(D137)))),"",IF(D137-C137+1&gt;30,"⚠ Período acima de 30 dias",IF(COUNTIFS($B$2:$B$301,B137,$C$2:$C$301,"&lt;="&amp;D137,$D$2:$D$301,"&gt;="&amp;C137)&gt;1,"⚠ Coincide com férias de outro do setor","")))</f>
        <v/>
      </c>
      <c r="K137" s="0" t="str">
        <f aca="true">IF(AND(ISNUMBER(C137),ISNUMBER(D137),C137&lt;=TODAY(),D137&gt;=TODAY()),D137+ROW()/100000,"")</f>
        <v/>
      </c>
      <c r="L137" s="0" t="str">
        <f aca="true">IF(AND(ISNUMBER(C137),C137&gt;TODAY(),C137&lt;=TODAY()+30),C137+ROW()/100000,"")</f>
        <v/>
      </c>
      <c r="M137" s="0" t="str">
        <f aca="false">IF(AND(ISNUMBER(C137),ISNUMBER(D137),C137&lt;=CALENDÁRIO!$L$4,D137&gt;=CALENDÁRIO!$L$4),ROW(),"")</f>
        <v/>
      </c>
    </row>
    <row r="138" customFormat="false" ht="15" hidden="false" customHeight="true" outlineLevel="0" collapsed="false">
      <c r="A138" s="52"/>
      <c r="B138" s="52"/>
      <c r="C138" s="51"/>
      <c r="D138" s="51"/>
      <c r="E138" s="52"/>
      <c r="F138" s="61" t="str">
        <f aca="false">IF(AND(ISNUMBER(C138),ISNUMBER(D138),D138&gt;=C138),D138-C138+1,"")</f>
        <v/>
      </c>
      <c r="G138" s="62" t="str">
        <f aca="false">IF(AND(ISNUMBER(C138),ISNUMBER(D138),D138&gt;=C138),WORKDAY(D138,1),"")</f>
        <v/>
      </c>
      <c r="H138" s="53" t="str">
        <f aca="true">IF(A138="","",IF(NOT(AND(ISNUMBER(C138),ISNUMBER(D138))),"Sem data definida",IF(D138&lt;C138,"⚠ Datas invertidas",IF(TODAY()&lt;C138,IF(C138-TODAY()=1,"Começa amanhã","Começa em "&amp;(C138-TODAY())&amp;" dias"),IF(TODAY()&gt;D138,"Concluídas",IF(TODAY()=D138,"EM FÉRIAS (último dia)","EM FÉRIAS (faltam "&amp;(D138-TODAY())&amp;" dias)"))))))</f>
        <v/>
      </c>
      <c r="I138" s="53" t="str">
        <f aca="false">IF(OR(A138="",NOT(AND(ISNUMBER(C138),ISNUMBER(D138)))),"",IF(D138-C138+1&gt;30,"⚠ Período acima de 30 dias",IF(COUNTIFS($B$2:$B$301,B138,$C$2:$C$301,"&lt;="&amp;D138,$D$2:$D$301,"&gt;="&amp;C138)&gt;1,"⚠ Coincide com férias de outro do setor","")))</f>
        <v/>
      </c>
      <c r="K138" s="0" t="str">
        <f aca="true">IF(AND(ISNUMBER(C138),ISNUMBER(D138),C138&lt;=TODAY(),D138&gt;=TODAY()),D138+ROW()/100000,"")</f>
        <v/>
      </c>
      <c r="L138" s="0" t="str">
        <f aca="true">IF(AND(ISNUMBER(C138),C138&gt;TODAY(),C138&lt;=TODAY()+30),C138+ROW()/100000,"")</f>
        <v/>
      </c>
      <c r="M138" s="0" t="str">
        <f aca="false">IF(AND(ISNUMBER(C138),ISNUMBER(D138),C138&lt;=CALENDÁRIO!$L$4,D138&gt;=CALENDÁRIO!$L$4),ROW(),"")</f>
        <v/>
      </c>
    </row>
    <row r="139" customFormat="false" ht="15" hidden="false" customHeight="true" outlineLevel="0" collapsed="false">
      <c r="A139" s="52"/>
      <c r="B139" s="52"/>
      <c r="C139" s="51"/>
      <c r="D139" s="51"/>
      <c r="E139" s="52"/>
      <c r="F139" s="61" t="str">
        <f aca="false">IF(AND(ISNUMBER(C139),ISNUMBER(D139),D139&gt;=C139),D139-C139+1,"")</f>
        <v/>
      </c>
      <c r="G139" s="62" t="str">
        <f aca="false">IF(AND(ISNUMBER(C139),ISNUMBER(D139),D139&gt;=C139),WORKDAY(D139,1),"")</f>
        <v/>
      </c>
      <c r="H139" s="53" t="str">
        <f aca="true">IF(A139="","",IF(NOT(AND(ISNUMBER(C139),ISNUMBER(D139))),"Sem data definida",IF(D139&lt;C139,"⚠ Datas invertidas",IF(TODAY()&lt;C139,IF(C139-TODAY()=1,"Começa amanhã","Começa em "&amp;(C139-TODAY())&amp;" dias"),IF(TODAY()&gt;D139,"Concluídas",IF(TODAY()=D139,"EM FÉRIAS (último dia)","EM FÉRIAS (faltam "&amp;(D139-TODAY())&amp;" dias)"))))))</f>
        <v/>
      </c>
      <c r="I139" s="53" t="str">
        <f aca="false">IF(OR(A139="",NOT(AND(ISNUMBER(C139),ISNUMBER(D139)))),"",IF(D139-C139+1&gt;30,"⚠ Período acima de 30 dias",IF(COUNTIFS($B$2:$B$301,B139,$C$2:$C$301,"&lt;="&amp;D139,$D$2:$D$301,"&gt;="&amp;C139)&gt;1,"⚠ Coincide com férias de outro do setor","")))</f>
        <v/>
      </c>
      <c r="K139" s="0" t="str">
        <f aca="true">IF(AND(ISNUMBER(C139),ISNUMBER(D139),C139&lt;=TODAY(),D139&gt;=TODAY()),D139+ROW()/100000,"")</f>
        <v/>
      </c>
      <c r="L139" s="0" t="str">
        <f aca="true">IF(AND(ISNUMBER(C139),C139&gt;TODAY(),C139&lt;=TODAY()+30),C139+ROW()/100000,"")</f>
        <v/>
      </c>
      <c r="M139" s="0" t="str">
        <f aca="false">IF(AND(ISNUMBER(C139),ISNUMBER(D139),C139&lt;=CALENDÁRIO!$L$4,D139&gt;=CALENDÁRIO!$L$4),ROW(),"")</f>
        <v/>
      </c>
    </row>
    <row r="140" customFormat="false" ht="15" hidden="false" customHeight="true" outlineLevel="0" collapsed="false">
      <c r="A140" s="52"/>
      <c r="B140" s="52"/>
      <c r="C140" s="51"/>
      <c r="D140" s="51"/>
      <c r="E140" s="52"/>
      <c r="F140" s="61" t="str">
        <f aca="false">IF(AND(ISNUMBER(C140),ISNUMBER(D140),D140&gt;=C140),D140-C140+1,"")</f>
        <v/>
      </c>
      <c r="G140" s="62" t="str">
        <f aca="false">IF(AND(ISNUMBER(C140),ISNUMBER(D140),D140&gt;=C140),WORKDAY(D140,1),"")</f>
        <v/>
      </c>
      <c r="H140" s="53" t="str">
        <f aca="true">IF(A140="","",IF(NOT(AND(ISNUMBER(C140),ISNUMBER(D140))),"Sem data definida",IF(D140&lt;C140,"⚠ Datas invertidas",IF(TODAY()&lt;C140,IF(C140-TODAY()=1,"Começa amanhã","Começa em "&amp;(C140-TODAY())&amp;" dias"),IF(TODAY()&gt;D140,"Concluídas",IF(TODAY()=D140,"EM FÉRIAS (último dia)","EM FÉRIAS (faltam "&amp;(D140-TODAY())&amp;" dias)"))))))</f>
        <v/>
      </c>
      <c r="I140" s="53" t="str">
        <f aca="false">IF(OR(A140="",NOT(AND(ISNUMBER(C140),ISNUMBER(D140)))),"",IF(D140-C140+1&gt;30,"⚠ Período acima de 30 dias",IF(COUNTIFS($B$2:$B$301,B140,$C$2:$C$301,"&lt;="&amp;D140,$D$2:$D$301,"&gt;="&amp;C140)&gt;1,"⚠ Coincide com férias de outro do setor","")))</f>
        <v/>
      </c>
      <c r="K140" s="0" t="str">
        <f aca="true">IF(AND(ISNUMBER(C140),ISNUMBER(D140),C140&lt;=TODAY(),D140&gt;=TODAY()),D140+ROW()/100000,"")</f>
        <v/>
      </c>
      <c r="L140" s="0" t="str">
        <f aca="true">IF(AND(ISNUMBER(C140),C140&gt;TODAY(),C140&lt;=TODAY()+30),C140+ROW()/100000,"")</f>
        <v/>
      </c>
      <c r="M140" s="0" t="str">
        <f aca="false">IF(AND(ISNUMBER(C140),ISNUMBER(D140),C140&lt;=CALENDÁRIO!$L$4,D140&gt;=CALENDÁRIO!$L$4),ROW(),"")</f>
        <v/>
      </c>
    </row>
    <row r="141" customFormat="false" ht="15" hidden="false" customHeight="true" outlineLevel="0" collapsed="false">
      <c r="A141" s="52"/>
      <c r="B141" s="52"/>
      <c r="C141" s="51"/>
      <c r="D141" s="51"/>
      <c r="E141" s="52"/>
      <c r="F141" s="61" t="str">
        <f aca="false">IF(AND(ISNUMBER(C141),ISNUMBER(D141),D141&gt;=C141),D141-C141+1,"")</f>
        <v/>
      </c>
      <c r="G141" s="62" t="str">
        <f aca="false">IF(AND(ISNUMBER(C141),ISNUMBER(D141),D141&gt;=C141),WORKDAY(D141,1),"")</f>
        <v/>
      </c>
      <c r="H141" s="53" t="str">
        <f aca="true">IF(A141="","",IF(NOT(AND(ISNUMBER(C141),ISNUMBER(D141))),"Sem data definida",IF(D141&lt;C141,"⚠ Datas invertidas",IF(TODAY()&lt;C141,IF(C141-TODAY()=1,"Começa amanhã","Começa em "&amp;(C141-TODAY())&amp;" dias"),IF(TODAY()&gt;D141,"Concluídas",IF(TODAY()=D141,"EM FÉRIAS (último dia)","EM FÉRIAS (faltam "&amp;(D141-TODAY())&amp;" dias)"))))))</f>
        <v/>
      </c>
      <c r="I141" s="53" t="str">
        <f aca="false">IF(OR(A141="",NOT(AND(ISNUMBER(C141),ISNUMBER(D141)))),"",IF(D141-C141+1&gt;30,"⚠ Período acima de 30 dias",IF(COUNTIFS($B$2:$B$301,B141,$C$2:$C$301,"&lt;="&amp;D141,$D$2:$D$301,"&gt;="&amp;C141)&gt;1,"⚠ Coincide com férias de outro do setor","")))</f>
        <v/>
      </c>
      <c r="K141" s="0" t="str">
        <f aca="true">IF(AND(ISNUMBER(C141),ISNUMBER(D141),C141&lt;=TODAY(),D141&gt;=TODAY()),D141+ROW()/100000,"")</f>
        <v/>
      </c>
      <c r="L141" s="0" t="str">
        <f aca="true">IF(AND(ISNUMBER(C141),C141&gt;TODAY(),C141&lt;=TODAY()+30),C141+ROW()/100000,"")</f>
        <v/>
      </c>
      <c r="M141" s="0" t="str">
        <f aca="false">IF(AND(ISNUMBER(C141),ISNUMBER(D141),C141&lt;=CALENDÁRIO!$L$4,D141&gt;=CALENDÁRIO!$L$4),ROW(),"")</f>
        <v/>
      </c>
    </row>
    <row r="142" customFormat="false" ht="15" hidden="false" customHeight="true" outlineLevel="0" collapsed="false">
      <c r="A142" s="52"/>
      <c r="B142" s="52"/>
      <c r="C142" s="51"/>
      <c r="D142" s="51"/>
      <c r="E142" s="52"/>
      <c r="F142" s="61" t="str">
        <f aca="false">IF(AND(ISNUMBER(C142),ISNUMBER(D142),D142&gt;=C142),D142-C142+1,"")</f>
        <v/>
      </c>
      <c r="G142" s="62" t="str">
        <f aca="false">IF(AND(ISNUMBER(C142),ISNUMBER(D142),D142&gt;=C142),WORKDAY(D142,1),"")</f>
        <v/>
      </c>
      <c r="H142" s="53" t="str">
        <f aca="true">IF(A142="","",IF(NOT(AND(ISNUMBER(C142),ISNUMBER(D142))),"Sem data definida",IF(D142&lt;C142,"⚠ Datas invertidas",IF(TODAY()&lt;C142,IF(C142-TODAY()=1,"Começa amanhã","Começa em "&amp;(C142-TODAY())&amp;" dias"),IF(TODAY()&gt;D142,"Concluídas",IF(TODAY()=D142,"EM FÉRIAS (último dia)","EM FÉRIAS (faltam "&amp;(D142-TODAY())&amp;" dias)"))))))</f>
        <v/>
      </c>
      <c r="I142" s="53" t="str">
        <f aca="false">IF(OR(A142="",NOT(AND(ISNUMBER(C142),ISNUMBER(D142)))),"",IF(D142-C142+1&gt;30,"⚠ Período acima de 30 dias",IF(COUNTIFS($B$2:$B$301,B142,$C$2:$C$301,"&lt;="&amp;D142,$D$2:$D$301,"&gt;="&amp;C142)&gt;1,"⚠ Coincide com férias de outro do setor","")))</f>
        <v/>
      </c>
      <c r="K142" s="0" t="str">
        <f aca="true">IF(AND(ISNUMBER(C142),ISNUMBER(D142),C142&lt;=TODAY(),D142&gt;=TODAY()),D142+ROW()/100000,"")</f>
        <v/>
      </c>
      <c r="L142" s="0" t="str">
        <f aca="true">IF(AND(ISNUMBER(C142),C142&gt;TODAY(),C142&lt;=TODAY()+30),C142+ROW()/100000,"")</f>
        <v/>
      </c>
      <c r="M142" s="0" t="str">
        <f aca="false">IF(AND(ISNUMBER(C142),ISNUMBER(D142),C142&lt;=CALENDÁRIO!$L$4,D142&gt;=CALENDÁRIO!$L$4),ROW(),"")</f>
        <v/>
      </c>
    </row>
    <row r="143" customFormat="false" ht="15" hidden="false" customHeight="true" outlineLevel="0" collapsed="false">
      <c r="A143" s="52"/>
      <c r="B143" s="52"/>
      <c r="C143" s="51"/>
      <c r="D143" s="51"/>
      <c r="E143" s="52"/>
      <c r="F143" s="61" t="str">
        <f aca="false">IF(AND(ISNUMBER(C143),ISNUMBER(D143),D143&gt;=C143),D143-C143+1,"")</f>
        <v/>
      </c>
      <c r="G143" s="62" t="str">
        <f aca="false">IF(AND(ISNUMBER(C143),ISNUMBER(D143),D143&gt;=C143),WORKDAY(D143,1),"")</f>
        <v/>
      </c>
      <c r="H143" s="53" t="str">
        <f aca="true">IF(A143="","",IF(NOT(AND(ISNUMBER(C143),ISNUMBER(D143))),"Sem data definida",IF(D143&lt;C143,"⚠ Datas invertidas",IF(TODAY()&lt;C143,IF(C143-TODAY()=1,"Começa amanhã","Começa em "&amp;(C143-TODAY())&amp;" dias"),IF(TODAY()&gt;D143,"Concluídas",IF(TODAY()=D143,"EM FÉRIAS (último dia)","EM FÉRIAS (faltam "&amp;(D143-TODAY())&amp;" dias)"))))))</f>
        <v/>
      </c>
      <c r="I143" s="53" t="str">
        <f aca="false">IF(OR(A143="",NOT(AND(ISNUMBER(C143),ISNUMBER(D143)))),"",IF(D143-C143+1&gt;30,"⚠ Período acima de 30 dias",IF(COUNTIFS($B$2:$B$301,B143,$C$2:$C$301,"&lt;="&amp;D143,$D$2:$D$301,"&gt;="&amp;C143)&gt;1,"⚠ Coincide com férias de outro do setor","")))</f>
        <v/>
      </c>
      <c r="K143" s="0" t="str">
        <f aca="true">IF(AND(ISNUMBER(C143),ISNUMBER(D143),C143&lt;=TODAY(),D143&gt;=TODAY()),D143+ROW()/100000,"")</f>
        <v/>
      </c>
      <c r="L143" s="0" t="str">
        <f aca="true">IF(AND(ISNUMBER(C143),C143&gt;TODAY(),C143&lt;=TODAY()+30),C143+ROW()/100000,"")</f>
        <v/>
      </c>
      <c r="M143" s="0" t="str">
        <f aca="false">IF(AND(ISNUMBER(C143),ISNUMBER(D143),C143&lt;=CALENDÁRIO!$L$4,D143&gt;=CALENDÁRIO!$L$4),ROW(),"")</f>
        <v/>
      </c>
    </row>
    <row r="144" customFormat="false" ht="15" hidden="false" customHeight="true" outlineLevel="0" collapsed="false">
      <c r="A144" s="52"/>
      <c r="B144" s="52"/>
      <c r="C144" s="51"/>
      <c r="D144" s="51"/>
      <c r="E144" s="52"/>
      <c r="F144" s="61" t="str">
        <f aca="false">IF(AND(ISNUMBER(C144),ISNUMBER(D144),D144&gt;=C144),D144-C144+1,"")</f>
        <v/>
      </c>
      <c r="G144" s="62" t="str">
        <f aca="false">IF(AND(ISNUMBER(C144),ISNUMBER(D144),D144&gt;=C144),WORKDAY(D144,1),"")</f>
        <v/>
      </c>
      <c r="H144" s="53" t="str">
        <f aca="true">IF(A144="","",IF(NOT(AND(ISNUMBER(C144),ISNUMBER(D144))),"Sem data definida",IF(D144&lt;C144,"⚠ Datas invertidas",IF(TODAY()&lt;C144,IF(C144-TODAY()=1,"Começa amanhã","Começa em "&amp;(C144-TODAY())&amp;" dias"),IF(TODAY()&gt;D144,"Concluídas",IF(TODAY()=D144,"EM FÉRIAS (último dia)","EM FÉRIAS (faltam "&amp;(D144-TODAY())&amp;" dias)"))))))</f>
        <v/>
      </c>
      <c r="I144" s="53" t="str">
        <f aca="false">IF(OR(A144="",NOT(AND(ISNUMBER(C144),ISNUMBER(D144)))),"",IF(D144-C144+1&gt;30,"⚠ Período acima de 30 dias",IF(COUNTIFS($B$2:$B$301,B144,$C$2:$C$301,"&lt;="&amp;D144,$D$2:$D$301,"&gt;="&amp;C144)&gt;1,"⚠ Coincide com férias de outro do setor","")))</f>
        <v/>
      </c>
      <c r="K144" s="0" t="str">
        <f aca="true">IF(AND(ISNUMBER(C144),ISNUMBER(D144),C144&lt;=TODAY(),D144&gt;=TODAY()),D144+ROW()/100000,"")</f>
        <v/>
      </c>
      <c r="L144" s="0" t="str">
        <f aca="true">IF(AND(ISNUMBER(C144),C144&gt;TODAY(),C144&lt;=TODAY()+30),C144+ROW()/100000,"")</f>
        <v/>
      </c>
      <c r="M144" s="0" t="str">
        <f aca="false">IF(AND(ISNUMBER(C144),ISNUMBER(D144),C144&lt;=CALENDÁRIO!$L$4,D144&gt;=CALENDÁRIO!$L$4),ROW(),"")</f>
        <v/>
      </c>
    </row>
    <row r="145" customFormat="false" ht="15" hidden="false" customHeight="true" outlineLevel="0" collapsed="false">
      <c r="A145" s="52"/>
      <c r="B145" s="52"/>
      <c r="C145" s="51"/>
      <c r="D145" s="51"/>
      <c r="E145" s="52"/>
      <c r="F145" s="61" t="str">
        <f aca="false">IF(AND(ISNUMBER(C145),ISNUMBER(D145),D145&gt;=C145),D145-C145+1,"")</f>
        <v/>
      </c>
      <c r="G145" s="62" t="str">
        <f aca="false">IF(AND(ISNUMBER(C145),ISNUMBER(D145),D145&gt;=C145),WORKDAY(D145,1),"")</f>
        <v/>
      </c>
      <c r="H145" s="53" t="str">
        <f aca="true">IF(A145="","",IF(NOT(AND(ISNUMBER(C145),ISNUMBER(D145))),"Sem data definida",IF(D145&lt;C145,"⚠ Datas invertidas",IF(TODAY()&lt;C145,IF(C145-TODAY()=1,"Começa amanhã","Começa em "&amp;(C145-TODAY())&amp;" dias"),IF(TODAY()&gt;D145,"Concluídas",IF(TODAY()=D145,"EM FÉRIAS (último dia)","EM FÉRIAS (faltam "&amp;(D145-TODAY())&amp;" dias)"))))))</f>
        <v/>
      </c>
      <c r="I145" s="53" t="str">
        <f aca="false">IF(OR(A145="",NOT(AND(ISNUMBER(C145),ISNUMBER(D145)))),"",IF(D145-C145+1&gt;30,"⚠ Período acima de 30 dias",IF(COUNTIFS($B$2:$B$301,B145,$C$2:$C$301,"&lt;="&amp;D145,$D$2:$D$301,"&gt;="&amp;C145)&gt;1,"⚠ Coincide com férias de outro do setor","")))</f>
        <v/>
      </c>
      <c r="K145" s="0" t="str">
        <f aca="true">IF(AND(ISNUMBER(C145),ISNUMBER(D145),C145&lt;=TODAY(),D145&gt;=TODAY()),D145+ROW()/100000,"")</f>
        <v/>
      </c>
      <c r="L145" s="0" t="str">
        <f aca="true">IF(AND(ISNUMBER(C145),C145&gt;TODAY(),C145&lt;=TODAY()+30),C145+ROW()/100000,"")</f>
        <v/>
      </c>
      <c r="M145" s="0" t="str">
        <f aca="false">IF(AND(ISNUMBER(C145),ISNUMBER(D145),C145&lt;=CALENDÁRIO!$L$4,D145&gt;=CALENDÁRIO!$L$4),ROW(),"")</f>
        <v/>
      </c>
    </row>
    <row r="146" customFormat="false" ht="15" hidden="false" customHeight="true" outlineLevel="0" collapsed="false">
      <c r="A146" s="52"/>
      <c r="B146" s="52"/>
      <c r="C146" s="51"/>
      <c r="D146" s="51"/>
      <c r="E146" s="52"/>
      <c r="F146" s="61" t="str">
        <f aca="false">IF(AND(ISNUMBER(C146),ISNUMBER(D146),D146&gt;=C146),D146-C146+1,"")</f>
        <v/>
      </c>
      <c r="G146" s="62" t="str">
        <f aca="false">IF(AND(ISNUMBER(C146),ISNUMBER(D146),D146&gt;=C146),WORKDAY(D146,1),"")</f>
        <v/>
      </c>
      <c r="H146" s="53" t="str">
        <f aca="true">IF(A146="","",IF(NOT(AND(ISNUMBER(C146),ISNUMBER(D146))),"Sem data definida",IF(D146&lt;C146,"⚠ Datas invertidas",IF(TODAY()&lt;C146,IF(C146-TODAY()=1,"Começa amanhã","Começa em "&amp;(C146-TODAY())&amp;" dias"),IF(TODAY()&gt;D146,"Concluídas",IF(TODAY()=D146,"EM FÉRIAS (último dia)","EM FÉRIAS (faltam "&amp;(D146-TODAY())&amp;" dias)"))))))</f>
        <v/>
      </c>
      <c r="I146" s="53" t="str">
        <f aca="false">IF(OR(A146="",NOT(AND(ISNUMBER(C146),ISNUMBER(D146)))),"",IF(D146-C146+1&gt;30,"⚠ Período acima de 30 dias",IF(COUNTIFS($B$2:$B$301,B146,$C$2:$C$301,"&lt;="&amp;D146,$D$2:$D$301,"&gt;="&amp;C146)&gt;1,"⚠ Coincide com férias de outro do setor","")))</f>
        <v/>
      </c>
      <c r="K146" s="0" t="str">
        <f aca="true">IF(AND(ISNUMBER(C146),ISNUMBER(D146),C146&lt;=TODAY(),D146&gt;=TODAY()),D146+ROW()/100000,"")</f>
        <v/>
      </c>
      <c r="L146" s="0" t="str">
        <f aca="true">IF(AND(ISNUMBER(C146),C146&gt;TODAY(),C146&lt;=TODAY()+30),C146+ROW()/100000,"")</f>
        <v/>
      </c>
      <c r="M146" s="0" t="str">
        <f aca="false">IF(AND(ISNUMBER(C146),ISNUMBER(D146),C146&lt;=CALENDÁRIO!$L$4,D146&gt;=CALENDÁRIO!$L$4),ROW(),"")</f>
        <v/>
      </c>
    </row>
    <row r="147" customFormat="false" ht="15" hidden="false" customHeight="true" outlineLevel="0" collapsed="false">
      <c r="A147" s="52"/>
      <c r="B147" s="52"/>
      <c r="C147" s="51"/>
      <c r="D147" s="51"/>
      <c r="E147" s="52"/>
      <c r="F147" s="61" t="str">
        <f aca="false">IF(AND(ISNUMBER(C147),ISNUMBER(D147),D147&gt;=C147),D147-C147+1,"")</f>
        <v/>
      </c>
      <c r="G147" s="62" t="str">
        <f aca="false">IF(AND(ISNUMBER(C147),ISNUMBER(D147),D147&gt;=C147),WORKDAY(D147,1),"")</f>
        <v/>
      </c>
      <c r="H147" s="53" t="str">
        <f aca="true">IF(A147="","",IF(NOT(AND(ISNUMBER(C147),ISNUMBER(D147))),"Sem data definida",IF(D147&lt;C147,"⚠ Datas invertidas",IF(TODAY()&lt;C147,IF(C147-TODAY()=1,"Começa amanhã","Começa em "&amp;(C147-TODAY())&amp;" dias"),IF(TODAY()&gt;D147,"Concluídas",IF(TODAY()=D147,"EM FÉRIAS (último dia)","EM FÉRIAS (faltam "&amp;(D147-TODAY())&amp;" dias)"))))))</f>
        <v/>
      </c>
      <c r="I147" s="53" t="str">
        <f aca="false">IF(OR(A147="",NOT(AND(ISNUMBER(C147),ISNUMBER(D147)))),"",IF(D147-C147+1&gt;30,"⚠ Período acima de 30 dias",IF(COUNTIFS($B$2:$B$301,B147,$C$2:$C$301,"&lt;="&amp;D147,$D$2:$D$301,"&gt;="&amp;C147)&gt;1,"⚠ Coincide com férias de outro do setor","")))</f>
        <v/>
      </c>
      <c r="K147" s="0" t="str">
        <f aca="true">IF(AND(ISNUMBER(C147),ISNUMBER(D147),C147&lt;=TODAY(),D147&gt;=TODAY()),D147+ROW()/100000,"")</f>
        <v/>
      </c>
      <c r="L147" s="0" t="str">
        <f aca="true">IF(AND(ISNUMBER(C147),C147&gt;TODAY(),C147&lt;=TODAY()+30),C147+ROW()/100000,"")</f>
        <v/>
      </c>
      <c r="M147" s="0" t="str">
        <f aca="false">IF(AND(ISNUMBER(C147),ISNUMBER(D147),C147&lt;=CALENDÁRIO!$L$4,D147&gt;=CALENDÁRIO!$L$4),ROW(),"")</f>
        <v/>
      </c>
    </row>
    <row r="148" customFormat="false" ht="15" hidden="false" customHeight="true" outlineLevel="0" collapsed="false">
      <c r="A148" s="52"/>
      <c r="B148" s="52"/>
      <c r="C148" s="51"/>
      <c r="D148" s="51"/>
      <c r="E148" s="52"/>
      <c r="F148" s="61" t="str">
        <f aca="false">IF(AND(ISNUMBER(C148),ISNUMBER(D148),D148&gt;=C148),D148-C148+1,"")</f>
        <v/>
      </c>
      <c r="G148" s="62" t="str">
        <f aca="false">IF(AND(ISNUMBER(C148),ISNUMBER(D148),D148&gt;=C148),WORKDAY(D148,1),"")</f>
        <v/>
      </c>
      <c r="H148" s="53" t="str">
        <f aca="true">IF(A148="","",IF(NOT(AND(ISNUMBER(C148),ISNUMBER(D148))),"Sem data definida",IF(D148&lt;C148,"⚠ Datas invertidas",IF(TODAY()&lt;C148,IF(C148-TODAY()=1,"Começa amanhã","Começa em "&amp;(C148-TODAY())&amp;" dias"),IF(TODAY()&gt;D148,"Concluídas",IF(TODAY()=D148,"EM FÉRIAS (último dia)","EM FÉRIAS (faltam "&amp;(D148-TODAY())&amp;" dias)"))))))</f>
        <v/>
      </c>
      <c r="I148" s="53" t="str">
        <f aca="false">IF(OR(A148="",NOT(AND(ISNUMBER(C148),ISNUMBER(D148)))),"",IF(D148-C148+1&gt;30,"⚠ Período acima de 30 dias",IF(COUNTIFS($B$2:$B$301,B148,$C$2:$C$301,"&lt;="&amp;D148,$D$2:$D$301,"&gt;="&amp;C148)&gt;1,"⚠ Coincide com férias de outro do setor","")))</f>
        <v/>
      </c>
      <c r="K148" s="0" t="str">
        <f aca="true">IF(AND(ISNUMBER(C148),ISNUMBER(D148),C148&lt;=TODAY(),D148&gt;=TODAY()),D148+ROW()/100000,"")</f>
        <v/>
      </c>
      <c r="L148" s="0" t="str">
        <f aca="true">IF(AND(ISNUMBER(C148),C148&gt;TODAY(),C148&lt;=TODAY()+30),C148+ROW()/100000,"")</f>
        <v/>
      </c>
      <c r="M148" s="0" t="str">
        <f aca="false">IF(AND(ISNUMBER(C148),ISNUMBER(D148),C148&lt;=CALENDÁRIO!$L$4,D148&gt;=CALENDÁRIO!$L$4),ROW(),"")</f>
        <v/>
      </c>
    </row>
    <row r="149" customFormat="false" ht="15" hidden="false" customHeight="true" outlineLevel="0" collapsed="false">
      <c r="A149" s="52"/>
      <c r="B149" s="52"/>
      <c r="C149" s="51"/>
      <c r="D149" s="51"/>
      <c r="E149" s="52"/>
      <c r="F149" s="61" t="str">
        <f aca="false">IF(AND(ISNUMBER(C149),ISNUMBER(D149),D149&gt;=C149),D149-C149+1,"")</f>
        <v/>
      </c>
      <c r="G149" s="62" t="str">
        <f aca="false">IF(AND(ISNUMBER(C149),ISNUMBER(D149),D149&gt;=C149),WORKDAY(D149,1),"")</f>
        <v/>
      </c>
      <c r="H149" s="53" t="str">
        <f aca="true">IF(A149="","",IF(NOT(AND(ISNUMBER(C149),ISNUMBER(D149))),"Sem data definida",IF(D149&lt;C149,"⚠ Datas invertidas",IF(TODAY()&lt;C149,IF(C149-TODAY()=1,"Começa amanhã","Começa em "&amp;(C149-TODAY())&amp;" dias"),IF(TODAY()&gt;D149,"Concluídas",IF(TODAY()=D149,"EM FÉRIAS (último dia)","EM FÉRIAS (faltam "&amp;(D149-TODAY())&amp;" dias)"))))))</f>
        <v/>
      </c>
      <c r="I149" s="53" t="str">
        <f aca="false">IF(OR(A149="",NOT(AND(ISNUMBER(C149),ISNUMBER(D149)))),"",IF(D149-C149+1&gt;30,"⚠ Período acima de 30 dias",IF(COUNTIFS($B$2:$B$301,B149,$C$2:$C$301,"&lt;="&amp;D149,$D$2:$D$301,"&gt;="&amp;C149)&gt;1,"⚠ Coincide com férias de outro do setor","")))</f>
        <v/>
      </c>
      <c r="K149" s="0" t="str">
        <f aca="true">IF(AND(ISNUMBER(C149),ISNUMBER(D149),C149&lt;=TODAY(),D149&gt;=TODAY()),D149+ROW()/100000,"")</f>
        <v/>
      </c>
      <c r="L149" s="0" t="str">
        <f aca="true">IF(AND(ISNUMBER(C149),C149&gt;TODAY(),C149&lt;=TODAY()+30),C149+ROW()/100000,"")</f>
        <v/>
      </c>
      <c r="M149" s="0" t="str">
        <f aca="false">IF(AND(ISNUMBER(C149),ISNUMBER(D149),C149&lt;=CALENDÁRIO!$L$4,D149&gt;=CALENDÁRIO!$L$4),ROW(),"")</f>
        <v/>
      </c>
    </row>
    <row r="150" customFormat="false" ht="15" hidden="false" customHeight="true" outlineLevel="0" collapsed="false">
      <c r="A150" s="52"/>
      <c r="B150" s="52"/>
      <c r="C150" s="51"/>
      <c r="D150" s="51"/>
      <c r="E150" s="52"/>
      <c r="F150" s="61" t="str">
        <f aca="false">IF(AND(ISNUMBER(C150),ISNUMBER(D150),D150&gt;=C150),D150-C150+1,"")</f>
        <v/>
      </c>
      <c r="G150" s="62" t="str">
        <f aca="false">IF(AND(ISNUMBER(C150),ISNUMBER(D150),D150&gt;=C150),WORKDAY(D150,1),"")</f>
        <v/>
      </c>
      <c r="H150" s="53" t="str">
        <f aca="true">IF(A150="","",IF(NOT(AND(ISNUMBER(C150),ISNUMBER(D150))),"Sem data definida",IF(D150&lt;C150,"⚠ Datas invertidas",IF(TODAY()&lt;C150,IF(C150-TODAY()=1,"Começa amanhã","Começa em "&amp;(C150-TODAY())&amp;" dias"),IF(TODAY()&gt;D150,"Concluídas",IF(TODAY()=D150,"EM FÉRIAS (último dia)","EM FÉRIAS (faltam "&amp;(D150-TODAY())&amp;" dias)"))))))</f>
        <v/>
      </c>
      <c r="I150" s="53" t="str">
        <f aca="false">IF(OR(A150="",NOT(AND(ISNUMBER(C150),ISNUMBER(D150)))),"",IF(D150-C150+1&gt;30,"⚠ Período acima de 30 dias",IF(COUNTIFS($B$2:$B$301,B150,$C$2:$C$301,"&lt;="&amp;D150,$D$2:$D$301,"&gt;="&amp;C150)&gt;1,"⚠ Coincide com férias de outro do setor","")))</f>
        <v/>
      </c>
      <c r="K150" s="0" t="str">
        <f aca="true">IF(AND(ISNUMBER(C150),ISNUMBER(D150),C150&lt;=TODAY(),D150&gt;=TODAY()),D150+ROW()/100000,"")</f>
        <v/>
      </c>
      <c r="L150" s="0" t="str">
        <f aca="true">IF(AND(ISNUMBER(C150),C150&gt;TODAY(),C150&lt;=TODAY()+30),C150+ROW()/100000,"")</f>
        <v/>
      </c>
      <c r="M150" s="0" t="str">
        <f aca="false">IF(AND(ISNUMBER(C150),ISNUMBER(D150),C150&lt;=CALENDÁRIO!$L$4,D150&gt;=CALENDÁRIO!$L$4),ROW(),"")</f>
        <v/>
      </c>
    </row>
    <row r="151" customFormat="false" ht="15" hidden="false" customHeight="true" outlineLevel="0" collapsed="false">
      <c r="A151" s="52"/>
      <c r="B151" s="52"/>
      <c r="C151" s="51"/>
      <c r="D151" s="51"/>
      <c r="E151" s="52"/>
      <c r="F151" s="61" t="str">
        <f aca="false">IF(AND(ISNUMBER(C151),ISNUMBER(D151),D151&gt;=C151),D151-C151+1,"")</f>
        <v/>
      </c>
      <c r="G151" s="62" t="str">
        <f aca="false">IF(AND(ISNUMBER(C151),ISNUMBER(D151),D151&gt;=C151),WORKDAY(D151,1),"")</f>
        <v/>
      </c>
      <c r="H151" s="53" t="str">
        <f aca="true">IF(A151="","",IF(NOT(AND(ISNUMBER(C151),ISNUMBER(D151))),"Sem data definida",IF(D151&lt;C151,"⚠ Datas invertidas",IF(TODAY()&lt;C151,IF(C151-TODAY()=1,"Começa amanhã","Começa em "&amp;(C151-TODAY())&amp;" dias"),IF(TODAY()&gt;D151,"Concluídas",IF(TODAY()=D151,"EM FÉRIAS (último dia)","EM FÉRIAS (faltam "&amp;(D151-TODAY())&amp;" dias)"))))))</f>
        <v/>
      </c>
      <c r="I151" s="53" t="str">
        <f aca="false">IF(OR(A151="",NOT(AND(ISNUMBER(C151),ISNUMBER(D151)))),"",IF(D151-C151+1&gt;30,"⚠ Período acima de 30 dias",IF(COUNTIFS($B$2:$B$301,B151,$C$2:$C$301,"&lt;="&amp;D151,$D$2:$D$301,"&gt;="&amp;C151)&gt;1,"⚠ Coincide com férias de outro do setor","")))</f>
        <v/>
      </c>
      <c r="K151" s="0" t="str">
        <f aca="true">IF(AND(ISNUMBER(C151),ISNUMBER(D151),C151&lt;=TODAY(),D151&gt;=TODAY()),D151+ROW()/100000,"")</f>
        <v/>
      </c>
      <c r="L151" s="0" t="str">
        <f aca="true">IF(AND(ISNUMBER(C151),C151&gt;TODAY(),C151&lt;=TODAY()+30),C151+ROW()/100000,"")</f>
        <v/>
      </c>
      <c r="M151" s="0" t="str">
        <f aca="false">IF(AND(ISNUMBER(C151),ISNUMBER(D151),C151&lt;=CALENDÁRIO!$L$4,D151&gt;=CALENDÁRIO!$L$4),ROW(),"")</f>
        <v/>
      </c>
    </row>
    <row r="152" customFormat="false" ht="15" hidden="false" customHeight="true" outlineLevel="0" collapsed="false">
      <c r="A152" s="52"/>
      <c r="B152" s="52"/>
      <c r="C152" s="51"/>
      <c r="D152" s="51"/>
      <c r="E152" s="52"/>
      <c r="F152" s="61" t="str">
        <f aca="false">IF(AND(ISNUMBER(C152),ISNUMBER(D152),D152&gt;=C152),D152-C152+1,"")</f>
        <v/>
      </c>
      <c r="G152" s="62" t="str">
        <f aca="false">IF(AND(ISNUMBER(C152),ISNUMBER(D152),D152&gt;=C152),WORKDAY(D152,1),"")</f>
        <v/>
      </c>
      <c r="H152" s="53" t="str">
        <f aca="true">IF(A152="","",IF(NOT(AND(ISNUMBER(C152),ISNUMBER(D152))),"Sem data definida",IF(D152&lt;C152,"⚠ Datas invertidas",IF(TODAY()&lt;C152,IF(C152-TODAY()=1,"Começa amanhã","Começa em "&amp;(C152-TODAY())&amp;" dias"),IF(TODAY()&gt;D152,"Concluídas",IF(TODAY()=D152,"EM FÉRIAS (último dia)","EM FÉRIAS (faltam "&amp;(D152-TODAY())&amp;" dias)"))))))</f>
        <v/>
      </c>
      <c r="I152" s="53" t="str">
        <f aca="false">IF(OR(A152="",NOT(AND(ISNUMBER(C152),ISNUMBER(D152)))),"",IF(D152-C152+1&gt;30,"⚠ Período acima de 30 dias",IF(COUNTIFS($B$2:$B$301,B152,$C$2:$C$301,"&lt;="&amp;D152,$D$2:$D$301,"&gt;="&amp;C152)&gt;1,"⚠ Coincide com férias de outro do setor","")))</f>
        <v/>
      </c>
      <c r="K152" s="0" t="str">
        <f aca="true">IF(AND(ISNUMBER(C152),ISNUMBER(D152),C152&lt;=TODAY(),D152&gt;=TODAY()),D152+ROW()/100000,"")</f>
        <v/>
      </c>
      <c r="L152" s="0" t="str">
        <f aca="true">IF(AND(ISNUMBER(C152),C152&gt;TODAY(),C152&lt;=TODAY()+30),C152+ROW()/100000,"")</f>
        <v/>
      </c>
      <c r="M152" s="0" t="str">
        <f aca="false">IF(AND(ISNUMBER(C152),ISNUMBER(D152),C152&lt;=CALENDÁRIO!$L$4,D152&gt;=CALENDÁRIO!$L$4),ROW(),"")</f>
        <v/>
      </c>
    </row>
    <row r="153" customFormat="false" ht="15" hidden="false" customHeight="true" outlineLevel="0" collapsed="false">
      <c r="A153" s="52"/>
      <c r="B153" s="52"/>
      <c r="C153" s="51"/>
      <c r="D153" s="51"/>
      <c r="E153" s="52"/>
      <c r="F153" s="61" t="str">
        <f aca="false">IF(AND(ISNUMBER(C153),ISNUMBER(D153),D153&gt;=C153),D153-C153+1,"")</f>
        <v/>
      </c>
      <c r="G153" s="62" t="str">
        <f aca="false">IF(AND(ISNUMBER(C153),ISNUMBER(D153),D153&gt;=C153),WORKDAY(D153,1),"")</f>
        <v/>
      </c>
      <c r="H153" s="53" t="str">
        <f aca="true">IF(A153="","",IF(NOT(AND(ISNUMBER(C153),ISNUMBER(D153))),"Sem data definida",IF(D153&lt;C153,"⚠ Datas invertidas",IF(TODAY()&lt;C153,IF(C153-TODAY()=1,"Começa amanhã","Começa em "&amp;(C153-TODAY())&amp;" dias"),IF(TODAY()&gt;D153,"Concluídas",IF(TODAY()=D153,"EM FÉRIAS (último dia)","EM FÉRIAS (faltam "&amp;(D153-TODAY())&amp;" dias)"))))))</f>
        <v/>
      </c>
      <c r="I153" s="53" t="str">
        <f aca="false">IF(OR(A153="",NOT(AND(ISNUMBER(C153),ISNUMBER(D153)))),"",IF(D153-C153+1&gt;30,"⚠ Período acima de 30 dias",IF(COUNTIFS($B$2:$B$301,B153,$C$2:$C$301,"&lt;="&amp;D153,$D$2:$D$301,"&gt;="&amp;C153)&gt;1,"⚠ Coincide com férias de outro do setor","")))</f>
        <v/>
      </c>
      <c r="K153" s="0" t="str">
        <f aca="true">IF(AND(ISNUMBER(C153),ISNUMBER(D153),C153&lt;=TODAY(),D153&gt;=TODAY()),D153+ROW()/100000,"")</f>
        <v/>
      </c>
      <c r="L153" s="0" t="str">
        <f aca="true">IF(AND(ISNUMBER(C153),C153&gt;TODAY(),C153&lt;=TODAY()+30),C153+ROW()/100000,"")</f>
        <v/>
      </c>
      <c r="M153" s="0" t="str">
        <f aca="false">IF(AND(ISNUMBER(C153),ISNUMBER(D153),C153&lt;=CALENDÁRIO!$L$4,D153&gt;=CALENDÁRIO!$L$4),ROW(),"")</f>
        <v/>
      </c>
    </row>
    <row r="154" customFormat="false" ht="15" hidden="false" customHeight="true" outlineLevel="0" collapsed="false">
      <c r="A154" s="52"/>
      <c r="B154" s="52"/>
      <c r="C154" s="51"/>
      <c r="D154" s="51"/>
      <c r="E154" s="52"/>
      <c r="F154" s="61" t="str">
        <f aca="false">IF(AND(ISNUMBER(C154),ISNUMBER(D154),D154&gt;=C154),D154-C154+1,"")</f>
        <v/>
      </c>
      <c r="G154" s="62" t="str">
        <f aca="false">IF(AND(ISNUMBER(C154),ISNUMBER(D154),D154&gt;=C154),WORKDAY(D154,1),"")</f>
        <v/>
      </c>
      <c r="H154" s="53" t="str">
        <f aca="true">IF(A154="","",IF(NOT(AND(ISNUMBER(C154),ISNUMBER(D154))),"Sem data definida",IF(D154&lt;C154,"⚠ Datas invertidas",IF(TODAY()&lt;C154,IF(C154-TODAY()=1,"Começa amanhã","Começa em "&amp;(C154-TODAY())&amp;" dias"),IF(TODAY()&gt;D154,"Concluídas",IF(TODAY()=D154,"EM FÉRIAS (último dia)","EM FÉRIAS (faltam "&amp;(D154-TODAY())&amp;" dias)"))))))</f>
        <v/>
      </c>
      <c r="I154" s="53" t="str">
        <f aca="false">IF(OR(A154="",NOT(AND(ISNUMBER(C154),ISNUMBER(D154)))),"",IF(D154-C154+1&gt;30,"⚠ Período acima de 30 dias",IF(COUNTIFS($B$2:$B$301,B154,$C$2:$C$301,"&lt;="&amp;D154,$D$2:$D$301,"&gt;="&amp;C154)&gt;1,"⚠ Coincide com férias de outro do setor","")))</f>
        <v/>
      </c>
      <c r="K154" s="0" t="str">
        <f aca="true">IF(AND(ISNUMBER(C154),ISNUMBER(D154),C154&lt;=TODAY(),D154&gt;=TODAY()),D154+ROW()/100000,"")</f>
        <v/>
      </c>
      <c r="L154" s="0" t="str">
        <f aca="true">IF(AND(ISNUMBER(C154),C154&gt;TODAY(),C154&lt;=TODAY()+30),C154+ROW()/100000,"")</f>
        <v/>
      </c>
      <c r="M154" s="0" t="str">
        <f aca="false">IF(AND(ISNUMBER(C154),ISNUMBER(D154),C154&lt;=CALENDÁRIO!$L$4,D154&gt;=CALENDÁRIO!$L$4),ROW(),"")</f>
        <v/>
      </c>
    </row>
    <row r="155" customFormat="false" ht="15" hidden="false" customHeight="true" outlineLevel="0" collapsed="false">
      <c r="A155" s="52"/>
      <c r="B155" s="52"/>
      <c r="C155" s="51"/>
      <c r="D155" s="51"/>
      <c r="E155" s="52"/>
      <c r="F155" s="61" t="str">
        <f aca="false">IF(AND(ISNUMBER(C155),ISNUMBER(D155),D155&gt;=C155),D155-C155+1,"")</f>
        <v/>
      </c>
      <c r="G155" s="62" t="str">
        <f aca="false">IF(AND(ISNUMBER(C155),ISNUMBER(D155),D155&gt;=C155),WORKDAY(D155,1),"")</f>
        <v/>
      </c>
      <c r="H155" s="53" t="str">
        <f aca="true">IF(A155="","",IF(NOT(AND(ISNUMBER(C155),ISNUMBER(D155))),"Sem data definida",IF(D155&lt;C155,"⚠ Datas invertidas",IF(TODAY()&lt;C155,IF(C155-TODAY()=1,"Começa amanhã","Começa em "&amp;(C155-TODAY())&amp;" dias"),IF(TODAY()&gt;D155,"Concluídas",IF(TODAY()=D155,"EM FÉRIAS (último dia)","EM FÉRIAS (faltam "&amp;(D155-TODAY())&amp;" dias)"))))))</f>
        <v/>
      </c>
      <c r="I155" s="53" t="str">
        <f aca="false">IF(OR(A155="",NOT(AND(ISNUMBER(C155),ISNUMBER(D155)))),"",IF(D155-C155+1&gt;30,"⚠ Período acima de 30 dias",IF(COUNTIFS($B$2:$B$301,B155,$C$2:$C$301,"&lt;="&amp;D155,$D$2:$D$301,"&gt;="&amp;C155)&gt;1,"⚠ Coincide com férias de outro do setor","")))</f>
        <v/>
      </c>
      <c r="K155" s="0" t="str">
        <f aca="true">IF(AND(ISNUMBER(C155),ISNUMBER(D155),C155&lt;=TODAY(),D155&gt;=TODAY()),D155+ROW()/100000,"")</f>
        <v/>
      </c>
      <c r="L155" s="0" t="str">
        <f aca="true">IF(AND(ISNUMBER(C155),C155&gt;TODAY(),C155&lt;=TODAY()+30),C155+ROW()/100000,"")</f>
        <v/>
      </c>
      <c r="M155" s="0" t="str">
        <f aca="false">IF(AND(ISNUMBER(C155),ISNUMBER(D155),C155&lt;=CALENDÁRIO!$L$4,D155&gt;=CALENDÁRIO!$L$4),ROW(),"")</f>
        <v/>
      </c>
    </row>
    <row r="156" customFormat="false" ht="15" hidden="false" customHeight="true" outlineLevel="0" collapsed="false">
      <c r="A156" s="52"/>
      <c r="B156" s="52"/>
      <c r="C156" s="51"/>
      <c r="D156" s="51"/>
      <c r="E156" s="52"/>
      <c r="F156" s="61" t="str">
        <f aca="false">IF(AND(ISNUMBER(C156),ISNUMBER(D156),D156&gt;=C156),D156-C156+1,"")</f>
        <v/>
      </c>
      <c r="G156" s="62" t="str">
        <f aca="false">IF(AND(ISNUMBER(C156),ISNUMBER(D156),D156&gt;=C156),WORKDAY(D156,1),"")</f>
        <v/>
      </c>
      <c r="H156" s="53" t="str">
        <f aca="true">IF(A156="","",IF(NOT(AND(ISNUMBER(C156),ISNUMBER(D156))),"Sem data definida",IF(D156&lt;C156,"⚠ Datas invertidas",IF(TODAY()&lt;C156,IF(C156-TODAY()=1,"Começa amanhã","Começa em "&amp;(C156-TODAY())&amp;" dias"),IF(TODAY()&gt;D156,"Concluídas",IF(TODAY()=D156,"EM FÉRIAS (último dia)","EM FÉRIAS (faltam "&amp;(D156-TODAY())&amp;" dias)"))))))</f>
        <v/>
      </c>
      <c r="I156" s="53" t="str">
        <f aca="false">IF(OR(A156="",NOT(AND(ISNUMBER(C156),ISNUMBER(D156)))),"",IF(D156-C156+1&gt;30,"⚠ Período acima de 30 dias",IF(COUNTIFS($B$2:$B$301,B156,$C$2:$C$301,"&lt;="&amp;D156,$D$2:$D$301,"&gt;="&amp;C156)&gt;1,"⚠ Coincide com férias de outro do setor","")))</f>
        <v/>
      </c>
      <c r="K156" s="0" t="str">
        <f aca="true">IF(AND(ISNUMBER(C156),ISNUMBER(D156),C156&lt;=TODAY(),D156&gt;=TODAY()),D156+ROW()/100000,"")</f>
        <v/>
      </c>
      <c r="L156" s="0" t="str">
        <f aca="true">IF(AND(ISNUMBER(C156),C156&gt;TODAY(),C156&lt;=TODAY()+30),C156+ROW()/100000,"")</f>
        <v/>
      </c>
      <c r="M156" s="0" t="str">
        <f aca="false">IF(AND(ISNUMBER(C156),ISNUMBER(D156),C156&lt;=CALENDÁRIO!$L$4,D156&gt;=CALENDÁRIO!$L$4),ROW(),"")</f>
        <v/>
      </c>
    </row>
    <row r="157" customFormat="false" ht="15" hidden="false" customHeight="true" outlineLevel="0" collapsed="false">
      <c r="A157" s="52"/>
      <c r="B157" s="52"/>
      <c r="C157" s="51"/>
      <c r="D157" s="51"/>
      <c r="E157" s="52"/>
      <c r="F157" s="61" t="str">
        <f aca="false">IF(AND(ISNUMBER(C157),ISNUMBER(D157),D157&gt;=C157),D157-C157+1,"")</f>
        <v/>
      </c>
      <c r="G157" s="62" t="str">
        <f aca="false">IF(AND(ISNUMBER(C157),ISNUMBER(D157),D157&gt;=C157),WORKDAY(D157,1),"")</f>
        <v/>
      </c>
      <c r="H157" s="53" t="str">
        <f aca="true">IF(A157="","",IF(NOT(AND(ISNUMBER(C157),ISNUMBER(D157))),"Sem data definida",IF(D157&lt;C157,"⚠ Datas invertidas",IF(TODAY()&lt;C157,IF(C157-TODAY()=1,"Começa amanhã","Começa em "&amp;(C157-TODAY())&amp;" dias"),IF(TODAY()&gt;D157,"Concluídas",IF(TODAY()=D157,"EM FÉRIAS (último dia)","EM FÉRIAS (faltam "&amp;(D157-TODAY())&amp;" dias)"))))))</f>
        <v/>
      </c>
      <c r="I157" s="53" t="str">
        <f aca="false">IF(OR(A157="",NOT(AND(ISNUMBER(C157),ISNUMBER(D157)))),"",IF(D157-C157+1&gt;30,"⚠ Período acima de 30 dias",IF(COUNTIFS($B$2:$B$301,B157,$C$2:$C$301,"&lt;="&amp;D157,$D$2:$D$301,"&gt;="&amp;C157)&gt;1,"⚠ Coincide com férias de outro do setor","")))</f>
        <v/>
      </c>
      <c r="K157" s="0" t="str">
        <f aca="true">IF(AND(ISNUMBER(C157),ISNUMBER(D157),C157&lt;=TODAY(),D157&gt;=TODAY()),D157+ROW()/100000,"")</f>
        <v/>
      </c>
      <c r="L157" s="0" t="str">
        <f aca="true">IF(AND(ISNUMBER(C157),C157&gt;TODAY(),C157&lt;=TODAY()+30),C157+ROW()/100000,"")</f>
        <v/>
      </c>
      <c r="M157" s="0" t="str">
        <f aca="false">IF(AND(ISNUMBER(C157),ISNUMBER(D157),C157&lt;=CALENDÁRIO!$L$4,D157&gt;=CALENDÁRIO!$L$4),ROW(),"")</f>
        <v/>
      </c>
    </row>
    <row r="158" customFormat="false" ht="15" hidden="false" customHeight="true" outlineLevel="0" collapsed="false">
      <c r="A158" s="52"/>
      <c r="B158" s="52"/>
      <c r="C158" s="51"/>
      <c r="D158" s="51"/>
      <c r="E158" s="52"/>
      <c r="F158" s="61" t="str">
        <f aca="false">IF(AND(ISNUMBER(C158),ISNUMBER(D158),D158&gt;=C158),D158-C158+1,"")</f>
        <v/>
      </c>
      <c r="G158" s="62" t="str">
        <f aca="false">IF(AND(ISNUMBER(C158),ISNUMBER(D158),D158&gt;=C158),WORKDAY(D158,1),"")</f>
        <v/>
      </c>
      <c r="H158" s="53" t="str">
        <f aca="true">IF(A158="","",IF(NOT(AND(ISNUMBER(C158),ISNUMBER(D158))),"Sem data definida",IF(D158&lt;C158,"⚠ Datas invertidas",IF(TODAY()&lt;C158,IF(C158-TODAY()=1,"Começa amanhã","Começa em "&amp;(C158-TODAY())&amp;" dias"),IF(TODAY()&gt;D158,"Concluídas",IF(TODAY()=D158,"EM FÉRIAS (último dia)","EM FÉRIAS (faltam "&amp;(D158-TODAY())&amp;" dias)"))))))</f>
        <v/>
      </c>
      <c r="I158" s="53" t="str">
        <f aca="false">IF(OR(A158="",NOT(AND(ISNUMBER(C158),ISNUMBER(D158)))),"",IF(D158-C158+1&gt;30,"⚠ Período acima de 30 dias",IF(COUNTIFS($B$2:$B$301,B158,$C$2:$C$301,"&lt;="&amp;D158,$D$2:$D$301,"&gt;="&amp;C158)&gt;1,"⚠ Coincide com férias de outro do setor","")))</f>
        <v/>
      </c>
      <c r="K158" s="0" t="str">
        <f aca="true">IF(AND(ISNUMBER(C158),ISNUMBER(D158),C158&lt;=TODAY(),D158&gt;=TODAY()),D158+ROW()/100000,"")</f>
        <v/>
      </c>
      <c r="L158" s="0" t="str">
        <f aca="true">IF(AND(ISNUMBER(C158),C158&gt;TODAY(),C158&lt;=TODAY()+30),C158+ROW()/100000,"")</f>
        <v/>
      </c>
      <c r="M158" s="0" t="str">
        <f aca="false">IF(AND(ISNUMBER(C158),ISNUMBER(D158),C158&lt;=CALENDÁRIO!$L$4,D158&gt;=CALENDÁRIO!$L$4),ROW(),"")</f>
        <v/>
      </c>
    </row>
    <row r="159" customFormat="false" ht="15" hidden="false" customHeight="true" outlineLevel="0" collapsed="false">
      <c r="A159" s="52"/>
      <c r="B159" s="52"/>
      <c r="C159" s="51"/>
      <c r="D159" s="51"/>
      <c r="E159" s="52"/>
      <c r="F159" s="61" t="str">
        <f aca="false">IF(AND(ISNUMBER(C159),ISNUMBER(D159),D159&gt;=C159),D159-C159+1,"")</f>
        <v/>
      </c>
      <c r="G159" s="62" t="str">
        <f aca="false">IF(AND(ISNUMBER(C159),ISNUMBER(D159),D159&gt;=C159),WORKDAY(D159,1),"")</f>
        <v/>
      </c>
      <c r="H159" s="53" t="str">
        <f aca="true">IF(A159="","",IF(NOT(AND(ISNUMBER(C159),ISNUMBER(D159))),"Sem data definida",IF(D159&lt;C159,"⚠ Datas invertidas",IF(TODAY()&lt;C159,IF(C159-TODAY()=1,"Começa amanhã","Começa em "&amp;(C159-TODAY())&amp;" dias"),IF(TODAY()&gt;D159,"Concluídas",IF(TODAY()=D159,"EM FÉRIAS (último dia)","EM FÉRIAS (faltam "&amp;(D159-TODAY())&amp;" dias)"))))))</f>
        <v/>
      </c>
      <c r="I159" s="53" t="str">
        <f aca="false">IF(OR(A159="",NOT(AND(ISNUMBER(C159),ISNUMBER(D159)))),"",IF(D159-C159+1&gt;30,"⚠ Período acima de 30 dias",IF(COUNTIFS($B$2:$B$301,B159,$C$2:$C$301,"&lt;="&amp;D159,$D$2:$D$301,"&gt;="&amp;C159)&gt;1,"⚠ Coincide com férias de outro do setor","")))</f>
        <v/>
      </c>
      <c r="K159" s="0" t="str">
        <f aca="true">IF(AND(ISNUMBER(C159),ISNUMBER(D159),C159&lt;=TODAY(),D159&gt;=TODAY()),D159+ROW()/100000,"")</f>
        <v/>
      </c>
      <c r="L159" s="0" t="str">
        <f aca="true">IF(AND(ISNUMBER(C159),C159&gt;TODAY(),C159&lt;=TODAY()+30),C159+ROW()/100000,"")</f>
        <v/>
      </c>
      <c r="M159" s="0" t="str">
        <f aca="false">IF(AND(ISNUMBER(C159),ISNUMBER(D159),C159&lt;=CALENDÁRIO!$L$4,D159&gt;=CALENDÁRIO!$L$4),ROW(),"")</f>
        <v/>
      </c>
    </row>
    <row r="160" customFormat="false" ht="15" hidden="false" customHeight="true" outlineLevel="0" collapsed="false">
      <c r="A160" s="52"/>
      <c r="B160" s="52"/>
      <c r="C160" s="51"/>
      <c r="D160" s="51"/>
      <c r="E160" s="52"/>
      <c r="F160" s="61" t="str">
        <f aca="false">IF(AND(ISNUMBER(C160),ISNUMBER(D160),D160&gt;=C160),D160-C160+1,"")</f>
        <v/>
      </c>
      <c r="G160" s="62" t="str">
        <f aca="false">IF(AND(ISNUMBER(C160),ISNUMBER(D160),D160&gt;=C160),WORKDAY(D160,1),"")</f>
        <v/>
      </c>
      <c r="H160" s="53" t="str">
        <f aca="true">IF(A160="","",IF(NOT(AND(ISNUMBER(C160),ISNUMBER(D160))),"Sem data definida",IF(D160&lt;C160,"⚠ Datas invertidas",IF(TODAY()&lt;C160,IF(C160-TODAY()=1,"Começa amanhã","Começa em "&amp;(C160-TODAY())&amp;" dias"),IF(TODAY()&gt;D160,"Concluídas",IF(TODAY()=D160,"EM FÉRIAS (último dia)","EM FÉRIAS (faltam "&amp;(D160-TODAY())&amp;" dias)"))))))</f>
        <v/>
      </c>
      <c r="I160" s="53" t="str">
        <f aca="false">IF(OR(A160="",NOT(AND(ISNUMBER(C160),ISNUMBER(D160)))),"",IF(D160-C160+1&gt;30,"⚠ Período acima de 30 dias",IF(COUNTIFS($B$2:$B$301,B160,$C$2:$C$301,"&lt;="&amp;D160,$D$2:$D$301,"&gt;="&amp;C160)&gt;1,"⚠ Coincide com férias de outro do setor","")))</f>
        <v/>
      </c>
      <c r="K160" s="0" t="str">
        <f aca="true">IF(AND(ISNUMBER(C160),ISNUMBER(D160),C160&lt;=TODAY(),D160&gt;=TODAY()),D160+ROW()/100000,"")</f>
        <v/>
      </c>
      <c r="L160" s="0" t="str">
        <f aca="true">IF(AND(ISNUMBER(C160),C160&gt;TODAY(),C160&lt;=TODAY()+30),C160+ROW()/100000,"")</f>
        <v/>
      </c>
      <c r="M160" s="0" t="str">
        <f aca="false">IF(AND(ISNUMBER(C160),ISNUMBER(D160),C160&lt;=CALENDÁRIO!$L$4,D160&gt;=CALENDÁRIO!$L$4),ROW(),"")</f>
        <v/>
      </c>
    </row>
    <row r="161" customFormat="false" ht="15" hidden="false" customHeight="true" outlineLevel="0" collapsed="false">
      <c r="A161" s="52"/>
      <c r="B161" s="52"/>
      <c r="C161" s="51"/>
      <c r="D161" s="51"/>
      <c r="E161" s="52"/>
      <c r="F161" s="61" t="str">
        <f aca="false">IF(AND(ISNUMBER(C161),ISNUMBER(D161),D161&gt;=C161),D161-C161+1,"")</f>
        <v/>
      </c>
      <c r="G161" s="62" t="str">
        <f aca="false">IF(AND(ISNUMBER(C161),ISNUMBER(D161),D161&gt;=C161),WORKDAY(D161,1),"")</f>
        <v/>
      </c>
      <c r="H161" s="53" t="str">
        <f aca="true">IF(A161="","",IF(NOT(AND(ISNUMBER(C161),ISNUMBER(D161))),"Sem data definida",IF(D161&lt;C161,"⚠ Datas invertidas",IF(TODAY()&lt;C161,IF(C161-TODAY()=1,"Começa amanhã","Começa em "&amp;(C161-TODAY())&amp;" dias"),IF(TODAY()&gt;D161,"Concluídas",IF(TODAY()=D161,"EM FÉRIAS (último dia)","EM FÉRIAS (faltam "&amp;(D161-TODAY())&amp;" dias)"))))))</f>
        <v/>
      </c>
      <c r="I161" s="53" t="str">
        <f aca="false">IF(OR(A161="",NOT(AND(ISNUMBER(C161),ISNUMBER(D161)))),"",IF(D161-C161+1&gt;30,"⚠ Período acima de 30 dias",IF(COUNTIFS($B$2:$B$301,B161,$C$2:$C$301,"&lt;="&amp;D161,$D$2:$D$301,"&gt;="&amp;C161)&gt;1,"⚠ Coincide com férias de outro do setor","")))</f>
        <v/>
      </c>
      <c r="K161" s="0" t="str">
        <f aca="true">IF(AND(ISNUMBER(C161),ISNUMBER(D161),C161&lt;=TODAY(),D161&gt;=TODAY()),D161+ROW()/100000,"")</f>
        <v/>
      </c>
      <c r="L161" s="0" t="str">
        <f aca="true">IF(AND(ISNUMBER(C161),C161&gt;TODAY(),C161&lt;=TODAY()+30),C161+ROW()/100000,"")</f>
        <v/>
      </c>
      <c r="M161" s="0" t="str">
        <f aca="false">IF(AND(ISNUMBER(C161),ISNUMBER(D161),C161&lt;=CALENDÁRIO!$L$4,D161&gt;=CALENDÁRIO!$L$4),ROW(),"")</f>
        <v/>
      </c>
    </row>
    <row r="162" customFormat="false" ht="15" hidden="false" customHeight="true" outlineLevel="0" collapsed="false">
      <c r="A162" s="52"/>
      <c r="B162" s="52"/>
      <c r="C162" s="51"/>
      <c r="D162" s="51"/>
      <c r="E162" s="52"/>
      <c r="F162" s="61" t="str">
        <f aca="false">IF(AND(ISNUMBER(C162),ISNUMBER(D162),D162&gt;=C162),D162-C162+1,"")</f>
        <v/>
      </c>
      <c r="G162" s="62" t="str">
        <f aca="false">IF(AND(ISNUMBER(C162),ISNUMBER(D162),D162&gt;=C162),WORKDAY(D162,1),"")</f>
        <v/>
      </c>
      <c r="H162" s="53" t="str">
        <f aca="true">IF(A162="","",IF(NOT(AND(ISNUMBER(C162),ISNUMBER(D162))),"Sem data definida",IF(D162&lt;C162,"⚠ Datas invertidas",IF(TODAY()&lt;C162,IF(C162-TODAY()=1,"Começa amanhã","Começa em "&amp;(C162-TODAY())&amp;" dias"),IF(TODAY()&gt;D162,"Concluídas",IF(TODAY()=D162,"EM FÉRIAS (último dia)","EM FÉRIAS (faltam "&amp;(D162-TODAY())&amp;" dias)"))))))</f>
        <v/>
      </c>
      <c r="I162" s="53" t="str">
        <f aca="false">IF(OR(A162="",NOT(AND(ISNUMBER(C162),ISNUMBER(D162)))),"",IF(D162-C162+1&gt;30,"⚠ Período acima de 30 dias",IF(COUNTIFS($B$2:$B$301,B162,$C$2:$C$301,"&lt;="&amp;D162,$D$2:$D$301,"&gt;="&amp;C162)&gt;1,"⚠ Coincide com férias de outro do setor","")))</f>
        <v/>
      </c>
      <c r="K162" s="0" t="str">
        <f aca="true">IF(AND(ISNUMBER(C162),ISNUMBER(D162),C162&lt;=TODAY(),D162&gt;=TODAY()),D162+ROW()/100000,"")</f>
        <v/>
      </c>
      <c r="L162" s="0" t="str">
        <f aca="true">IF(AND(ISNUMBER(C162),C162&gt;TODAY(),C162&lt;=TODAY()+30),C162+ROW()/100000,"")</f>
        <v/>
      </c>
      <c r="M162" s="0" t="str">
        <f aca="false">IF(AND(ISNUMBER(C162),ISNUMBER(D162),C162&lt;=CALENDÁRIO!$L$4,D162&gt;=CALENDÁRIO!$L$4),ROW(),"")</f>
        <v/>
      </c>
    </row>
    <row r="163" customFormat="false" ht="15" hidden="false" customHeight="true" outlineLevel="0" collapsed="false">
      <c r="A163" s="52"/>
      <c r="B163" s="52"/>
      <c r="C163" s="51"/>
      <c r="D163" s="51"/>
      <c r="E163" s="52"/>
      <c r="F163" s="61" t="str">
        <f aca="false">IF(AND(ISNUMBER(C163),ISNUMBER(D163),D163&gt;=C163),D163-C163+1,"")</f>
        <v/>
      </c>
      <c r="G163" s="62" t="str">
        <f aca="false">IF(AND(ISNUMBER(C163),ISNUMBER(D163),D163&gt;=C163),WORKDAY(D163,1),"")</f>
        <v/>
      </c>
      <c r="H163" s="53" t="str">
        <f aca="true">IF(A163="","",IF(NOT(AND(ISNUMBER(C163),ISNUMBER(D163))),"Sem data definida",IF(D163&lt;C163,"⚠ Datas invertidas",IF(TODAY()&lt;C163,IF(C163-TODAY()=1,"Começa amanhã","Começa em "&amp;(C163-TODAY())&amp;" dias"),IF(TODAY()&gt;D163,"Concluídas",IF(TODAY()=D163,"EM FÉRIAS (último dia)","EM FÉRIAS (faltam "&amp;(D163-TODAY())&amp;" dias)"))))))</f>
        <v/>
      </c>
      <c r="I163" s="53" t="str">
        <f aca="false">IF(OR(A163="",NOT(AND(ISNUMBER(C163),ISNUMBER(D163)))),"",IF(D163-C163+1&gt;30,"⚠ Período acima de 30 dias",IF(COUNTIFS($B$2:$B$301,B163,$C$2:$C$301,"&lt;="&amp;D163,$D$2:$D$301,"&gt;="&amp;C163)&gt;1,"⚠ Coincide com férias de outro do setor","")))</f>
        <v/>
      </c>
      <c r="K163" s="0" t="str">
        <f aca="true">IF(AND(ISNUMBER(C163),ISNUMBER(D163),C163&lt;=TODAY(),D163&gt;=TODAY()),D163+ROW()/100000,"")</f>
        <v/>
      </c>
      <c r="L163" s="0" t="str">
        <f aca="true">IF(AND(ISNUMBER(C163),C163&gt;TODAY(),C163&lt;=TODAY()+30),C163+ROW()/100000,"")</f>
        <v/>
      </c>
      <c r="M163" s="0" t="str">
        <f aca="false">IF(AND(ISNUMBER(C163),ISNUMBER(D163),C163&lt;=CALENDÁRIO!$L$4,D163&gt;=CALENDÁRIO!$L$4),ROW(),"")</f>
        <v/>
      </c>
    </row>
    <row r="164" customFormat="false" ht="15" hidden="false" customHeight="true" outlineLevel="0" collapsed="false">
      <c r="A164" s="52"/>
      <c r="B164" s="52"/>
      <c r="C164" s="51"/>
      <c r="D164" s="51"/>
      <c r="E164" s="52"/>
      <c r="F164" s="61" t="str">
        <f aca="false">IF(AND(ISNUMBER(C164),ISNUMBER(D164),D164&gt;=C164),D164-C164+1,"")</f>
        <v/>
      </c>
      <c r="G164" s="62" t="str">
        <f aca="false">IF(AND(ISNUMBER(C164),ISNUMBER(D164),D164&gt;=C164),WORKDAY(D164,1),"")</f>
        <v/>
      </c>
      <c r="H164" s="53" t="str">
        <f aca="true">IF(A164="","",IF(NOT(AND(ISNUMBER(C164),ISNUMBER(D164))),"Sem data definida",IF(D164&lt;C164,"⚠ Datas invertidas",IF(TODAY()&lt;C164,IF(C164-TODAY()=1,"Começa amanhã","Começa em "&amp;(C164-TODAY())&amp;" dias"),IF(TODAY()&gt;D164,"Concluídas",IF(TODAY()=D164,"EM FÉRIAS (último dia)","EM FÉRIAS (faltam "&amp;(D164-TODAY())&amp;" dias)"))))))</f>
        <v/>
      </c>
      <c r="I164" s="53" t="str">
        <f aca="false">IF(OR(A164="",NOT(AND(ISNUMBER(C164),ISNUMBER(D164)))),"",IF(D164-C164+1&gt;30,"⚠ Período acima de 30 dias",IF(COUNTIFS($B$2:$B$301,B164,$C$2:$C$301,"&lt;="&amp;D164,$D$2:$D$301,"&gt;="&amp;C164)&gt;1,"⚠ Coincide com férias de outro do setor","")))</f>
        <v/>
      </c>
      <c r="K164" s="0" t="str">
        <f aca="true">IF(AND(ISNUMBER(C164),ISNUMBER(D164),C164&lt;=TODAY(),D164&gt;=TODAY()),D164+ROW()/100000,"")</f>
        <v/>
      </c>
      <c r="L164" s="0" t="str">
        <f aca="true">IF(AND(ISNUMBER(C164),C164&gt;TODAY(),C164&lt;=TODAY()+30),C164+ROW()/100000,"")</f>
        <v/>
      </c>
      <c r="M164" s="0" t="str">
        <f aca="false">IF(AND(ISNUMBER(C164),ISNUMBER(D164),C164&lt;=CALENDÁRIO!$L$4,D164&gt;=CALENDÁRIO!$L$4),ROW(),"")</f>
        <v/>
      </c>
    </row>
    <row r="165" customFormat="false" ht="15" hidden="false" customHeight="true" outlineLevel="0" collapsed="false">
      <c r="A165" s="52"/>
      <c r="B165" s="52"/>
      <c r="C165" s="51"/>
      <c r="D165" s="51"/>
      <c r="E165" s="52"/>
      <c r="F165" s="61" t="str">
        <f aca="false">IF(AND(ISNUMBER(C165),ISNUMBER(D165),D165&gt;=C165),D165-C165+1,"")</f>
        <v/>
      </c>
      <c r="G165" s="62" t="str">
        <f aca="false">IF(AND(ISNUMBER(C165),ISNUMBER(D165),D165&gt;=C165),WORKDAY(D165,1),"")</f>
        <v/>
      </c>
      <c r="H165" s="53" t="str">
        <f aca="true">IF(A165="","",IF(NOT(AND(ISNUMBER(C165),ISNUMBER(D165))),"Sem data definida",IF(D165&lt;C165,"⚠ Datas invertidas",IF(TODAY()&lt;C165,IF(C165-TODAY()=1,"Começa amanhã","Começa em "&amp;(C165-TODAY())&amp;" dias"),IF(TODAY()&gt;D165,"Concluídas",IF(TODAY()=D165,"EM FÉRIAS (último dia)","EM FÉRIAS (faltam "&amp;(D165-TODAY())&amp;" dias)"))))))</f>
        <v/>
      </c>
      <c r="I165" s="53" t="str">
        <f aca="false">IF(OR(A165="",NOT(AND(ISNUMBER(C165),ISNUMBER(D165)))),"",IF(D165-C165+1&gt;30,"⚠ Período acima de 30 dias",IF(COUNTIFS($B$2:$B$301,B165,$C$2:$C$301,"&lt;="&amp;D165,$D$2:$D$301,"&gt;="&amp;C165)&gt;1,"⚠ Coincide com férias de outro do setor","")))</f>
        <v/>
      </c>
      <c r="K165" s="0" t="str">
        <f aca="true">IF(AND(ISNUMBER(C165),ISNUMBER(D165),C165&lt;=TODAY(),D165&gt;=TODAY()),D165+ROW()/100000,"")</f>
        <v/>
      </c>
      <c r="L165" s="0" t="str">
        <f aca="true">IF(AND(ISNUMBER(C165),C165&gt;TODAY(),C165&lt;=TODAY()+30),C165+ROW()/100000,"")</f>
        <v/>
      </c>
      <c r="M165" s="0" t="str">
        <f aca="false">IF(AND(ISNUMBER(C165),ISNUMBER(D165),C165&lt;=CALENDÁRIO!$L$4,D165&gt;=CALENDÁRIO!$L$4),ROW(),"")</f>
        <v/>
      </c>
    </row>
    <row r="166" customFormat="false" ht="15" hidden="false" customHeight="true" outlineLevel="0" collapsed="false">
      <c r="A166" s="52"/>
      <c r="B166" s="52"/>
      <c r="C166" s="51"/>
      <c r="D166" s="51"/>
      <c r="E166" s="52"/>
      <c r="F166" s="61" t="str">
        <f aca="false">IF(AND(ISNUMBER(C166),ISNUMBER(D166),D166&gt;=C166),D166-C166+1,"")</f>
        <v/>
      </c>
      <c r="G166" s="62" t="str">
        <f aca="false">IF(AND(ISNUMBER(C166),ISNUMBER(D166),D166&gt;=C166),WORKDAY(D166,1),"")</f>
        <v/>
      </c>
      <c r="H166" s="53" t="str">
        <f aca="true">IF(A166="","",IF(NOT(AND(ISNUMBER(C166),ISNUMBER(D166))),"Sem data definida",IF(D166&lt;C166,"⚠ Datas invertidas",IF(TODAY()&lt;C166,IF(C166-TODAY()=1,"Começa amanhã","Começa em "&amp;(C166-TODAY())&amp;" dias"),IF(TODAY()&gt;D166,"Concluídas",IF(TODAY()=D166,"EM FÉRIAS (último dia)","EM FÉRIAS (faltam "&amp;(D166-TODAY())&amp;" dias)"))))))</f>
        <v/>
      </c>
      <c r="I166" s="53" t="str">
        <f aca="false">IF(OR(A166="",NOT(AND(ISNUMBER(C166),ISNUMBER(D166)))),"",IF(D166-C166+1&gt;30,"⚠ Período acima de 30 dias",IF(COUNTIFS($B$2:$B$301,B166,$C$2:$C$301,"&lt;="&amp;D166,$D$2:$D$301,"&gt;="&amp;C166)&gt;1,"⚠ Coincide com férias de outro do setor","")))</f>
        <v/>
      </c>
      <c r="K166" s="0" t="str">
        <f aca="true">IF(AND(ISNUMBER(C166),ISNUMBER(D166),C166&lt;=TODAY(),D166&gt;=TODAY()),D166+ROW()/100000,"")</f>
        <v/>
      </c>
      <c r="L166" s="0" t="str">
        <f aca="true">IF(AND(ISNUMBER(C166),C166&gt;TODAY(),C166&lt;=TODAY()+30),C166+ROW()/100000,"")</f>
        <v/>
      </c>
      <c r="M166" s="0" t="str">
        <f aca="false">IF(AND(ISNUMBER(C166),ISNUMBER(D166),C166&lt;=CALENDÁRIO!$L$4,D166&gt;=CALENDÁRIO!$L$4),ROW(),"")</f>
        <v/>
      </c>
    </row>
    <row r="167" customFormat="false" ht="15" hidden="false" customHeight="true" outlineLevel="0" collapsed="false">
      <c r="A167" s="52"/>
      <c r="B167" s="52"/>
      <c r="C167" s="51"/>
      <c r="D167" s="51"/>
      <c r="E167" s="52"/>
      <c r="F167" s="61" t="str">
        <f aca="false">IF(AND(ISNUMBER(C167),ISNUMBER(D167),D167&gt;=C167),D167-C167+1,"")</f>
        <v/>
      </c>
      <c r="G167" s="62" t="str">
        <f aca="false">IF(AND(ISNUMBER(C167),ISNUMBER(D167),D167&gt;=C167),WORKDAY(D167,1),"")</f>
        <v/>
      </c>
      <c r="H167" s="53" t="str">
        <f aca="true">IF(A167="","",IF(NOT(AND(ISNUMBER(C167),ISNUMBER(D167))),"Sem data definida",IF(D167&lt;C167,"⚠ Datas invertidas",IF(TODAY()&lt;C167,IF(C167-TODAY()=1,"Começa amanhã","Começa em "&amp;(C167-TODAY())&amp;" dias"),IF(TODAY()&gt;D167,"Concluídas",IF(TODAY()=D167,"EM FÉRIAS (último dia)","EM FÉRIAS (faltam "&amp;(D167-TODAY())&amp;" dias)"))))))</f>
        <v/>
      </c>
      <c r="I167" s="53" t="str">
        <f aca="false">IF(OR(A167="",NOT(AND(ISNUMBER(C167),ISNUMBER(D167)))),"",IF(D167-C167+1&gt;30,"⚠ Período acima de 30 dias",IF(COUNTIFS($B$2:$B$301,B167,$C$2:$C$301,"&lt;="&amp;D167,$D$2:$D$301,"&gt;="&amp;C167)&gt;1,"⚠ Coincide com férias de outro do setor","")))</f>
        <v/>
      </c>
      <c r="K167" s="0" t="str">
        <f aca="true">IF(AND(ISNUMBER(C167),ISNUMBER(D167),C167&lt;=TODAY(),D167&gt;=TODAY()),D167+ROW()/100000,"")</f>
        <v/>
      </c>
      <c r="L167" s="0" t="str">
        <f aca="true">IF(AND(ISNUMBER(C167),C167&gt;TODAY(),C167&lt;=TODAY()+30),C167+ROW()/100000,"")</f>
        <v/>
      </c>
      <c r="M167" s="0" t="str">
        <f aca="false">IF(AND(ISNUMBER(C167),ISNUMBER(D167),C167&lt;=CALENDÁRIO!$L$4,D167&gt;=CALENDÁRIO!$L$4),ROW(),"")</f>
        <v/>
      </c>
    </row>
    <row r="168" customFormat="false" ht="15" hidden="false" customHeight="true" outlineLevel="0" collapsed="false">
      <c r="A168" s="52"/>
      <c r="B168" s="52"/>
      <c r="C168" s="51"/>
      <c r="D168" s="51"/>
      <c r="E168" s="52"/>
      <c r="F168" s="61" t="str">
        <f aca="false">IF(AND(ISNUMBER(C168),ISNUMBER(D168),D168&gt;=C168),D168-C168+1,"")</f>
        <v/>
      </c>
      <c r="G168" s="62" t="str">
        <f aca="false">IF(AND(ISNUMBER(C168),ISNUMBER(D168),D168&gt;=C168),WORKDAY(D168,1),"")</f>
        <v/>
      </c>
      <c r="H168" s="53" t="str">
        <f aca="true">IF(A168="","",IF(NOT(AND(ISNUMBER(C168),ISNUMBER(D168))),"Sem data definida",IF(D168&lt;C168,"⚠ Datas invertidas",IF(TODAY()&lt;C168,IF(C168-TODAY()=1,"Começa amanhã","Começa em "&amp;(C168-TODAY())&amp;" dias"),IF(TODAY()&gt;D168,"Concluídas",IF(TODAY()=D168,"EM FÉRIAS (último dia)","EM FÉRIAS (faltam "&amp;(D168-TODAY())&amp;" dias)"))))))</f>
        <v/>
      </c>
      <c r="I168" s="53" t="str">
        <f aca="false">IF(OR(A168="",NOT(AND(ISNUMBER(C168),ISNUMBER(D168)))),"",IF(D168-C168+1&gt;30,"⚠ Período acima de 30 dias",IF(COUNTIFS($B$2:$B$301,B168,$C$2:$C$301,"&lt;="&amp;D168,$D$2:$D$301,"&gt;="&amp;C168)&gt;1,"⚠ Coincide com férias de outro do setor","")))</f>
        <v/>
      </c>
      <c r="K168" s="0" t="str">
        <f aca="true">IF(AND(ISNUMBER(C168),ISNUMBER(D168),C168&lt;=TODAY(),D168&gt;=TODAY()),D168+ROW()/100000,"")</f>
        <v/>
      </c>
      <c r="L168" s="0" t="str">
        <f aca="true">IF(AND(ISNUMBER(C168),C168&gt;TODAY(),C168&lt;=TODAY()+30),C168+ROW()/100000,"")</f>
        <v/>
      </c>
      <c r="M168" s="0" t="str">
        <f aca="false">IF(AND(ISNUMBER(C168),ISNUMBER(D168),C168&lt;=CALENDÁRIO!$L$4,D168&gt;=CALENDÁRIO!$L$4),ROW(),"")</f>
        <v/>
      </c>
    </row>
    <row r="169" customFormat="false" ht="15" hidden="false" customHeight="true" outlineLevel="0" collapsed="false">
      <c r="A169" s="52"/>
      <c r="B169" s="52"/>
      <c r="C169" s="51"/>
      <c r="D169" s="51"/>
      <c r="E169" s="52"/>
      <c r="F169" s="61" t="str">
        <f aca="false">IF(AND(ISNUMBER(C169),ISNUMBER(D169),D169&gt;=C169),D169-C169+1,"")</f>
        <v/>
      </c>
      <c r="G169" s="62" t="str">
        <f aca="false">IF(AND(ISNUMBER(C169),ISNUMBER(D169),D169&gt;=C169),WORKDAY(D169,1),"")</f>
        <v/>
      </c>
      <c r="H169" s="53" t="str">
        <f aca="true">IF(A169="","",IF(NOT(AND(ISNUMBER(C169),ISNUMBER(D169))),"Sem data definida",IF(D169&lt;C169,"⚠ Datas invertidas",IF(TODAY()&lt;C169,IF(C169-TODAY()=1,"Começa amanhã","Começa em "&amp;(C169-TODAY())&amp;" dias"),IF(TODAY()&gt;D169,"Concluídas",IF(TODAY()=D169,"EM FÉRIAS (último dia)","EM FÉRIAS (faltam "&amp;(D169-TODAY())&amp;" dias)"))))))</f>
        <v/>
      </c>
      <c r="I169" s="53" t="str">
        <f aca="false">IF(OR(A169="",NOT(AND(ISNUMBER(C169),ISNUMBER(D169)))),"",IF(D169-C169+1&gt;30,"⚠ Período acima de 30 dias",IF(COUNTIFS($B$2:$B$301,B169,$C$2:$C$301,"&lt;="&amp;D169,$D$2:$D$301,"&gt;="&amp;C169)&gt;1,"⚠ Coincide com férias de outro do setor","")))</f>
        <v/>
      </c>
      <c r="K169" s="0" t="str">
        <f aca="true">IF(AND(ISNUMBER(C169),ISNUMBER(D169),C169&lt;=TODAY(),D169&gt;=TODAY()),D169+ROW()/100000,"")</f>
        <v/>
      </c>
      <c r="L169" s="0" t="str">
        <f aca="true">IF(AND(ISNUMBER(C169),C169&gt;TODAY(),C169&lt;=TODAY()+30),C169+ROW()/100000,"")</f>
        <v/>
      </c>
      <c r="M169" s="0" t="str">
        <f aca="false">IF(AND(ISNUMBER(C169),ISNUMBER(D169),C169&lt;=CALENDÁRIO!$L$4,D169&gt;=CALENDÁRIO!$L$4),ROW(),"")</f>
        <v/>
      </c>
    </row>
    <row r="170" customFormat="false" ht="15" hidden="false" customHeight="true" outlineLevel="0" collapsed="false">
      <c r="A170" s="52"/>
      <c r="B170" s="52"/>
      <c r="C170" s="51"/>
      <c r="D170" s="51"/>
      <c r="E170" s="52"/>
      <c r="F170" s="61" t="str">
        <f aca="false">IF(AND(ISNUMBER(C170),ISNUMBER(D170),D170&gt;=C170),D170-C170+1,"")</f>
        <v/>
      </c>
      <c r="G170" s="62" t="str">
        <f aca="false">IF(AND(ISNUMBER(C170),ISNUMBER(D170),D170&gt;=C170),WORKDAY(D170,1),"")</f>
        <v/>
      </c>
      <c r="H170" s="53" t="str">
        <f aca="true">IF(A170="","",IF(NOT(AND(ISNUMBER(C170),ISNUMBER(D170))),"Sem data definida",IF(D170&lt;C170,"⚠ Datas invertidas",IF(TODAY()&lt;C170,IF(C170-TODAY()=1,"Começa amanhã","Começa em "&amp;(C170-TODAY())&amp;" dias"),IF(TODAY()&gt;D170,"Concluídas",IF(TODAY()=D170,"EM FÉRIAS (último dia)","EM FÉRIAS (faltam "&amp;(D170-TODAY())&amp;" dias)"))))))</f>
        <v/>
      </c>
      <c r="I170" s="53" t="str">
        <f aca="false">IF(OR(A170="",NOT(AND(ISNUMBER(C170),ISNUMBER(D170)))),"",IF(D170-C170+1&gt;30,"⚠ Período acima de 30 dias",IF(COUNTIFS($B$2:$B$301,B170,$C$2:$C$301,"&lt;="&amp;D170,$D$2:$D$301,"&gt;="&amp;C170)&gt;1,"⚠ Coincide com férias de outro do setor","")))</f>
        <v/>
      </c>
      <c r="K170" s="0" t="str">
        <f aca="true">IF(AND(ISNUMBER(C170),ISNUMBER(D170),C170&lt;=TODAY(),D170&gt;=TODAY()),D170+ROW()/100000,"")</f>
        <v/>
      </c>
      <c r="L170" s="0" t="str">
        <f aca="true">IF(AND(ISNUMBER(C170),C170&gt;TODAY(),C170&lt;=TODAY()+30),C170+ROW()/100000,"")</f>
        <v/>
      </c>
      <c r="M170" s="0" t="str">
        <f aca="false">IF(AND(ISNUMBER(C170),ISNUMBER(D170),C170&lt;=CALENDÁRIO!$L$4,D170&gt;=CALENDÁRIO!$L$4),ROW(),"")</f>
        <v/>
      </c>
    </row>
    <row r="171" customFormat="false" ht="15" hidden="false" customHeight="true" outlineLevel="0" collapsed="false">
      <c r="A171" s="52"/>
      <c r="B171" s="52"/>
      <c r="C171" s="51"/>
      <c r="D171" s="51"/>
      <c r="E171" s="52"/>
      <c r="F171" s="61" t="str">
        <f aca="false">IF(AND(ISNUMBER(C171),ISNUMBER(D171),D171&gt;=C171),D171-C171+1,"")</f>
        <v/>
      </c>
      <c r="G171" s="62" t="str">
        <f aca="false">IF(AND(ISNUMBER(C171),ISNUMBER(D171),D171&gt;=C171),WORKDAY(D171,1),"")</f>
        <v/>
      </c>
      <c r="H171" s="53" t="str">
        <f aca="true">IF(A171="","",IF(NOT(AND(ISNUMBER(C171),ISNUMBER(D171))),"Sem data definida",IF(D171&lt;C171,"⚠ Datas invertidas",IF(TODAY()&lt;C171,IF(C171-TODAY()=1,"Começa amanhã","Começa em "&amp;(C171-TODAY())&amp;" dias"),IF(TODAY()&gt;D171,"Concluídas",IF(TODAY()=D171,"EM FÉRIAS (último dia)","EM FÉRIAS (faltam "&amp;(D171-TODAY())&amp;" dias)"))))))</f>
        <v/>
      </c>
      <c r="I171" s="53" t="str">
        <f aca="false">IF(OR(A171="",NOT(AND(ISNUMBER(C171),ISNUMBER(D171)))),"",IF(D171-C171+1&gt;30,"⚠ Período acima de 30 dias",IF(COUNTIFS($B$2:$B$301,B171,$C$2:$C$301,"&lt;="&amp;D171,$D$2:$D$301,"&gt;="&amp;C171)&gt;1,"⚠ Coincide com férias de outro do setor","")))</f>
        <v/>
      </c>
      <c r="K171" s="0" t="str">
        <f aca="true">IF(AND(ISNUMBER(C171),ISNUMBER(D171),C171&lt;=TODAY(),D171&gt;=TODAY()),D171+ROW()/100000,"")</f>
        <v/>
      </c>
      <c r="L171" s="0" t="str">
        <f aca="true">IF(AND(ISNUMBER(C171),C171&gt;TODAY(),C171&lt;=TODAY()+30),C171+ROW()/100000,"")</f>
        <v/>
      </c>
      <c r="M171" s="0" t="str">
        <f aca="false">IF(AND(ISNUMBER(C171),ISNUMBER(D171),C171&lt;=CALENDÁRIO!$L$4,D171&gt;=CALENDÁRIO!$L$4),ROW(),"")</f>
        <v/>
      </c>
    </row>
    <row r="172" customFormat="false" ht="15" hidden="false" customHeight="true" outlineLevel="0" collapsed="false">
      <c r="A172" s="52"/>
      <c r="B172" s="52"/>
      <c r="C172" s="51"/>
      <c r="D172" s="51"/>
      <c r="E172" s="52"/>
      <c r="F172" s="61" t="str">
        <f aca="false">IF(AND(ISNUMBER(C172),ISNUMBER(D172),D172&gt;=C172),D172-C172+1,"")</f>
        <v/>
      </c>
      <c r="G172" s="62" t="str">
        <f aca="false">IF(AND(ISNUMBER(C172),ISNUMBER(D172),D172&gt;=C172),WORKDAY(D172,1),"")</f>
        <v/>
      </c>
      <c r="H172" s="53" t="str">
        <f aca="true">IF(A172="","",IF(NOT(AND(ISNUMBER(C172),ISNUMBER(D172))),"Sem data definida",IF(D172&lt;C172,"⚠ Datas invertidas",IF(TODAY()&lt;C172,IF(C172-TODAY()=1,"Começa amanhã","Começa em "&amp;(C172-TODAY())&amp;" dias"),IF(TODAY()&gt;D172,"Concluídas",IF(TODAY()=D172,"EM FÉRIAS (último dia)","EM FÉRIAS (faltam "&amp;(D172-TODAY())&amp;" dias)"))))))</f>
        <v/>
      </c>
      <c r="I172" s="53" t="str">
        <f aca="false">IF(OR(A172="",NOT(AND(ISNUMBER(C172),ISNUMBER(D172)))),"",IF(D172-C172+1&gt;30,"⚠ Período acima de 30 dias",IF(COUNTIFS($B$2:$B$301,B172,$C$2:$C$301,"&lt;="&amp;D172,$D$2:$D$301,"&gt;="&amp;C172)&gt;1,"⚠ Coincide com férias de outro do setor","")))</f>
        <v/>
      </c>
      <c r="K172" s="0" t="str">
        <f aca="true">IF(AND(ISNUMBER(C172),ISNUMBER(D172),C172&lt;=TODAY(),D172&gt;=TODAY()),D172+ROW()/100000,"")</f>
        <v/>
      </c>
      <c r="L172" s="0" t="str">
        <f aca="true">IF(AND(ISNUMBER(C172),C172&gt;TODAY(),C172&lt;=TODAY()+30),C172+ROW()/100000,"")</f>
        <v/>
      </c>
      <c r="M172" s="0" t="str">
        <f aca="false">IF(AND(ISNUMBER(C172),ISNUMBER(D172),C172&lt;=CALENDÁRIO!$L$4,D172&gt;=CALENDÁRIO!$L$4),ROW(),"")</f>
        <v/>
      </c>
    </row>
    <row r="173" customFormat="false" ht="15" hidden="false" customHeight="true" outlineLevel="0" collapsed="false">
      <c r="A173" s="52"/>
      <c r="B173" s="52"/>
      <c r="C173" s="51"/>
      <c r="D173" s="51"/>
      <c r="E173" s="52"/>
      <c r="F173" s="61" t="str">
        <f aca="false">IF(AND(ISNUMBER(C173),ISNUMBER(D173),D173&gt;=C173),D173-C173+1,"")</f>
        <v/>
      </c>
      <c r="G173" s="62" t="str">
        <f aca="false">IF(AND(ISNUMBER(C173),ISNUMBER(D173),D173&gt;=C173),WORKDAY(D173,1),"")</f>
        <v/>
      </c>
      <c r="H173" s="53" t="str">
        <f aca="true">IF(A173="","",IF(NOT(AND(ISNUMBER(C173),ISNUMBER(D173))),"Sem data definida",IF(D173&lt;C173,"⚠ Datas invertidas",IF(TODAY()&lt;C173,IF(C173-TODAY()=1,"Começa amanhã","Começa em "&amp;(C173-TODAY())&amp;" dias"),IF(TODAY()&gt;D173,"Concluídas",IF(TODAY()=D173,"EM FÉRIAS (último dia)","EM FÉRIAS (faltam "&amp;(D173-TODAY())&amp;" dias)"))))))</f>
        <v/>
      </c>
      <c r="I173" s="53" t="str">
        <f aca="false">IF(OR(A173="",NOT(AND(ISNUMBER(C173),ISNUMBER(D173)))),"",IF(D173-C173+1&gt;30,"⚠ Período acima de 30 dias",IF(COUNTIFS($B$2:$B$301,B173,$C$2:$C$301,"&lt;="&amp;D173,$D$2:$D$301,"&gt;="&amp;C173)&gt;1,"⚠ Coincide com férias de outro do setor","")))</f>
        <v/>
      </c>
      <c r="K173" s="0" t="str">
        <f aca="true">IF(AND(ISNUMBER(C173),ISNUMBER(D173),C173&lt;=TODAY(),D173&gt;=TODAY()),D173+ROW()/100000,"")</f>
        <v/>
      </c>
      <c r="L173" s="0" t="str">
        <f aca="true">IF(AND(ISNUMBER(C173),C173&gt;TODAY(),C173&lt;=TODAY()+30),C173+ROW()/100000,"")</f>
        <v/>
      </c>
      <c r="M173" s="0" t="str">
        <f aca="false">IF(AND(ISNUMBER(C173),ISNUMBER(D173),C173&lt;=CALENDÁRIO!$L$4,D173&gt;=CALENDÁRIO!$L$4),ROW(),"")</f>
        <v/>
      </c>
    </row>
    <row r="174" customFormat="false" ht="15" hidden="false" customHeight="true" outlineLevel="0" collapsed="false">
      <c r="A174" s="52"/>
      <c r="B174" s="52"/>
      <c r="C174" s="51"/>
      <c r="D174" s="51"/>
      <c r="E174" s="52"/>
      <c r="F174" s="61" t="str">
        <f aca="false">IF(AND(ISNUMBER(C174),ISNUMBER(D174),D174&gt;=C174),D174-C174+1,"")</f>
        <v/>
      </c>
      <c r="G174" s="62" t="str">
        <f aca="false">IF(AND(ISNUMBER(C174),ISNUMBER(D174),D174&gt;=C174),WORKDAY(D174,1),"")</f>
        <v/>
      </c>
      <c r="H174" s="53" t="str">
        <f aca="true">IF(A174="","",IF(NOT(AND(ISNUMBER(C174),ISNUMBER(D174))),"Sem data definida",IF(D174&lt;C174,"⚠ Datas invertidas",IF(TODAY()&lt;C174,IF(C174-TODAY()=1,"Começa amanhã","Começa em "&amp;(C174-TODAY())&amp;" dias"),IF(TODAY()&gt;D174,"Concluídas",IF(TODAY()=D174,"EM FÉRIAS (último dia)","EM FÉRIAS (faltam "&amp;(D174-TODAY())&amp;" dias)"))))))</f>
        <v/>
      </c>
      <c r="I174" s="53" t="str">
        <f aca="false">IF(OR(A174="",NOT(AND(ISNUMBER(C174),ISNUMBER(D174)))),"",IF(D174-C174+1&gt;30,"⚠ Período acima de 30 dias",IF(COUNTIFS($B$2:$B$301,B174,$C$2:$C$301,"&lt;="&amp;D174,$D$2:$D$301,"&gt;="&amp;C174)&gt;1,"⚠ Coincide com férias de outro do setor","")))</f>
        <v/>
      </c>
      <c r="K174" s="0" t="str">
        <f aca="true">IF(AND(ISNUMBER(C174),ISNUMBER(D174),C174&lt;=TODAY(),D174&gt;=TODAY()),D174+ROW()/100000,"")</f>
        <v/>
      </c>
      <c r="L174" s="0" t="str">
        <f aca="true">IF(AND(ISNUMBER(C174),C174&gt;TODAY(),C174&lt;=TODAY()+30),C174+ROW()/100000,"")</f>
        <v/>
      </c>
      <c r="M174" s="0" t="str">
        <f aca="false">IF(AND(ISNUMBER(C174),ISNUMBER(D174),C174&lt;=CALENDÁRIO!$L$4,D174&gt;=CALENDÁRIO!$L$4),ROW(),"")</f>
        <v/>
      </c>
    </row>
    <row r="175" customFormat="false" ht="15" hidden="false" customHeight="true" outlineLevel="0" collapsed="false">
      <c r="A175" s="52"/>
      <c r="B175" s="52"/>
      <c r="C175" s="51"/>
      <c r="D175" s="51"/>
      <c r="E175" s="52"/>
      <c r="F175" s="61" t="str">
        <f aca="false">IF(AND(ISNUMBER(C175),ISNUMBER(D175),D175&gt;=C175),D175-C175+1,"")</f>
        <v/>
      </c>
      <c r="G175" s="62" t="str">
        <f aca="false">IF(AND(ISNUMBER(C175),ISNUMBER(D175),D175&gt;=C175),WORKDAY(D175,1),"")</f>
        <v/>
      </c>
      <c r="H175" s="53" t="str">
        <f aca="true">IF(A175="","",IF(NOT(AND(ISNUMBER(C175),ISNUMBER(D175))),"Sem data definida",IF(D175&lt;C175,"⚠ Datas invertidas",IF(TODAY()&lt;C175,IF(C175-TODAY()=1,"Começa amanhã","Começa em "&amp;(C175-TODAY())&amp;" dias"),IF(TODAY()&gt;D175,"Concluídas",IF(TODAY()=D175,"EM FÉRIAS (último dia)","EM FÉRIAS (faltam "&amp;(D175-TODAY())&amp;" dias)"))))))</f>
        <v/>
      </c>
      <c r="I175" s="53" t="str">
        <f aca="false">IF(OR(A175="",NOT(AND(ISNUMBER(C175),ISNUMBER(D175)))),"",IF(D175-C175+1&gt;30,"⚠ Período acima de 30 dias",IF(COUNTIFS($B$2:$B$301,B175,$C$2:$C$301,"&lt;="&amp;D175,$D$2:$D$301,"&gt;="&amp;C175)&gt;1,"⚠ Coincide com férias de outro do setor","")))</f>
        <v/>
      </c>
      <c r="K175" s="0" t="str">
        <f aca="true">IF(AND(ISNUMBER(C175),ISNUMBER(D175),C175&lt;=TODAY(),D175&gt;=TODAY()),D175+ROW()/100000,"")</f>
        <v/>
      </c>
      <c r="L175" s="0" t="str">
        <f aca="true">IF(AND(ISNUMBER(C175),C175&gt;TODAY(),C175&lt;=TODAY()+30),C175+ROW()/100000,"")</f>
        <v/>
      </c>
      <c r="M175" s="0" t="str">
        <f aca="false">IF(AND(ISNUMBER(C175),ISNUMBER(D175),C175&lt;=CALENDÁRIO!$L$4,D175&gt;=CALENDÁRIO!$L$4),ROW(),"")</f>
        <v/>
      </c>
    </row>
    <row r="176" customFormat="false" ht="15" hidden="false" customHeight="true" outlineLevel="0" collapsed="false">
      <c r="A176" s="52"/>
      <c r="B176" s="52"/>
      <c r="C176" s="51"/>
      <c r="D176" s="51"/>
      <c r="E176" s="52"/>
      <c r="F176" s="61" t="str">
        <f aca="false">IF(AND(ISNUMBER(C176),ISNUMBER(D176),D176&gt;=C176),D176-C176+1,"")</f>
        <v/>
      </c>
      <c r="G176" s="62" t="str">
        <f aca="false">IF(AND(ISNUMBER(C176),ISNUMBER(D176),D176&gt;=C176),WORKDAY(D176,1),"")</f>
        <v/>
      </c>
      <c r="H176" s="53" t="str">
        <f aca="true">IF(A176="","",IF(NOT(AND(ISNUMBER(C176),ISNUMBER(D176))),"Sem data definida",IF(D176&lt;C176,"⚠ Datas invertidas",IF(TODAY()&lt;C176,IF(C176-TODAY()=1,"Começa amanhã","Começa em "&amp;(C176-TODAY())&amp;" dias"),IF(TODAY()&gt;D176,"Concluídas",IF(TODAY()=D176,"EM FÉRIAS (último dia)","EM FÉRIAS (faltam "&amp;(D176-TODAY())&amp;" dias)"))))))</f>
        <v/>
      </c>
      <c r="I176" s="53" t="str">
        <f aca="false">IF(OR(A176="",NOT(AND(ISNUMBER(C176),ISNUMBER(D176)))),"",IF(D176-C176+1&gt;30,"⚠ Período acima de 30 dias",IF(COUNTIFS($B$2:$B$301,B176,$C$2:$C$301,"&lt;="&amp;D176,$D$2:$D$301,"&gt;="&amp;C176)&gt;1,"⚠ Coincide com férias de outro do setor","")))</f>
        <v/>
      </c>
      <c r="K176" s="0" t="str">
        <f aca="true">IF(AND(ISNUMBER(C176),ISNUMBER(D176),C176&lt;=TODAY(),D176&gt;=TODAY()),D176+ROW()/100000,"")</f>
        <v/>
      </c>
      <c r="L176" s="0" t="str">
        <f aca="true">IF(AND(ISNUMBER(C176),C176&gt;TODAY(),C176&lt;=TODAY()+30),C176+ROW()/100000,"")</f>
        <v/>
      </c>
      <c r="M176" s="0" t="str">
        <f aca="false">IF(AND(ISNUMBER(C176),ISNUMBER(D176),C176&lt;=CALENDÁRIO!$L$4,D176&gt;=CALENDÁRIO!$L$4),ROW(),"")</f>
        <v/>
      </c>
    </row>
    <row r="177" customFormat="false" ht="15" hidden="false" customHeight="true" outlineLevel="0" collapsed="false">
      <c r="A177" s="52"/>
      <c r="B177" s="52"/>
      <c r="C177" s="51"/>
      <c r="D177" s="51"/>
      <c r="E177" s="52"/>
      <c r="F177" s="61" t="str">
        <f aca="false">IF(AND(ISNUMBER(C177),ISNUMBER(D177),D177&gt;=C177),D177-C177+1,"")</f>
        <v/>
      </c>
      <c r="G177" s="62" t="str">
        <f aca="false">IF(AND(ISNUMBER(C177),ISNUMBER(D177),D177&gt;=C177),WORKDAY(D177,1),"")</f>
        <v/>
      </c>
      <c r="H177" s="53" t="str">
        <f aca="true">IF(A177="","",IF(NOT(AND(ISNUMBER(C177),ISNUMBER(D177))),"Sem data definida",IF(D177&lt;C177,"⚠ Datas invertidas",IF(TODAY()&lt;C177,IF(C177-TODAY()=1,"Começa amanhã","Começa em "&amp;(C177-TODAY())&amp;" dias"),IF(TODAY()&gt;D177,"Concluídas",IF(TODAY()=D177,"EM FÉRIAS (último dia)","EM FÉRIAS (faltam "&amp;(D177-TODAY())&amp;" dias)"))))))</f>
        <v/>
      </c>
      <c r="I177" s="53" t="str">
        <f aca="false">IF(OR(A177="",NOT(AND(ISNUMBER(C177),ISNUMBER(D177)))),"",IF(D177-C177+1&gt;30,"⚠ Período acima de 30 dias",IF(COUNTIFS($B$2:$B$301,B177,$C$2:$C$301,"&lt;="&amp;D177,$D$2:$D$301,"&gt;="&amp;C177)&gt;1,"⚠ Coincide com férias de outro do setor","")))</f>
        <v/>
      </c>
      <c r="K177" s="0" t="str">
        <f aca="true">IF(AND(ISNUMBER(C177),ISNUMBER(D177),C177&lt;=TODAY(),D177&gt;=TODAY()),D177+ROW()/100000,"")</f>
        <v/>
      </c>
      <c r="L177" s="0" t="str">
        <f aca="true">IF(AND(ISNUMBER(C177),C177&gt;TODAY(),C177&lt;=TODAY()+30),C177+ROW()/100000,"")</f>
        <v/>
      </c>
      <c r="M177" s="0" t="str">
        <f aca="false">IF(AND(ISNUMBER(C177),ISNUMBER(D177),C177&lt;=CALENDÁRIO!$L$4,D177&gt;=CALENDÁRIO!$L$4),ROW(),"")</f>
        <v/>
      </c>
    </row>
    <row r="178" customFormat="false" ht="15" hidden="false" customHeight="true" outlineLevel="0" collapsed="false">
      <c r="A178" s="52"/>
      <c r="B178" s="52"/>
      <c r="C178" s="51"/>
      <c r="D178" s="51"/>
      <c r="E178" s="52"/>
      <c r="F178" s="61" t="str">
        <f aca="false">IF(AND(ISNUMBER(C178),ISNUMBER(D178),D178&gt;=C178),D178-C178+1,"")</f>
        <v/>
      </c>
      <c r="G178" s="62" t="str">
        <f aca="false">IF(AND(ISNUMBER(C178),ISNUMBER(D178),D178&gt;=C178),WORKDAY(D178,1),"")</f>
        <v/>
      </c>
      <c r="H178" s="53" t="str">
        <f aca="true">IF(A178="","",IF(NOT(AND(ISNUMBER(C178),ISNUMBER(D178))),"Sem data definida",IF(D178&lt;C178,"⚠ Datas invertidas",IF(TODAY()&lt;C178,IF(C178-TODAY()=1,"Começa amanhã","Começa em "&amp;(C178-TODAY())&amp;" dias"),IF(TODAY()&gt;D178,"Concluídas",IF(TODAY()=D178,"EM FÉRIAS (último dia)","EM FÉRIAS (faltam "&amp;(D178-TODAY())&amp;" dias)"))))))</f>
        <v/>
      </c>
      <c r="I178" s="53" t="str">
        <f aca="false">IF(OR(A178="",NOT(AND(ISNUMBER(C178),ISNUMBER(D178)))),"",IF(D178-C178+1&gt;30,"⚠ Período acima de 30 dias",IF(COUNTIFS($B$2:$B$301,B178,$C$2:$C$301,"&lt;="&amp;D178,$D$2:$D$301,"&gt;="&amp;C178)&gt;1,"⚠ Coincide com férias de outro do setor","")))</f>
        <v/>
      </c>
      <c r="K178" s="0" t="str">
        <f aca="true">IF(AND(ISNUMBER(C178),ISNUMBER(D178),C178&lt;=TODAY(),D178&gt;=TODAY()),D178+ROW()/100000,"")</f>
        <v/>
      </c>
      <c r="L178" s="0" t="str">
        <f aca="true">IF(AND(ISNUMBER(C178),C178&gt;TODAY(),C178&lt;=TODAY()+30),C178+ROW()/100000,"")</f>
        <v/>
      </c>
      <c r="M178" s="0" t="str">
        <f aca="false">IF(AND(ISNUMBER(C178),ISNUMBER(D178),C178&lt;=CALENDÁRIO!$L$4,D178&gt;=CALENDÁRIO!$L$4),ROW(),"")</f>
        <v/>
      </c>
    </row>
    <row r="179" customFormat="false" ht="15" hidden="false" customHeight="true" outlineLevel="0" collapsed="false">
      <c r="A179" s="52"/>
      <c r="B179" s="52"/>
      <c r="C179" s="51"/>
      <c r="D179" s="51"/>
      <c r="E179" s="52"/>
      <c r="F179" s="61" t="str">
        <f aca="false">IF(AND(ISNUMBER(C179),ISNUMBER(D179),D179&gt;=C179),D179-C179+1,"")</f>
        <v/>
      </c>
      <c r="G179" s="62" t="str">
        <f aca="false">IF(AND(ISNUMBER(C179),ISNUMBER(D179),D179&gt;=C179),WORKDAY(D179,1),"")</f>
        <v/>
      </c>
      <c r="H179" s="53" t="str">
        <f aca="true">IF(A179="","",IF(NOT(AND(ISNUMBER(C179),ISNUMBER(D179))),"Sem data definida",IF(D179&lt;C179,"⚠ Datas invertidas",IF(TODAY()&lt;C179,IF(C179-TODAY()=1,"Começa amanhã","Começa em "&amp;(C179-TODAY())&amp;" dias"),IF(TODAY()&gt;D179,"Concluídas",IF(TODAY()=D179,"EM FÉRIAS (último dia)","EM FÉRIAS (faltam "&amp;(D179-TODAY())&amp;" dias)"))))))</f>
        <v/>
      </c>
      <c r="I179" s="53" t="str">
        <f aca="false">IF(OR(A179="",NOT(AND(ISNUMBER(C179),ISNUMBER(D179)))),"",IF(D179-C179+1&gt;30,"⚠ Período acima de 30 dias",IF(COUNTIFS($B$2:$B$301,B179,$C$2:$C$301,"&lt;="&amp;D179,$D$2:$D$301,"&gt;="&amp;C179)&gt;1,"⚠ Coincide com férias de outro do setor","")))</f>
        <v/>
      </c>
      <c r="K179" s="0" t="str">
        <f aca="true">IF(AND(ISNUMBER(C179),ISNUMBER(D179),C179&lt;=TODAY(),D179&gt;=TODAY()),D179+ROW()/100000,"")</f>
        <v/>
      </c>
      <c r="L179" s="0" t="str">
        <f aca="true">IF(AND(ISNUMBER(C179),C179&gt;TODAY(),C179&lt;=TODAY()+30),C179+ROW()/100000,"")</f>
        <v/>
      </c>
      <c r="M179" s="0" t="str">
        <f aca="false">IF(AND(ISNUMBER(C179),ISNUMBER(D179),C179&lt;=CALENDÁRIO!$L$4,D179&gt;=CALENDÁRIO!$L$4),ROW(),"")</f>
        <v/>
      </c>
    </row>
    <row r="180" customFormat="false" ht="15" hidden="false" customHeight="true" outlineLevel="0" collapsed="false">
      <c r="A180" s="52"/>
      <c r="B180" s="52"/>
      <c r="C180" s="51"/>
      <c r="D180" s="51"/>
      <c r="E180" s="52"/>
      <c r="F180" s="61" t="str">
        <f aca="false">IF(AND(ISNUMBER(C180),ISNUMBER(D180),D180&gt;=C180),D180-C180+1,"")</f>
        <v/>
      </c>
      <c r="G180" s="62" t="str">
        <f aca="false">IF(AND(ISNUMBER(C180),ISNUMBER(D180),D180&gt;=C180),WORKDAY(D180,1),"")</f>
        <v/>
      </c>
      <c r="H180" s="53" t="str">
        <f aca="true">IF(A180="","",IF(NOT(AND(ISNUMBER(C180),ISNUMBER(D180))),"Sem data definida",IF(D180&lt;C180,"⚠ Datas invertidas",IF(TODAY()&lt;C180,IF(C180-TODAY()=1,"Começa amanhã","Começa em "&amp;(C180-TODAY())&amp;" dias"),IF(TODAY()&gt;D180,"Concluídas",IF(TODAY()=D180,"EM FÉRIAS (último dia)","EM FÉRIAS (faltam "&amp;(D180-TODAY())&amp;" dias)"))))))</f>
        <v/>
      </c>
      <c r="I180" s="53" t="str">
        <f aca="false">IF(OR(A180="",NOT(AND(ISNUMBER(C180),ISNUMBER(D180)))),"",IF(D180-C180+1&gt;30,"⚠ Período acima de 30 dias",IF(COUNTIFS($B$2:$B$301,B180,$C$2:$C$301,"&lt;="&amp;D180,$D$2:$D$301,"&gt;="&amp;C180)&gt;1,"⚠ Coincide com férias de outro do setor","")))</f>
        <v/>
      </c>
      <c r="K180" s="0" t="str">
        <f aca="true">IF(AND(ISNUMBER(C180),ISNUMBER(D180),C180&lt;=TODAY(),D180&gt;=TODAY()),D180+ROW()/100000,"")</f>
        <v/>
      </c>
      <c r="L180" s="0" t="str">
        <f aca="true">IF(AND(ISNUMBER(C180),C180&gt;TODAY(),C180&lt;=TODAY()+30),C180+ROW()/100000,"")</f>
        <v/>
      </c>
      <c r="M180" s="0" t="str">
        <f aca="false">IF(AND(ISNUMBER(C180),ISNUMBER(D180),C180&lt;=CALENDÁRIO!$L$4,D180&gt;=CALENDÁRIO!$L$4),ROW(),"")</f>
        <v/>
      </c>
    </row>
    <row r="181" customFormat="false" ht="15" hidden="false" customHeight="true" outlineLevel="0" collapsed="false">
      <c r="A181" s="52"/>
      <c r="B181" s="52"/>
      <c r="C181" s="51"/>
      <c r="D181" s="51"/>
      <c r="E181" s="52"/>
      <c r="F181" s="61" t="str">
        <f aca="false">IF(AND(ISNUMBER(C181),ISNUMBER(D181),D181&gt;=C181),D181-C181+1,"")</f>
        <v/>
      </c>
      <c r="G181" s="62" t="str">
        <f aca="false">IF(AND(ISNUMBER(C181),ISNUMBER(D181),D181&gt;=C181),WORKDAY(D181,1),"")</f>
        <v/>
      </c>
      <c r="H181" s="53" t="str">
        <f aca="true">IF(A181="","",IF(NOT(AND(ISNUMBER(C181),ISNUMBER(D181))),"Sem data definida",IF(D181&lt;C181,"⚠ Datas invertidas",IF(TODAY()&lt;C181,IF(C181-TODAY()=1,"Começa amanhã","Começa em "&amp;(C181-TODAY())&amp;" dias"),IF(TODAY()&gt;D181,"Concluídas",IF(TODAY()=D181,"EM FÉRIAS (último dia)","EM FÉRIAS (faltam "&amp;(D181-TODAY())&amp;" dias)"))))))</f>
        <v/>
      </c>
      <c r="I181" s="53" t="str">
        <f aca="false">IF(OR(A181="",NOT(AND(ISNUMBER(C181),ISNUMBER(D181)))),"",IF(D181-C181+1&gt;30,"⚠ Período acima de 30 dias",IF(COUNTIFS($B$2:$B$301,B181,$C$2:$C$301,"&lt;="&amp;D181,$D$2:$D$301,"&gt;="&amp;C181)&gt;1,"⚠ Coincide com férias de outro do setor","")))</f>
        <v/>
      </c>
      <c r="K181" s="0" t="str">
        <f aca="true">IF(AND(ISNUMBER(C181),ISNUMBER(D181),C181&lt;=TODAY(),D181&gt;=TODAY()),D181+ROW()/100000,"")</f>
        <v/>
      </c>
      <c r="L181" s="0" t="str">
        <f aca="true">IF(AND(ISNUMBER(C181),C181&gt;TODAY(),C181&lt;=TODAY()+30),C181+ROW()/100000,"")</f>
        <v/>
      </c>
      <c r="M181" s="0" t="str">
        <f aca="false">IF(AND(ISNUMBER(C181),ISNUMBER(D181),C181&lt;=CALENDÁRIO!$L$4,D181&gt;=CALENDÁRIO!$L$4),ROW(),"")</f>
        <v/>
      </c>
    </row>
    <row r="182" customFormat="false" ht="15" hidden="false" customHeight="true" outlineLevel="0" collapsed="false">
      <c r="A182" s="52"/>
      <c r="B182" s="52"/>
      <c r="C182" s="51"/>
      <c r="D182" s="51"/>
      <c r="E182" s="52"/>
      <c r="F182" s="61" t="str">
        <f aca="false">IF(AND(ISNUMBER(C182),ISNUMBER(D182),D182&gt;=C182),D182-C182+1,"")</f>
        <v/>
      </c>
      <c r="G182" s="62" t="str">
        <f aca="false">IF(AND(ISNUMBER(C182),ISNUMBER(D182),D182&gt;=C182),WORKDAY(D182,1),"")</f>
        <v/>
      </c>
      <c r="H182" s="53" t="str">
        <f aca="true">IF(A182="","",IF(NOT(AND(ISNUMBER(C182),ISNUMBER(D182))),"Sem data definida",IF(D182&lt;C182,"⚠ Datas invertidas",IF(TODAY()&lt;C182,IF(C182-TODAY()=1,"Começa amanhã","Começa em "&amp;(C182-TODAY())&amp;" dias"),IF(TODAY()&gt;D182,"Concluídas",IF(TODAY()=D182,"EM FÉRIAS (último dia)","EM FÉRIAS (faltam "&amp;(D182-TODAY())&amp;" dias)"))))))</f>
        <v/>
      </c>
      <c r="I182" s="53" t="str">
        <f aca="false">IF(OR(A182="",NOT(AND(ISNUMBER(C182),ISNUMBER(D182)))),"",IF(D182-C182+1&gt;30,"⚠ Período acima de 30 dias",IF(COUNTIFS($B$2:$B$301,B182,$C$2:$C$301,"&lt;="&amp;D182,$D$2:$D$301,"&gt;="&amp;C182)&gt;1,"⚠ Coincide com férias de outro do setor","")))</f>
        <v/>
      </c>
      <c r="K182" s="0" t="str">
        <f aca="true">IF(AND(ISNUMBER(C182),ISNUMBER(D182),C182&lt;=TODAY(),D182&gt;=TODAY()),D182+ROW()/100000,"")</f>
        <v/>
      </c>
      <c r="L182" s="0" t="str">
        <f aca="true">IF(AND(ISNUMBER(C182),C182&gt;TODAY(),C182&lt;=TODAY()+30),C182+ROW()/100000,"")</f>
        <v/>
      </c>
      <c r="M182" s="0" t="str">
        <f aca="false">IF(AND(ISNUMBER(C182),ISNUMBER(D182),C182&lt;=CALENDÁRIO!$L$4,D182&gt;=CALENDÁRIO!$L$4),ROW(),"")</f>
        <v/>
      </c>
    </row>
    <row r="183" customFormat="false" ht="15" hidden="false" customHeight="true" outlineLevel="0" collapsed="false">
      <c r="A183" s="52"/>
      <c r="B183" s="52"/>
      <c r="C183" s="51"/>
      <c r="D183" s="51"/>
      <c r="E183" s="52"/>
      <c r="F183" s="61" t="str">
        <f aca="false">IF(AND(ISNUMBER(C183),ISNUMBER(D183),D183&gt;=C183),D183-C183+1,"")</f>
        <v/>
      </c>
      <c r="G183" s="62" t="str">
        <f aca="false">IF(AND(ISNUMBER(C183),ISNUMBER(D183),D183&gt;=C183),WORKDAY(D183,1),"")</f>
        <v/>
      </c>
      <c r="H183" s="53" t="str">
        <f aca="true">IF(A183="","",IF(NOT(AND(ISNUMBER(C183),ISNUMBER(D183))),"Sem data definida",IF(D183&lt;C183,"⚠ Datas invertidas",IF(TODAY()&lt;C183,IF(C183-TODAY()=1,"Começa amanhã","Começa em "&amp;(C183-TODAY())&amp;" dias"),IF(TODAY()&gt;D183,"Concluídas",IF(TODAY()=D183,"EM FÉRIAS (último dia)","EM FÉRIAS (faltam "&amp;(D183-TODAY())&amp;" dias)"))))))</f>
        <v/>
      </c>
      <c r="I183" s="53" t="str">
        <f aca="false">IF(OR(A183="",NOT(AND(ISNUMBER(C183),ISNUMBER(D183)))),"",IF(D183-C183+1&gt;30,"⚠ Período acima de 30 dias",IF(COUNTIFS($B$2:$B$301,B183,$C$2:$C$301,"&lt;="&amp;D183,$D$2:$D$301,"&gt;="&amp;C183)&gt;1,"⚠ Coincide com férias de outro do setor","")))</f>
        <v/>
      </c>
      <c r="K183" s="0" t="str">
        <f aca="true">IF(AND(ISNUMBER(C183),ISNUMBER(D183),C183&lt;=TODAY(),D183&gt;=TODAY()),D183+ROW()/100000,"")</f>
        <v/>
      </c>
      <c r="L183" s="0" t="str">
        <f aca="true">IF(AND(ISNUMBER(C183),C183&gt;TODAY(),C183&lt;=TODAY()+30),C183+ROW()/100000,"")</f>
        <v/>
      </c>
      <c r="M183" s="0" t="str">
        <f aca="false">IF(AND(ISNUMBER(C183),ISNUMBER(D183),C183&lt;=CALENDÁRIO!$L$4,D183&gt;=CALENDÁRIO!$L$4),ROW(),"")</f>
        <v/>
      </c>
    </row>
    <row r="184" customFormat="false" ht="15" hidden="false" customHeight="true" outlineLevel="0" collapsed="false">
      <c r="A184" s="52"/>
      <c r="B184" s="52"/>
      <c r="C184" s="51"/>
      <c r="D184" s="51"/>
      <c r="E184" s="52"/>
      <c r="F184" s="61" t="str">
        <f aca="false">IF(AND(ISNUMBER(C184),ISNUMBER(D184),D184&gt;=C184),D184-C184+1,"")</f>
        <v/>
      </c>
      <c r="G184" s="62" t="str">
        <f aca="false">IF(AND(ISNUMBER(C184),ISNUMBER(D184),D184&gt;=C184),WORKDAY(D184,1),"")</f>
        <v/>
      </c>
      <c r="H184" s="53" t="str">
        <f aca="true">IF(A184="","",IF(NOT(AND(ISNUMBER(C184),ISNUMBER(D184))),"Sem data definida",IF(D184&lt;C184,"⚠ Datas invertidas",IF(TODAY()&lt;C184,IF(C184-TODAY()=1,"Começa amanhã","Começa em "&amp;(C184-TODAY())&amp;" dias"),IF(TODAY()&gt;D184,"Concluídas",IF(TODAY()=D184,"EM FÉRIAS (último dia)","EM FÉRIAS (faltam "&amp;(D184-TODAY())&amp;" dias)"))))))</f>
        <v/>
      </c>
      <c r="I184" s="53" t="str">
        <f aca="false">IF(OR(A184="",NOT(AND(ISNUMBER(C184),ISNUMBER(D184)))),"",IF(D184-C184+1&gt;30,"⚠ Período acima de 30 dias",IF(COUNTIFS($B$2:$B$301,B184,$C$2:$C$301,"&lt;="&amp;D184,$D$2:$D$301,"&gt;="&amp;C184)&gt;1,"⚠ Coincide com férias de outro do setor","")))</f>
        <v/>
      </c>
      <c r="K184" s="0" t="str">
        <f aca="true">IF(AND(ISNUMBER(C184),ISNUMBER(D184),C184&lt;=TODAY(),D184&gt;=TODAY()),D184+ROW()/100000,"")</f>
        <v/>
      </c>
      <c r="L184" s="0" t="str">
        <f aca="true">IF(AND(ISNUMBER(C184),C184&gt;TODAY(),C184&lt;=TODAY()+30),C184+ROW()/100000,"")</f>
        <v/>
      </c>
      <c r="M184" s="0" t="str">
        <f aca="false">IF(AND(ISNUMBER(C184),ISNUMBER(D184),C184&lt;=CALENDÁRIO!$L$4,D184&gt;=CALENDÁRIO!$L$4),ROW(),"")</f>
        <v/>
      </c>
    </row>
    <row r="185" customFormat="false" ht="15" hidden="false" customHeight="true" outlineLevel="0" collapsed="false">
      <c r="A185" s="52"/>
      <c r="B185" s="52"/>
      <c r="C185" s="51"/>
      <c r="D185" s="51"/>
      <c r="E185" s="52"/>
      <c r="F185" s="61" t="str">
        <f aca="false">IF(AND(ISNUMBER(C185),ISNUMBER(D185),D185&gt;=C185),D185-C185+1,"")</f>
        <v/>
      </c>
      <c r="G185" s="62" t="str">
        <f aca="false">IF(AND(ISNUMBER(C185),ISNUMBER(D185),D185&gt;=C185),WORKDAY(D185,1),"")</f>
        <v/>
      </c>
      <c r="H185" s="53" t="str">
        <f aca="true">IF(A185="","",IF(NOT(AND(ISNUMBER(C185),ISNUMBER(D185))),"Sem data definida",IF(D185&lt;C185,"⚠ Datas invertidas",IF(TODAY()&lt;C185,IF(C185-TODAY()=1,"Começa amanhã","Começa em "&amp;(C185-TODAY())&amp;" dias"),IF(TODAY()&gt;D185,"Concluídas",IF(TODAY()=D185,"EM FÉRIAS (último dia)","EM FÉRIAS (faltam "&amp;(D185-TODAY())&amp;" dias)"))))))</f>
        <v/>
      </c>
      <c r="I185" s="53" t="str">
        <f aca="false">IF(OR(A185="",NOT(AND(ISNUMBER(C185),ISNUMBER(D185)))),"",IF(D185-C185+1&gt;30,"⚠ Período acima de 30 dias",IF(COUNTIFS($B$2:$B$301,B185,$C$2:$C$301,"&lt;="&amp;D185,$D$2:$D$301,"&gt;="&amp;C185)&gt;1,"⚠ Coincide com férias de outro do setor","")))</f>
        <v/>
      </c>
      <c r="K185" s="0" t="str">
        <f aca="true">IF(AND(ISNUMBER(C185),ISNUMBER(D185),C185&lt;=TODAY(),D185&gt;=TODAY()),D185+ROW()/100000,"")</f>
        <v/>
      </c>
      <c r="L185" s="0" t="str">
        <f aca="true">IF(AND(ISNUMBER(C185),C185&gt;TODAY(),C185&lt;=TODAY()+30),C185+ROW()/100000,"")</f>
        <v/>
      </c>
      <c r="M185" s="0" t="str">
        <f aca="false">IF(AND(ISNUMBER(C185),ISNUMBER(D185),C185&lt;=CALENDÁRIO!$L$4,D185&gt;=CALENDÁRIO!$L$4),ROW(),"")</f>
        <v/>
      </c>
    </row>
    <row r="186" customFormat="false" ht="15" hidden="false" customHeight="true" outlineLevel="0" collapsed="false">
      <c r="A186" s="52"/>
      <c r="B186" s="52"/>
      <c r="C186" s="51"/>
      <c r="D186" s="51"/>
      <c r="E186" s="52"/>
      <c r="F186" s="61" t="str">
        <f aca="false">IF(AND(ISNUMBER(C186),ISNUMBER(D186),D186&gt;=C186),D186-C186+1,"")</f>
        <v/>
      </c>
      <c r="G186" s="62" t="str">
        <f aca="false">IF(AND(ISNUMBER(C186),ISNUMBER(D186),D186&gt;=C186),WORKDAY(D186,1),"")</f>
        <v/>
      </c>
      <c r="H186" s="53" t="str">
        <f aca="true">IF(A186="","",IF(NOT(AND(ISNUMBER(C186),ISNUMBER(D186))),"Sem data definida",IF(D186&lt;C186,"⚠ Datas invertidas",IF(TODAY()&lt;C186,IF(C186-TODAY()=1,"Começa amanhã","Começa em "&amp;(C186-TODAY())&amp;" dias"),IF(TODAY()&gt;D186,"Concluídas",IF(TODAY()=D186,"EM FÉRIAS (último dia)","EM FÉRIAS (faltam "&amp;(D186-TODAY())&amp;" dias)"))))))</f>
        <v/>
      </c>
      <c r="I186" s="53" t="str">
        <f aca="false">IF(OR(A186="",NOT(AND(ISNUMBER(C186),ISNUMBER(D186)))),"",IF(D186-C186+1&gt;30,"⚠ Período acima de 30 dias",IF(COUNTIFS($B$2:$B$301,B186,$C$2:$C$301,"&lt;="&amp;D186,$D$2:$D$301,"&gt;="&amp;C186)&gt;1,"⚠ Coincide com férias de outro do setor","")))</f>
        <v/>
      </c>
      <c r="K186" s="0" t="str">
        <f aca="true">IF(AND(ISNUMBER(C186),ISNUMBER(D186),C186&lt;=TODAY(),D186&gt;=TODAY()),D186+ROW()/100000,"")</f>
        <v/>
      </c>
      <c r="L186" s="0" t="str">
        <f aca="true">IF(AND(ISNUMBER(C186),C186&gt;TODAY(),C186&lt;=TODAY()+30),C186+ROW()/100000,"")</f>
        <v/>
      </c>
      <c r="M186" s="0" t="str">
        <f aca="false">IF(AND(ISNUMBER(C186),ISNUMBER(D186),C186&lt;=CALENDÁRIO!$L$4,D186&gt;=CALENDÁRIO!$L$4),ROW(),"")</f>
        <v/>
      </c>
    </row>
    <row r="187" customFormat="false" ht="15" hidden="false" customHeight="true" outlineLevel="0" collapsed="false">
      <c r="A187" s="52"/>
      <c r="B187" s="52"/>
      <c r="C187" s="51"/>
      <c r="D187" s="51"/>
      <c r="E187" s="52"/>
      <c r="F187" s="61" t="str">
        <f aca="false">IF(AND(ISNUMBER(C187),ISNUMBER(D187),D187&gt;=C187),D187-C187+1,"")</f>
        <v/>
      </c>
      <c r="G187" s="62" t="str">
        <f aca="false">IF(AND(ISNUMBER(C187),ISNUMBER(D187),D187&gt;=C187),WORKDAY(D187,1),"")</f>
        <v/>
      </c>
      <c r="H187" s="53" t="str">
        <f aca="true">IF(A187="","",IF(NOT(AND(ISNUMBER(C187),ISNUMBER(D187))),"Sem data definida",IF(D187&lt;C187,"⚠ Datas invertidas",IF(TODAY()&lt;C187,IF(C187-TODAY()=1,"Começa amanhã","Começa em "&amp;(C187-TODAY())&amp;" dias"),IF(TODAY()&gt;D187,"Concluídas",IF(TODAY()=D187,"EM FÉRIAS (último dia)","EM FÉRIAS (faltam "&amp;(D187-TODAY())&amp;" dias)"))))))</f>
        <v/>
      </c>
      <c r="I187" s="53" t="str">
        <f aca="false">IF(OR(A187="",NOT(AND(ISNUMBER(C187),ISNUMBER(D187)))),"",IF(D187-C187+1&gt;30,"⚠ Período acima de 30 dias",IF(COUNTIFS($B$2:$B$301,B187,$C$2:$C$301,"&lt;="&amp;D187,$D$2:$D$301,"&gt;="&amp;C187)&gt;1,"⚠ Coincide com férias de outro do setor","")))</f>
        <v/>
      </c>
      <c r="K187" s="0" t="str">
        <f aca="true">IF(AND(ISNUMBER(C187),ISNUMBER(D187),C187&lt;=TODAY(),D187&gt;=TODAY()),D187+ROW()/100000,"")</f>
        <v/>
      </c>
      <c r="L187" s="0" t="str">
        <f aca="true">IF(AND(ISNUMBER(C187),C187&gt;TODAY(),C187&lt;=TODAY()+30),C187+ROW()/100000,"")</f>
        <v/>
      </c>
      <c r="M187" s="0" t="str">
        <f aca="false">IF(AND(ISNUMBER(C187),ISNUMBER(D187),C187&lt;=CALENDÁRIO!$L$4,D187&gt;=CALENDÁRIO!$L$4),ROW(),"")</f>
        <v/>
      </c>
    </row>
    <row r="188" customFormat="false" ht="15" hidden="false" customHeight="true" outlineLevel="0" collapsed="false">
      <c r="A188" s="52"/>
      <c r="B188" s="52"/>
      <c r="C188" s="51"/>
      <c r="D188" s="51"/>
      <c r="E188" s="52"/>
      <c r="F188" s="61" t="str">
        <f aca="false">IF(AND(ISNUMBER(C188),ISNUMBER(D188),D188&gt;=C188),D188-C188+1,"")</f>
        <v/>
      </c>
      <c r="G188" s="62" t="str">
        <f aca="false">IF(AND(ISNUMBER(C188),ISNUMBER(D188),D188&gt;=C188),WORKDAY(D188,1),"")</f>
        <v/>
      </c>
      <c r="H188" s="53" t="str">
        <f aca="true">IF(A188="","",IF(NOT(AND(ISNUMBER(C188),ISNUMBER(D188))),"Sem data definida",IF(D188&lt;C188,"⚠ Datas invertidas",IF(TODAY()&lt;C188,IF(C188-TODAY()=1,"Começa amanhã","Começa em "&amp;(C188-TODAY())&amp;" dias"),IF(TODAY()&gt;D188,"Concluídas",IF(TODAY()=D188,"EM FÉRIAS (último dia)","EM FÉRIAS (faltam "&amp;(D188-TODAY())&amp;" dias)"))))))</f>
        <v/>
      </c>
      <c r="I188" s="53" t="str">
        <f aca="false">IF(OR(A188="",NOT(AND(ISNUMBER(C188),ISNUMBER(D188)))),"",IF(D188-C188+1&gt;30,"⚠ Período acima de 30 dias",IF(COUNTIFS($B$2:$B$301,B188,$C$2:$C$301,"&lt;="&amp;D188,$D$2:$D$301,"&gt;="&amp;C188)&gt;1,"⚠ Coincide com férias de outro do setor","")))</f>
        <v/>
      </c>
      <c r="K188" s="0" t="str">
        <f aca="true">IF(AND(ISNUMBER(C188),ISNUMBER(D188),C188&lt;=TODAY(),D188&gt;=TODAY()),D188+ROW()/100000,"")</f>
        <v/>
      </c>
      <c r="L188" s="0" t="str">
        <f aca="true">IF(AND(ISNUMBER(C188),C188&gt;TODAY(),C188&lt;=TODAY()+30),C188+ROW()/100000,"")</f>
        <v/>
      </c>
      <c r="M188" s="0" t="str">
        <f aca="false">IF(AND(ISNUMBER(C188),ISNUMBER(D188),C188&lt;=CALENDÁRIO!$L$4,D188&gt;=CALENDÁRIO!$L$4),ROW(),"")</f>
        <v/>
      </c>
    </row>
    <row r="189" customFormat="false" ht="15" hidden="false" customHeight="true" outlineLevel="0" collapsed="false">
      <c r="A189" s="52"/>
      <c r="B189" s="52"/>
      <c r="C189" s="51"/>
      <c r="D189" s="51"/>
      <c r="E189" s="52"/>
      <c r="F189" s="61" t="str">
        <f aca="false">IF(AND(ISNUMBER(C189),ISNUMBER(D189),D189&gt;=C189),D189-C189+1,"")</f>
        <v/>
      </c>
      <c r="G189" s="62" t="str">
        <f aca="false">IF(AND(ISNUMBER(C189),ISNUMBER(D189),D189&gt;=C189),WORKDAY(D189,1),"")</f>
        <v/>
      </c>
      <c r="H189" s="53" t="str">
        <f aca="true">IF(A189="","",IF(NOT(AND(ISNUMBER(C189),ISNUMBER(D189))),"Sem data definida",IF(D189&lt;C189,"⚠ Datas invertidas",IF(TODAY()&lt;C189,IF(C189-TODAY()=1,"Começa amanhã","Começa em "&amp;(C189-TODAY())&amp;" dias"),IF(TODAY()&gt;D189,"Concluídas",IF(TODAY()=D189,"EM FÉRIAS (último dia)","EM FÉRIAS (faltam "&amp;(D189-TODAY())&amp;" dias)"))))))</f>
        <v/>
      </c>
      <c r="I189" s="53" t="str">
        <f aca="false">IF(OR(A189="",NOT(AND(ISNUMBER(C189),ISNUMBER(D189)))),"",IF(D189-C189+1&gt;30,"⚠ Período acima de 30 dias",IF(COUNTIFS($B$2:$B$301,B189,$C$2:$C$301,"&lt;="&amp;D189,$D$2:$D$301,"&gt;="&amp;C189)&gt;1,"⚠ Coincide com férias de outro do setor","")))</f>
        <v/>
      </c>
      <c r="K189" s="0" t="str">
        <f aca="true">IF(AND(ISNUMBER(C189),ISNUMBER(D189),C189&lt;=TODAY(),D189&gt;=TODAY()),D189+ROW()/100000,"")</f>
        <v/>
      </c>
      <c r="L189" s="0" t="str">
        <f aca="true">IF(AND(ISNUMBER(C189),C189&gt;TODAY(),C189&lt;=TODAY()+30),C189+ROW()/100000,"")</f>
        <v/>
      </c>
      <c r="M189" s="0" t="str">
        <f aca="false">IF(AND(ISNUMBER(C189),ISNUMBER(D189),C189&lt;=CALENDÁRIO!$L$4,D189&gt;=CALENDÁRIO!$L$4),ROW(),"")</f>
        <v/>
      </c>
    </row>
    <row r="190" customFormat="false" ht="15" hidden="false" customHeight="true" outlineLevel="0" collapsed="false">
      <c r="A190" s="52"/>
      <c r="B190" s="52"/>
      <c r="C190" s="51"/>
      <c r="D190" s="51"/>
      <c r="E190" s="52"/>
      <c r="F190" s="61" t="str">
        <f aca="false">IF(AND(ISNUMBER(C190),ISNUMBER(D190),D190&gt;=C190),D190-C190+1,"")</f>
        <v/>
      </c>
      <c r="G190" s="62" t="str">
        <f aca="false">IF(AND(ISNUMBER(C190),ISNUMBER(D190),D190&gt;=C190),WORKDAY(D190,1),"")</f>
        <v/>
      </c>
      <c r="H190" s="53" t="str">
        <f aca="true">IF(A190="","",IF(NOT(AND(ISNUMBER(C190),ISNUMBER(D190))),"Sem data definida",IF(D190&lt;C190,"⚠ Datas invertidas",IF(TODAY()&lt;C190,IF(C190-TODAY()=1,"Começa amanhã","Começa em "&amp;(C190-TODAY())&amp;" dias"),IF(TODAY()&gt;D190,"Concluídas",IF(TODAY()=D190,"EM FÉRIAS (último dia)","EM FÉRIAS (faltam "&amp;(D190-TODAY())&amp;" dias)"))))))</f>
        <v/>
      </c>
      <c r="I190" s="53" t="str">
        <f aca="false">IF(OR(A190="",NOT(AND(ISNUMBER(C190),ISNUMBER(D190)))),"",IF(D190-C190+1&gt;30,"⚠ Período acima de 30 dias",IF(COUNTIFS($B$2:$B$301,B190,$C$2:$C$301,"&lt;="&amp;D190,$D$2:$D$301,"&gt;="&amp;C190)&gt;1,"⚠ Coincide com férias de outro do setor","")))</f>
        <v/>
      </c>
      <c r="K190" s="0" t="str">
        <f aca="true">IF(AND(ISNUMBER(C190),ISNUMBER(D190),C190&lt;=TODAY(),D190&gt;=TODAY()),D190+ROW()/100000,"")</f>
        <v/>
      </c>
      <c r="L190" s="0" t="str">
        <f aca="true">IF(AND(ISNUMBER(C190),C190&gt;TODAY(),C190&lt;=TODAY()+30),C190+ROW()/100000,"")</f>
        <v/>
      </c>
      <c r="M190" s="0" t="str">
        <f aca="false">IF(AND(ISNUMBER(C190),ISNUMBER(D190),C190&lt;=CALENDÁRIO!$L$4,D190&gt;=CALENDÁRIO!$L$4),ROW(),"")</f>
        <v/>
      </c>
    </row>
    <row r="191" customFormat="false" ht="15" hidden="false" customHeight="true" outlineLevel="0" collapsed="false">
      <c r="A191" s="52"/>
      <c r="B191" s="52"/>
      <c r="C191" s="51"/>
      <c r="D191" s="51"/>
      <c r="E191" s="52"/>
      <c r="F191" s="61" t="str">
        <f aca="false">IF(AND(ISNUMBER(C191),ISNUMBER(D191),D191&gt;=C191),D191-C191+1,"")</f>
        <v/>
      </c>
      <c r="G191" s="62" t="str">
        <f aca="false">IF(AND(ISNUMBER(C191),ISNUMBER(D191),D191&gt;=C191),WORKDAY(D191,1),"")</f>
        <v/>
      </c>
      <c r="H191" s="53" t="str">
        <f aca="true">IF(A191="","",IF(NOT(AND(ISNUMBER(C191),ISNUMBER(D191))),"Sem data definida",IF(D191&lt;C191,"⚠ Datas invertidas",IF(TODAY()&lt;C191,IF(C191-TODAY()=1,"Começa amanhã","Começa em "&amp;(C191-TODAY())&amp;" dias"),IF(TODAY()&gt;D191,"Concluídas",IF(TODAY()=D191,"EM FÉRIAS (último dia)","EM FÉRIAS (faltam "&amp;(D191-TODAY())&amp;" dias)"))))))</f>
        <v/>
      </c>
      <c r="I191" s="53" t="str">
        <f aca="false">IF(OR(A191="",NOT(AND(ISNUMBER(C191),ISNUMBER(D191)))),"",IF(D191-C191+1&gt;30,"⚠ Período acima de 30 dias",IF(COUNTIFS($B$2:$B$301,B191,$C$2:$C$301,"&lt;="&amp;D191,$D$2:$D$301,"&gt;="&amp;C191)&gt;1,"⚠ Coincide com férias de outro do setor","")))</f>
        <v/>
      </c>
      <c r="K191" s="0" t="str">
        <f aca="true">IF(AND(ISNUMBER(C191),ISNUMBER(D191),C191&lt;=TODAY(),D191&gt;=TODAY()),D191+ROW()/100000,"")</f>
        <v/>
      </c>
      <c r="L191" s="0" t="str">
        <f aca="true">IF(AND(ISNUMBER(C191),C191&gt;TODAY(),C191&lt;=TODAY()+30),C191+ROW()/100000,"")</f>
        <v/>
      </c>
      <c r="M191" s="0" t="str">
        <f aca="false">IF(AND(ISNUMBER(C191),ISNUMBER(D191),C191&lt;=CALENDÁRIO!$L$4,D191&gt;=CALENDÁRIO!$L$4),ROW(),"")</f>
        <v/>
      </c>
    </row>
    <row r="192" customFormat="false" ht="15" hidden="false" customHeight="true" outlineLevel="0" collapsed="false">
      <c r="A192" s="52"/>
      <c r="B192" s="52"/>
      <c r="C192" s="51"/>
      <c r="D192" s="51"/>
      <c r="E192" s="52"/>
      <c r="F192" s="61" t="str">
        <f aca="false">IF(AND(ISNUMBER(C192),ISNUMBER(D192),D192&gt;=C192),D192-C192+1,"")</f>
        <v/>
      </c>
      <c r="G192" s="62" t="str">
        <f aca="false">IF(AND(ISNUMBER(C192),ISNUMBER(D192),D192&gt;=C192),WORKDAY(D192,1),"")</f>
        <v/>
      </c>
      <c r="H192" s="53" t="str">
        <f aca="true">IF(A192="","",IF(NOT(AND(ISNUMBER(C192),ISNUMBER(D192))),"Sem data definida",IF(D192&lt;C192,"⚠ Datas invertidas",IF(TODAY()&lt;C192,IF(C192-TODAY()=1,"Começa amanhã","Começa em "&amp;(C192-TODAY())&amp;" dias"),IF(TODAY()&gt;D192,"Concluídas",IF(TODAY()=D192,"EM FÉRIAS (último dia)","EM FÉRIAS (faltam "&amp;(D192-TODAY())&amp;" dias)"))))))</f>
        <v/>
      </c>
      <c r="I192" s="53" t="str">
        <f aca="false">IF(OR(A192="",NOT(AND(ISNUMBER(C192),ISNUMBER(D192)))),"",IF(D192-C192+1&gt;30,"⚠ Período acima de 30 dias",IF(COUNTIFS($B$2:$B$301,B192,$C$2:$C$301,"&lt;="&amp;D192,$D$2:$D$301,"&gt;="&amp;C192)&gt;1,"⚠ Coincide com férias de outro do setor","")))</f>
        <v/>
      </c>
      <c r="K192" s="0" t="str">
        <f aca="true">IF(AND(ISNUMBER(C192),ISNUMBER(D192),C192&lt;=TODAY(),D192&gt;=TODAY()),D192+ROW()/100000,"")</f>
        <v/>
      </c>
      <c r="L192" s="0" t="str">
        <f aca="true">IF(AND(ISNUMBER(C192),C192&gt;TODAY(),C192&lt;=TODAY()+30),C192+ROW()/100000,"")</f>
        <v/>
      </c>
      <c r="M192" s="0" t="str">
        <f aca="false">IF(AND(ISNUMBER(C192),ISNUMBER(D192),C192&lt;=CALENDÁRIO!$L$4,D192&gt;=CALENDÁRIO!$L$4),ROW(),"")</f>
        <v/>
      </c>
    </row>
    <row r="193" customFormat="false" ht="15" hidden="false" customHeight="true" outlineLevel="0" collapsed="false">
      <c r="A193" s="52"/>
      <c r="B193" s="52"/>
      <c r="C193" s="51"/>
      <c r="D193" s="51"/>
      <c r="E193" s="52"/>
      <c r="F193" s="61" t="str">
        <f aca="false">IF(AND(ISNUMBER(C193),ISNUMBER(D193),D193&gt;=C193),D193-C193+1,"")</f>
        <v/>
      </c>
      <c r="G193" s="62" t="str">
        <f aca="false">IF(AND(ISNUMBER(C193),ISNUMBER(D193),D193&gt;=C193),WORKDAY(D193,1),"")</f>
        <v/>
      </c>
      <c r="H193" s="53" t="str">
        <f aca="true">IF(A193="","",IF(NOT(AND(ISNUMBER(C193),ISNUMBER(D193))),"Sem data definida",IF(D193&lt;C193,"⚠ Datas invertidas",IF(TODAY()&lt;C193,IF(C193-TODAY()=1,"Começa amanhã","Começa em "&amp;(C193-TODAY())&amp;" dias"),IF(TODAY()&gt;D193,"Concluídas",IF(TODAY()=D193,"EM FÉRIAS (último dia)","EM FÉRIAS (faltam "&amp;(D193-TODAY())&amp;" dias)"))))))</f>
        <v/>
      </c>
      <c r="I193" s="53" t="str">
        <f aca="false">IF(OR(A193="",NOT(AND(ISNUMBER(C193),ISNUMBER(D193)))),"",IF(D193-C193+1&gt;30,"⚠ Período acima de 30 dias",IF(COUNTIFS($B$2:$B$301,B193,$C$2:$C$301,"&lt;="&amp;D193,$D$2:$D$301,"&gt;="&amp;C193)&gt;1,"⚠ Coincide com férias de outro do setor","")))</f>
        <v/>
      </c>
      <c r="K193" s="0" t="str">
        <f aca="true">IF(AND(ISNUMBER(C193),ISNUMBER(D193),C193&lt;=TODAY(),D193&gt;=TODAY()),D193+ROW()/100000,"")</f>
        <v/>
      </c>
      <c r="L193" s="0" t="str">
        <f aca="true">IF(AND(ISNUMBER(C193),C193&gt;TODAY(),C193&lt;=TODAY()+30),C193+ROW()/100000,"")</f>
        <v/>
      </c>
      <c r="M193" s="0" t="str">
        <f aca="false">IF(AND(ISNUMBER(C193),ISNUMBER(D193),C193&lt;=CALENDÁRIO!$L$4,D193&gt;=CALENDÁRIO!$L$4),ROW(),"")</f>
        <v/>
      </c>
    </row>
    <row r="194" customFormat="false" ht="15" hidden="false" customHeight="true" outlineLevel="0" collapsed="false">
      <c r="A194" s="52"/>
      <c r="B194" s="52"/>
      <c r="C194" s="51"/>
      <c r="D194" s="51"/>
      <c r="E194" s="52"/>
      <c r="F194" s="61" t="str">
        <f aca="false">IF(AND(ISNUMBER(C194),ISNUMBER(D194),D194&gt;=C194),D194-C194+1,"")</f>
        <v/>
      </c>
      <c r="G194" s="62" t="str">
        <f aca="false">IF(AND(ISNUMBER(C194),ISNUMBER(D194),D194&gt;=C194),WORKDAY(D194,1),"")</f>
        <v/>
      </c>
      <c r="H194" s="53" t="str">
        <f aca="true">IF(A194="","",IF(NOT(AND(ISNUMBER(C194),ISNUMBER(D194))),"Sem data definida",IF(D194&lt;C194,"⚠ Datas invertidas",IF(TODAY()&lt;C194,IF(C194-TODAY()=1,"Começa amanhã","Começa em "&amp;(C194-TODAY())&amp;" dias"),IF(TODAY()&gt;D194,"Concluídas",IF(TODAY()=D194,"EM FÉRIAS (último dia)","EM FÉRIAS (faltam "&amp;(D194-TODAY())&amp;" dias)"))))))</f>
        <v/>
      </c>
      <c r="I194" s="53" t="str">
        <f aca="false">IF(OR(A194="",NOT(AND(ISNUMBER(C194),ISNUMBER(D194)))),"",IF(D194-C194+1&gt;30,"⚠ Período acima de 30 dias",IF(COUNTIFS($B$2:$B$301,B194,$C$2:$C$301,"&lt;="&amp;D194,$D$2:$D$301,"&gt;="&amp;C194)&gt;1,"⚠ Coincide com férias de outro do setor","")))</f>
        <v/>
      </c>
      <c r="K194" s="0" t="str">
        <f aca="true">IF(AND(ISNUMBER(C194),ISNUMBER(D194),C194&lt;=TODAY(),D194&gt;=TODAY()),D194+ROW()/100000,"")</f>
        <v/>
      </c>
      <c r="L194" s="0" t="str">
        <f aca="true">IF(AND(ISNUMBER(C194),C194&gt;TODAY(),C194&lt;=TODAY()+30),C194+ROW()/100000,"")</f>
        <v/>
      </c>
      <c r="M194" s="0" t="str">
        <f aca="false">IF(AND(ISNUMBER(C194),ISNUMBER(D194),C194&lt;=CALENDÁRIO!$L$4,D194&gt;=CALENDÁRIO!$L$4),ROW(),"")</f>
        <v/>
      </c>
    </row>
    <row r="195" customFormat="false" ht="15" hidden="false" customHeight="true" outlineLevel="0" collapsed="false">
      <c r="A195" s="52"/>
      <c r="B195" s="52"/>
      <c r="C195" s="51"/>
      <c r="D195" s="51"/>
      <c r="E195" s="52"/>
      <c r="F195" s="61" t="str">
        <f aca="false">IF(AND(ISNUMBER(C195),ISNUMBER(D195),D195&gt;=C195),D195-C195+1,"")</f>
        <v/>
      </c>
      <c r="G195" s="62" t="str">
        <f aca="false">IF(AND(ISNUMBER(C195),ISNUMBER(D195),D195&gt;=C195),WORKDAY(D195,1),"")</f>
        <v/>
      </c>
      <c r="H195" s="53" t="str">
        <f aca="true">IF(A195="","",IF(NOT(AND(ISNUMBER(C195),ISNUMBER(D195))),"Sem data definida",IF(D195&lt;C195,"⚠ Datas invertidas",IF(TODAY()&lt;C195,IF(C195-TODAY()=1,"Começa amanhã","Começa em "&amp;(C195-TODAY())&amp;" dias"),IF(TODAY()&gt;D195,"Concluídas",IF(TODAY()=D195,"EM FÉRIAS (último dia)","EM FÉRIAS (faltam "&amp;(D195-TODAY())&amp;" dias)"))))))</f>
        <v/>
      </c>
      <c r="I195" s="53" t="str">
        <f aca="false">IF(OR(A195="",NOT(AND(ISNUMBER(C195),ISNUMBER(D195)))),"",IF(D195-C195+1&gt;30,"⚠ Período acima de 30 dias",IF(COUNTIFS($B$2:$B$301,B195,$C$2:$C$301,"&lt;="&amp;D195,$D$2:$D$301,"&gt;="&amp;C195)&gt;1,"⚠ Coincide com férias de outro do setor","")))</f>
        <v/>
      </c>
      <c r="K195" s="0" t="str">
        <f aca="true">IF(AND(ISNUMBER(C195),ISNUMBER(D195),C195&lt;=TODAY(),D195&gt;=TODAY()),D195+ROW()/100000,"")</f>
        <v/>
      </c>
      <c r="L195" s="0" t="str">
        <f aca="true">IF(AND(ISNUMBER(C195),C195&gt;TODAY(),C195&lt;=TODAY()+30),C195+ROW()/100000,"")</f>
        <v/>
      </c>
      <c r="M195" s="0" t="str">
        <f aca="false">IF(AND(ISNUMBER(C195),ISNUMBER(D195),C195&lt;=CALENDÁRIO!$L$4,D195&gt;=CALENDÁRIO!$L$4),ROW(),"")</f>
        <v/>
      </c>
    </row>
    <row r="196" customFormat="false" ht="15" hidden="false" customHeight="true" outlineLevel="0" collapsed="false">
      <c r="A196" s="52"/>
      <c r="B196" s="52"/>
      <c r="C196" s="51"/>
      <c r="D196" s="51"/>
      <c r="E196" s="52"/>
      <c r="F196" s="61" t="str">
        <f aca="false">IF(AND(ISNUMBER(C196),ISNUMBER(D196),D196&gt;=C196),D196-C196+1,"")</f>
        <v/>
      </c>
      <c r="G196" s="62" t="str">
        <f aca="false">IF(AND(ISNUMBER(C196),ISNUMBER(D196),D196&gt;=C196),WORKDAY(D196,1),"")</f>
        <v/>
      </c>
      <c r="H196" s="53" t="str">
        <f aca="true">IF(A196="","",IF(NOT(AND(ISNUMBER(C196),ISNUMBER(D196))),"Sem data definida",IF(D196&lt;C196,"⚠ Datas invertidas",IF(TODAY()&lt;C196,IF(C196-TODAY()=1,"Começa amanhã","Começa em "&amp;(C196-TODAY())&amp;" dias"),IF(TODAY()&gt;D196,"Concluídas",IF(TODAY()=D196,"EM FÉRIAS (último dia)","EM FÉRIAS (faltam "&amp;(D196-TODAY())&amp;" dias)"))))))</f>
        <v/>
      </c>
      <c r="I196" s="53" t="str">
        <f aca="false">IF(OR(A196="",NOT(AND(ISNUMBER(C196),ISNUMBER(D196)))),"",IF(D196-C196+1&gt;30,"⚠ Período acima de 30 dias",IF(COUNTIFS($B$2:$B$301,B196,$C$2:$C$301,"&lt;="&amp;D196,$D$2:$D$301,"&gt;="&amp;C196)&gt;1,"⚠ Coincide com férias de outro do setor","")))</f>
        <v/>
      </c>
      <c r="K196" s="0" t="str">
        <f aca="true">IF(AND(ISNUMBER(C196),ISNUMBER(D196),C196&lt;=TODAY(),D196&gt;=TODAY()),D196+ROW()/100000,"")</f>
        <v/>
      </c>
      <c r="L196" s="0" t="str">
        <f aca="true">IF(AND(ISNUMBER(C196),C196&gt;TODAY(),C196&lt;=TODAY()+30),C196+ROW()/100000,"")</f>
        <v/>
      </c>
      <c r="M196" s="0" t="str">
        <f aca="false">IF(AND(ISNUMBER(C196),ISNUMBER(D196),C196&lt;=CALENDÁRIO!$L$4,D196&gt;=CALENDÁRIO!$L$4),ROW(),"")</f>
        <v/>
      </c>
    </row>
    <row r="197" customFormat="false" ht="15" hidden="false" customHeight="true" outlineLevel="0" collapsed="false">
      <c r="A197" s="52"/>
      <c r="B197" s="52"/>
      <c r="C197" s="51"/>
      <c r="D197" s="51"/>
      <c r="E197" s="52"/>
      <c r="F197" s="61" t="str">
        <f aca="false">IF(AND(ISNUMBER(C197),ISNUMBER(D197),D197&gt;=C197),D197-C197+1,"")</f>
        <v/>
      </c>
      <c r="G197" s="62" t="str">
        <f aca="false">IF(AND(ISNUMBER(C197),ISNUMBER(D197),D197&gt;=C197),WORKDAY(D197,1),"")</f>
        <v/>
      </c>
      <c r="H197" s="53" t="str">
        <f aca="true">IF(A197="","",IF(NOT(AND(ISNUMBER(C197),ISNUMBER(D197))),"Sem data definida",IF(D197&lt;C197,"⚠ Datas invertidas",IF(TODAY()&lt;C197,IF(C197-TODAY()=1,"Começa amanhã","Começa em "&amp;(C197-TODAY())&amp;" dias"),IF(TODAY()&gt;D197,"Concluídas",IF(TODAY()=D197,"EM FÉRIAS (último dia)","EM FÉRIAS (faltam "&amp;(D197-TODAY())&amp;" dias)"))))))</f>
        <v/>
      </c>
      <c r="I197" s="53" t="str">
        <f aca="false">IF(OR(A197="",NOT(AND(ISNUMBER(C197),ISNUMBER(D197)))),"",IF(D197-C197+1&gt;30,"⚠ Período acima de 30 dias",IF(COUNTIFS($B$2:$B$301,B197,$C$2:$C$301,"&lt;="&amp;D197,$D$2:$D$301,"&gt;="&amp;C197)&gt;1,"⚠ Coincide com férias de outro do setor","")))</f>
        <v/>
      </c>
      <c r="K197" s="0" t="str">
        <f aca="true">IF(AND(ISNUMBER(C197),ISNUMBER(D197),C197&lt;=TODAY(),D197&gt;=TODAY()),D197+ROW()/100000,"")</f>
        <v/>
      </c>
      <c r="L197" s="0" t="str">
        <f aca="true">IF(AND(ISNUMBER(C197),C197&gt;TODAY(),C197&lt;=TODAY()+30),C197+ROW()/100000,"")</f>
        <v/>
      </c>
      <c r="M197" s="0" t="str">
        <f aca="false">IF(AND(ISNUMBER(C197),ISNUMBER(D197),C197&lt;=CALENDÁRIO!$L$4,D197&gt;=CALENDÁRIO!$L$4),ROW(),"")</f>
        <v/>
      </c>
    </row>
    <row r="198" customFormat="false" ht="15" hidden="false" customHeight="true" outlineLevel="0" collapsed="false">
      <c r="A198" s="52"/>
      <c r="B198" s="52"/>
      <c r="C198" s="51"/>
      <c r="D198" s="51"/>
      <c r="E198" s="52"/>
      <c r="F198" s="61" t="str">
        <f aca="false">IF(AND(ISNUMBER(C198),ISNUMBER(D198),D198&gt;=C198),D198-C198+1,"")</f>
        <v/>
      </c>
      <c r="G198" s="62" t="str">
        <f aca="false">IF(AND(ISNUMBER(C198),ISNUMBER(D198),D198&gt;=C198),WORKDAY(D198,1),"")</f>
        <v/>
      </c>
      <c r="H198" s="53" t="str">
        <f aca="true">IF(A198="","",IF(NOT(AND(ISNUMBER(C198),ISNUMBER(D198))),"Sem data definida",IF(D198&lt;C198,"⚠ Datas invertidas",IF(TODAY()&lt;C198,IF(C198-TODAY()=1,"Começa amanhã","Começa em "&amp;(C198-TODAY())&amp;" dias"),IF(TODAY()&gt;D198,"Concluídas",IF(TODAY()=D198,"EM FÉRIAS (último dia)","EM FÉRIAS (faltam "&amp;(D198-TODAY())&amp;" dias)"))))))</f>
        <v/>
      </c>
      <c r="I198" s="53" t="str">
        <f aca="false">IF(OR(A198="",NOT(AND(ISNUMBER(C198),ISNUMBER(D198)))),"",IF(D198-C198+1&gt;30,"⚠ Período acima de 30 dias",IF(COUNTIFS($B$2:$B$301,B198,$C$2:$C$301,"&lt;="&amp;D198,$D$2:$D$301,"&gt;="&amp;C198)&gt;1,"⚠ Coincide com férias de outro do setor","")))</f>
        <v/>
      </c>
      <c r="K198" s="0" t="str">
        <f aca="true">IF(AND(ISNUMBER(C198),ISNUMBER(D198),C198&lt;=TODAY(),D198&gt;=TODAY()),D198+ROW()/100000,"")</f>
        <v/>
      </c>
      <c r="L198" s="0" t="str">
        <f aca="true">IF(AND(ISNUMBER(C198),C198&gt;TODAY(),C198&lt;=TODAY()+30),C198+ROW()/100000,"")</f>
        <v/>
      </c>
      <c r="M198" s="0" t="str">
        <f aca="false">IF(AND(ISNUMBER(C198),ISNUMBER(D198),C198&lt;=CALENDÁRIO!$L$4,D198&gt;=CALENDÁRIO!$L$4),ROW(),"")</f>
        <v/>
      </c>
    </row>
    <row r="199" customFormat="false" ht="15" hidden="false" customHeight="true" outlineLevel="0" collapsed="false">
      <c r="A199" s="52"/>
      <c r="B199" s="52"/>
      <c r="C199" s="51"/>
      <c r="D199" s="51"/>
      <c r="E199" s="52"/>
      <c r="F199" s="61" t="str">
        <f aca="false">IF(AND(ISNUMBER(C199),ISNUMBER(D199),D199&gt;=C199),D199-C199+1,"")</f>
        <v/>
      </c>
      <c r="G199" s="62" t="str">
        <f aca="false">IF(AND(ISNUMBER(C199),ISNUMBER(D199),D199&gt;=C199),WORKDAY(D199,1),"")</f>
        <v/>
      </c>
      <c r="H199" s="53" t="str">
        <f aca="true">IF(A199="","",IF(NOT(AND(ISNUMBER(C199),ISNUMBER(D199))),"Sem data definida",IF(D199&lt;C199,"⚠ Datas invertidas",IF(TODAY()&lt;C199,IF(C199-TODAY()=1,"Começa amanhã","Começa em "&amp;(C199-TODAY())&amp;" dias"),IF(TODAY()&gt;D199,"Concluídas",IF(TODAY()=D199,"EM FÉRIAS (último dia)","EM FÉRIAS (faltam "&amp;(D199-TODAY())&amp;" dias)"))))))</f>
        <v/>
      </c>
      <c r="I199" s="53" t="str">
        <f aca="false">IF(OR(A199="",NOT(AND(ISNUMBER(C199),ISNUMBER(D199)))),"",IF(D199-C199+1&gt;30,"⚠ Período acima de 30 dias",IF(COUNTIFS($B$2:$B$301,B199,$C$2:$C$301,"&lt;="&amp;D199,$D$2:$D$301,"&gt;="&amp;C199)&gt;1,"⚠ Coincide com férias de outro do setor","")))</f>
        <v/>
      </c>
      <c r="K199" s="0" t="str">
        <f aca="true">IF(AND(ISNUMBER(C199),ISNUMBER(D199),C199&lt;=TODAY(),D199&gt;=TODAY()),D199+ROW()/100000,"")</f>
        <v/>
      </c>
      <c r="L199" s="0" t="str">
        <f aca="true">IF(AND(ISNUMBER(C199),C199&gt;TODAY(),C199&lt;=TODAY()+30),C199+ROW()/100000,"")</f>
        <v/>
      </c>
      <c r="M199" s="0" t="str">
        <f aca="false">IF(AND(ISNUMBER(C199),ISNUMBER(D199),C199&lt;=CALENDÁRIO!$L$4,D199&gt;=CALENDÁRIO!$L$4),ROW(),"")</f>
        <v/>
      </c>
    </row>
    <row r="200" customFormat="false" ht="15" hidden="false" customHeight="true" outlineLevel="0" collapsed="false">
      <c r="A200" s="52"/>
      <c r="B200" s="52"/>
      <c r="C200" s="51"/>
      <c r="D200" s="51"/>
      <c r="E200" s="52"/>
      <c r="F200" s="61" t="str">
        <f aca="false">IF(AND(ISNUMBER(C200),ISNUMBER(D200),D200&gt;=C200),D200-C200+1,"")</f>
        <v/>
      </c>
      <c r="G200" s="62" t="str">
        <f aca="false">IF(AND(ISNUMBER(C200),ISNUMBER(D200),D200&gt;=C200),WORKDAY(D200,1),"")</f>
        <v/>
      </c>
      <c r="H200" s="53" t="str">
        <f aca="true">IF(A200="","",IF(NOT(AND(ISNUMBER(C200),ISNUMBER(D200))),"Sem data definida",IF(D200&lt;C200,"⚠ Datas invertidas",IF(TODAY()&lt;C200,IF(C200-TODAY()=1,"Começa amanhã","Começa em "&amp;(C200-TODAY())&amp;" dias"),IF(TODAY()&gt;D200,"Concluídas",IF(TODAY()=D200,"EM FÉRIAS (último dia)","EM FÉRIAS (faltam "&amp;(D200-TODAY())&amp;" dias)"))))))</f>
        <v/>
      </c>
      <c r="I200" s="53" t="str">
        <f aca="false">IF(OR(A200="",NOT(AND(ISNUMBER(C200),ISNUMBER(D200)))),"",IF(D200-C200+1&gt;30,"⚠ Período acima de 30 dias",IF(COUNTIFS($B$2:$B$301,B200,$C$2:$C$301,"&lt;="&amp;D200,$D$2:$D$301,"&gt;="&amp;C200)&gt;1,"⚠ Coincide com férias de outro do setor","")))</f>
        <v/>
      </c>
      <c r="K200" s="0" t="str">
        <f aca="true">IF(AND(ISNUMBER(C200),ISNUMBER(D200),C200&lt;=TODAY(),D200&gt;=TODAY()),D200+ROW()/100000,"")</f>
        <v/>
      </c>
      <c r="L200" s="0" t="str">
        <f aca="true">IF(AND(ISNUMBER(C200),C200&gt;TODAY(),C200&lt;=TODAY()+30),C200+ROW()/100000,"")</f>
        <v/>
      </c>
      <c r="M200" s="0" t="str">
        <f aca="false">IF(AND(ISNUMBER(C200),ISNUMBER(D200),C200&lt;=CALENDÁRIO!$L$4,D200&gt;=CALENDÁRIO!$L$4),ROW(),"")</f>
        <v/>
      </c>
    </row>
    <row r="201" customFormat="false" ht="15" hidden="false" customHeight="true" outlineLevel="0" collapsed="false">
      <c r="A201" s="52"/>
      <c r="B201" s="52"/>
      <c r="C201" s="51"/>
      <c r="D201" s="51"/>
      <c r="E201" s="52"/>
      <c r="F201" s="61" t="str">
        <f aca="false">IF(AND(ISNUMBER(C201),ISNUMBER(D201),D201&gt;=C201),D201-C201+1,"")</f>
        <v/>
      </c>
      <c r="G201" s="62" t="str">
        <f aca="false">IF(AND(ISNUMBER(C201),ISNUMBER(D201),D201&gt;=C201),WORKDAY(D201,1),"")</f>
        <v/>
      </c>
      <c r="H201" s="53" t="str">
        <f aca="true">IF(A201="","",IF(NOT(AND(ISNUMBER(C201),ISNUMBER(D201))),"Sem data definida",IF(D201&lt;C201,"⚠ Datas invertidas",IF(TODAY()&lt;C201,IF(C201-TODAY()=1,"Começa amanhã","Começa em "&amp;(C201-TODAY())&amp;" dias"),IF(TODAY()&gt;D201,"Concluídas",IF(TODAY()=D201,"EM FÉRIAS (último dia)","EM FÉRIAS (faltam "&amp;(D201-TODAY())&amp;" dias)"))))))</f>
        <v/>
      </c>
      <c r="I201" s="53" t="str">
        <f aca="false">IF(OR(A201="",NOT(AND(ISNUMBER(C201),ISNUMBER(D201)))),"",IF(D201-C201+1&gt;30,"⚠ Período acima de 30 dias",IF(COUNTIFS($B$2:$B$301,B201,$C$2:$C$301,"&lt;="&amp;D201,$D$2:$D$301,"&gt;="&amp;C201)&gt;1,"⚠ Coincide com férias de outro do setor","")))</f>
        <v/>
      </c>
      <c r="K201" s="0" t="str">
        <f aca="true">IF(AND(ISNUMBER(C201),ISNUMBER(D201),C201&lt;=TODAY(),D201&gt;=TODAY()),D201+ROW()/100000,"")</f>
        <v/>
      </c>
      <c r="L201" s="0" t="str">
        <f aca="true">IF(AND(ISNUMBER(C201),C201&gt;TODAY(),C201&lt;=TODAY()+30),C201+ROW()/100000,"")</f>
        <v/>
      </c>
      <c r="M201" s="0" t="str">
        <f aca="false">IF(AND(ISNUMBER(C201),ISNUMBER(D201),C201&lt;=CALENDÁRIO!$L$4,D201&gt;=CALENDÁRIO!$L$4),ROW(),"")</f>
        <v/>
      </c>
    </row>
    <row r="202" customFormat="false" ht="15" hidden="false" customHeight="true" outlineLevel="0" collapsed="false">
      <c r="A202" s="52"/>
      <c r="B202" s="52"/>
      <c r="C202" s="51"/>
      <c r="D202" s="51"/>
      <c r="E202" s="52"/>
      <c r="F202" s="61" t="str">
        <f aca="false">IF(AND(ISNUMBER(C202),ISNUMBER(D202),D202&gt;=C202),D202-C202+1,"")</f>
        <v/>
      </c>
      <c r="G202" s="62" t="str">
        <f aca="false">IF(AND(ISNUMBER(C202),ISNUMBER(D202),D202&gt;=C202),WORKDAY(D202,1),"")</f>
        <v/>
      </c>
      <c r="H202" s="53" t="str">
        <f aca="true">IF(A202="","",IF(NOT(AND(ISNUMBER(C202),ISNUMBER(D202))),"Sem data definida",IF(D202&lt;C202,"⚠ Datas invertidas",IF(TODAY()&lt;C202,IF(C202-TODAY()=1,"Começa amanhã","Começa em "&amp;(C202-TODAY())&amp;" dias"),IF(TODAY()&gt;D202,"Concluídas",IF(TODAY()=D202,"EM FÉRIAS (último dia)","EM FÉRIAS (faltam "&amp;(D202-TODAY())&amp;" dias)"))))))</f>
        <v/>
      </c>
      <c r="I202" s="53" t="str">
        <f aca="false">IF(OR(A202="",NOT(AND(ISNUMBER(C202),ISNUMBER(D202)))),"",IF(D202-C202+1&gt;30,"⚠ Período acima de 30 dias",IF(COUNTIFS($B$2:$B$301,B202,$C$2:$C$301,"&lt;="&amp;D202,$D$2:$D$301,"&gt;="&amp;C202)&gt;1,"⚠ Coincide com férias de outro do setor","")))</f>
        <v/>
      </c>
      <c r="K202" s="0" t="str">
        <f aca="true">IF(AND(ISNUMBER(C202),ISNUMBER(D202),C202&lt;=TODAY(),D202&gt;=TODAY()),D202+ROW()/100000,"")</f>
        <v/>
      </c>
      <c r="L202" s="0" t="str">
        <f aca="true">IF(AND(ISNUMBER(C202),C202&gt;TODAY(),C202&lt;=TODAY()+30),C202+ROW()/100000,"")</f>
        <v/>
      </c>
      <c r="M202" s="0" t="str">
        <f aca="false">IF(AND(ISNUMBER(C202),ISNUMBER(D202),C202&lt;=CALENDÁRIO!$L$4,D202&gt;=CALENDÁRIO!$L$4),ROW(),"")</f>
        <v/>
      </c>
    </row>
    <row r="203" customFormat="false" ht="15" hidden="false" customHeight="true" outlineLevel="0" collapsed="false">
      <c r="A203" s="52"/>
      <c r="B203" s="52"/>
      <c r="C203" s="51"/>
      <c r="D203" s="51"/>
      <c r="E203" s="52"/>
      <c r="F203" s="61" t="str">
        <f aca="false">IF(AND(ISNUMBER(C203),ISNUMBER(D203),D203&gt;=C203),D203-C203+1,"")</f>
        <v/>
      </c>
      <c r="G203" s="62" t="str">
        <f aca="false">IF(AND(ISNUMBER(C203),ISNUMBER(D203),D203&gt;=C203),WORKDAY(D203,1),"")</f>
        <v/>
      </c>
      <c r="H203" s="53" t="str">
        <f aca="true">IF(A203="","",IF(NOT(AND(ISNUMBER(C203),ISNUMBER(D203))),"Sem data definida",IF(D203&lt;C203,"⚠ Datas invertidas",IF(TODAY()&lt;C203,IF(C203-TODAY()=1,"Começa amanhã","Começa em "&amp;(C203-TODAY())&amp;" dias"),IF(TODAY()&gt;D203,"Concluídas",IF(TODAY()=D203,"EM FÉRIAS (último dia)","EM FÉRIAS (faltam "&amp;(D203-TODAY())&amp;" dias)"))))))</f>
        <v/>
      </c>
      <c r="I203" s="53" t="str">
        <f aca="false">IF(OR(A203="",NOT(AND(ISNUMBER(C203),ISNUMBER(D203)))),"",IF(D203-C203+1&gt;30,"⚠ Período acima de 30 dias",IF(COUNTIFS($B$2:$B$301,B203,$C$2:$C$301,"&lt;="&amp;D203,$D$2:$D$301,"&gt;="&amp;C203)&gt;1,"⚠ Coincide com férias de outro do setor","")))</f>
        <v/>
      </c>
      <c r="K203" s="0" t="str">
        <f aca="true">IF(AND(ISNUMBER(C203),ISNUMBER(D203),C203&lt;=TODAY(),D203&gt;=TODAY()),D203+ROW()/100000,"")</f>
        <v/>
      </c>
      <c r="L203" s="0" t="str">
        <f aca="true">IF(AND(ISNUMBER(C203),C203&gt;TODAY(),C203&lt;=TODAY()+30),C203+ROW()/100000,"")</f>
        <v/>
      </c>
      <c r="M203" s="0" t="str">
        <f aca="false">IF(AND(ISNUMBER(C203),ISNUMBER(D203),C203&lt;=CALENDÁRIO!$L$4,D203&gt;=CALENDÁRIO!$L$4),ROW(),"")</f>
        <v/>
      </c>
    </row>
    <row r="204" customFormat="false" ht="15" hidden="false" customHeight="true" outlineLevel="0" collapsed="false">
      <c r="A204" s="52"/>
      <c r="B204" s="52"/>
      <c r="C204" s="51"/>
      <c r="D204" s="51"/>
      <c r="E204" s="52"/>
      <c r="F204" s="61" t="str">
        <f aca="false">IF(AND(ISNUMBER(C204),ISNUMBER(D204),D204&gt;=C204),D204-C204+1,"")</f>
        <v/>
      </c>
      <c r="G204" s="62" t="str">
        <f aca="false">IF(AND(ISNUMBER(C204),ISNUMBER(D204),D204&gt;=C204),WORKDAY(D204,1),"")</f>
        <v/>
      </c>
      <c r="H204" s="53" t="str">
        <f aca="true">IF(A204="","",IF(NOT(AND(ISNUMBER(C204),ISNUMBER(D204))),"Sem data definida",IF(D204&lt;C204,"⚠ Datas invertidas",IF(TODAY()&lt;C204,IF(C204-TODAY()=1,"Começa amanhã","Começa em "&amp;(C204-TODAY())&amp;" dias"),IF(TODAY()&gt;D204,"Concluídas",IF(TODAY()=D204,"EM FÉRIAS (último dia)","EM FÉRIAS (faltam "&amp;(D204-TODAY())&amp;" dias)"))))))</f>
        <v/>
      </c>
      <c r="I204" s="53" t="str">
        <f aca="false">IF(OR(A204="",NOT(AND(ISNUMBER(C204),ISNUMBER(D204)))),"",IF(D204-C204+1&gt;30,"⚠ Período acima de 30 dias",IF(COUNTIFS($B$2:$B$301,B204,$C$2:$C$301,"&lt;="&amp;D204,$D$2:$D$301,"&gt;="&amp;C204)&gt;1,"⚠ Coincide com férias de outro do setor","")))</f>
        <v/>
      </c>
      <c r="K204" s="0" t="str">
        <f aca="true">IF(AND(ISNUMBER(C204),ISNUMBER(D204),C204&lt;=TODAY(),D204&gt;=TODAY()),D204+ROW()/100000,"")</f>
        <v/>
      </c>
      <c r="L204" s="0" t="str">
        <f aca="true">IF(AND(ISNUMBER(C204),C204&gt;TODAY(),C204&lt;=TODAY()+30),C204+ROW()/100000,"")</f>
        <v/>
      </c>
      <c r="M204" s="0" t="str">
        <f aca="false">IF(AND(ISNUMBER(C204),ISNUMBER(D204),C204&lt;=CALENDÁRIO!$L$4,D204&gt;=CALENDÁRIO!$L$4),ROW(),"")</f>
        <v/>
      </c>
    </row>
    <row r="205" customFormat="false" ht="15" hidden="false" customHeight="true" outlineLevel="0" collapsed="false">
      <c r="A205" s="52"/>
      <c r="B205" s="52"/>
      <c r="C205" s="51"/>
      <c r="D205" s="51"/>
      <c r="E205" s="52"/>
      <c r="F205" s="61" t="str">
        <f aca="false">IF(AND(ISNUMBER(C205),ISNUMBER(D205),D205&gt;=C205),D205-C205+1,"")</f>
        <v/>
      </c>
      <c r="G205" s="62" t="str">
        <f aca="false">IF(AND(ISNUMBER(C205),ISNUMBER(D205),D205&gt;=C205),WORKDAY(D205,1),"")</f>
        <v/>
      </c>
      <c r="H205" s="53" t="str">
        <f aca="true">IF(A205="","",IF(NOT(AND(ISNUMBER(C205),ISNUMBER(D205))),"Sem data definida",IF(D205&lt;C205,"⚠ Datas invertidas",IF(TODAY()&lt;C205,IF(C205-TODAY()=1,"Começa amanhã","Começa em "&amp;(C205-TODAY())&amp;" dias"),IF(TODAY()&gt;D205,"Concluídas",IF(TODAY()=D205,"EM FÉRIAS (último dia)","EM FÉRIAS (faltam "&amp;(D205-TODAY())&amp;" dias)"))))))</f>
        <v/>
      </c>
      <c r="I205" s="53" t="str">
        <f aca="false">IF(OR(A205="",NOT(AND(ISNUMBER(C205),ISNUMBER(D205)))),"",IF(D205-C205+1&gt;30,"⚠ Período acima de 30 dias",IF(COUNTIFS($B$2:$B$301,B205,$C$2:$C$301,"&lt;="&amp;D205,$D$2:$D$301,"&gt;="&amp;C205)&gt;1,"⚠ Coincide com férias de outro do setor","")))</f>
        <v/>
      </c>
      <c r="K205" s="0" t="str">
        <f aca="true">IF(AND(ISNUMBER(C205),ISNUMBER(D205),C205&lt;=TODAY(),D205&gt;=TODAY()),D205+ROW()/100000,"")</f>
        <v/>
      </c>
      <c r="L205" s="0" t="str">
        <f aca="true">IF(AND(ISNUMBER(C205),C205&gt;TODAY(),C205&lt;=TODAY()+30),C205+ROW()/100000,"")</f>
        <v/>
      </c>
      <c r="M205" s="0" t="str">
        <f aca="false">IF(AND(ISNUMBER(C205),ISNUMBER(D205),C205&lt;=CALENDÁRIO!$L$4,D205&gt;=CALENDÁRIO!$L$4),ROW(),"")</f>
        <v/>
      </c>
    </row>
    <row r="206" customFormat="false" ht="15" hidden="false" customHeight="true" outlineLevel="0" collapsed="false">
      <c r="A206" s="52"/>
      <c r="B206" s="52"/>
      <c r="C206" s="51"/>
      <c r="D206" s="51"/>
      <c r="E206" s="52"/>
      <c r="F206" s="61" t="str">
        <f aca="false">IF(AND(ISNUMBER(C206),ISNUMBER(D206),D206&gt;=C206),D206-C206+1,"")</f>
        <v/>
      </c>
      <c r="G206" s="62" t="str">
        <f aca="false">IF(AND(ISNUMBER(C206),ISNUMBER(D206),D206&gt;=C206),WORKDAY(D206,1),"")</f>
        <v/>
      </c>
      <c r="H206" s="53" t="str">
        <f aca="true">IF(A206="","",IF(NOT(AND(ISNUMBER(C206),ISNUMBER(D206))),"Sem data definida",IF(D206&lt;C206,"⚠ Datas invertidas",IF(TODAY()&lt;C206,IF(C206-TODAY()=1,"Começa amanhã","Começa em "&amp;(C206-TODAY())&amp;" dias"),IF(TODAY()&gt;D206,"Concluídas",IF(TODAY()=D206,"EM FÉRIAS (último dia)","EM FÉRIAS (faltam "&amp;(D206-TODAY())&amp;" dias)"))))))</f>
        <v/>
      </c>
      <c r="I206" s="53" t="str">
        <f aca="false">IF(OR(A206="",NOT(AND(ISNUMBER(C206),ISNUMBER(D206)))),"",IF(D206-C206+1&gt;30,"⚠ Período acima de 30 dias",IF(COUNTIFS($B$2:$B$301,B206,$C$2:$C$301,"&lt;="&amp;D206,$D$2:$D$301,"&gt;="&amp;C206)&gt;1,"⚠ Coincide com férias de outro do setor","")))</f>
        <v/>
      </c>
      <c r="K206" s="0" t="str">
        <f aca="true">IF(AND(ISNUMBER(C206),ISNUMBER(D206),C206&lt;=TODAY(),D206&gt;=TODAY()),D206+ROW()/100000,"")</f>
        <v/>
      </c>
      <c r="L206" s="0" t="str">
        <f aca="true">IF(AND(ISNUMBER(C206),C206&gt;TODAY(),C206&lt;=TODAY()+30),C206+ROW()/100000,"")</f>
        <v/>
      </c>
      <c r="M206" s="0" t="str">
        <f aca="false">IF(AND(ISNUMBER(C206),ISNUMBER(D206),C206&lt;=CALENDÁRIO!$L$4,D206&gt;=CALENDÁRIO!$L$4),ROW(),"")</f>
        <v/>
      </c>
    </row>
    <row r="207" customFormat="false" ht="15" hidden="false" customHeight="true" outlineLevel="0" collapsed="false">
      <c r="A207" s="52"/>
      <c r="B207" s="52"/>
      <c r="C207" s="51"/>
      <c r="D207" s="51"/>
      <c r="E207" s="52"/>
      <c r="F207" s="61" t="str">
        <f aca="false">IF(AND(ISNUMBER(C207),ISNUMBER(D207),D207&gt;=C207),D207-C207+1,"")</f>
        <v/>
      </c>
      <c r="G207" s="62" t="str">
        <f aca="false">IF(AND(ISNUMBER(C207),ISNUMBER(D207),D207&gt;=C207),WORKDAY(D207,1),"")</f>
        <v/>
      </c>
      <c r="H207" s="53" t="str">
        <f aca="true">IF(A207="","",IF(NOT(AND(ISNUMBER(C207),ISNUMBER(D207))),"Sem data definida",IF(D207&lt;C207,"⚠ Datas invertidas",IF(TODAY()&lt;C207,IF(C207-TODAY()=1,"Começa amanhã","Começa em "&amp;(C207-TODAY())&amp;" dias"),IF(TODAY()&gt;D207,"Concluídas",IF(TODAY()=D207,"EM FÉRIAS (último dia)","EM FÉRIAS (faltam "&amp;(D207-TODAY())&amp;" dias)"))))))</f>
        <v/>
      </c>
      <c r="I207" s="53" t="str">
        <f aca="false">IF(OR(A207="",NOT(AND(ISNUMBER(C207),ISNUMBER(D207)))),"",IF(D207-C207+1&gt;30,"⚠ Período acima de 30 dias",IF(COUNTIFS($B$2:$B$301,B207,$C$2:$C$301,"&lt;="&amp;D207,$D$2:$D$301,"&gt;="&amp;C207)&gt;1,"⚠ Coincide com férias de outro do setor","")))</f>
        <v/>
      </c>
      <c r="K207" s="0" t="str">
        <f aca="true">IF(AND(ISNUMBER(C207),ISNUMBER(D207),C207&lt;=TODAY(),D207&gt;=TODAY()),D207+ROW()/100000,"")</f>
        <v/>
      </c>
      <c r="L207" s="0" t="str">
        <f aca="true">IF(AND(ISNUMBER(C207),C207&gt;TODAY(),C207&lt;=TODAY()+30),C207+ROW()/100000,"")</f>
        <v/>
      </c>
      <c r="M207" s="0" t="str">
        <f aca="false">IF(AND(ISNUMBER(C207),ISNUMBER(D207),C207&lt;=CALENDÁRIO!$L$4,D207&gt;=CALENDÁRIO!$L$4),ROW(),"")</f>
        <v/>
      </c>
    </row>
    <row r="208" customFormat="false" ht="15" hidden="false" customHeight="true" outlineLevel="0" collapsed="false">
      <c r="A208" s="52"/>
      <c r="B208" s="52"/>
      <c r="C208" s="51"/>
      <c r="D208" s="51"/>
      <c r="E208" s="52"/>
      <c r="F208" s="61" t="str">
        <f aca="false">IF(AND(ISNUMBER(C208),ISNUMBER(D208),D208&gt;=C208),D208-C208+1,"")</f>
        <v/>
      </c>
      <c r="G208" s="62" t="str">
        <f aca="false">IF(AND(ISNUMBER(C208),ISNUMBER(D208),D208&gt;=C208),WORKDAY(D208,1),"")</f>
        <v/>
      </c>
      <c r="H208" s="53" t="str">
        <f aca="true">IF(A208="","",IF(NOT(AND(ISNUMBER(C208),ISNUMBER(D208))),"Sem data definida",IF(D208&lt;C208,"⚠ Datas invertidas",IF(TODAY()&lt;C208,IF(C208-TODAY()=1,"Começa amanhã","Começa em "&amp;(C208-TODAY())&amp;" dias"),IF(TODAY()&gt;D208,"Concluídas",IF(TODAY()=D208,"EM FÉRIAS (último dia)","EM FÉRIAS (faltam "&amp;(D208-TODAY())&amp;" dias)"))))))</f>
        <v/>
      </c>
      <c r="I208" s="53" t="str">
        <f aca="false">IF(OR(A208="",NOT(AND(ISNUMBER(C208),ISNUMBER(D208)))),"",IF(D208-C208+1&gt;30,"⚠ Período acima de 30 dias",IF(COUNTIFS($B$2:$B$301,B208,$C$2:$C$301,"&lt;="&amp;D208,$D$2:$D$301,"&gt;="&amp;C208)&gt;1,"⚠ Coincide com férias de outro do setor","")))</f>
        <v/>
      </c>
      <c r="K208" s="0" t="str">
        <f aca="true">IF(AND(ISNUMBER(C208),ISNUMBER(D208),C208&lt;=TODAY(),D208&gt;=TODAY()),D208+ROW()/100000,"")</f>
        <v/>
      </c>
      <c r="L208" s="0" t="str">
        <f aca="true">IF(AND(ISNUMBER(C208),C208&gt;TODAY(),C208&lt;=TODAY()+30),C208+ROW()/100000,"")</f>
        <v/>
      </c>
      <c r="M208" s="0" t="str">
        <f aca="false">IF(AND(ISNUMBER(C208),ISNUMBER(D208),C208&lt;=CALENDÁRIO!$L$4,D208&gt;=CALENDÁRIO!$L$4),ROW(),"")</f>
        <v/>
      </c>
    </row>
    <row r="209" customFormat="false" ht="15" hidden="false" customHeight="true" outlineLevel="0" collapsed="false">
      <c r="A209" s="52"/>
      <c r="B209" s="52"/>
      <c r="C209" s="51"/>
      <c r="D209" s="51"/>
      <c r="E209" s="52"/>
      <c r="F209" s="61" t="str">
        <f aca="false">IF(AND(ISNUMBER(C209),ISNUMBER(D209),D209&gt;=C209),D209-C209+1,"")</f>
        <v/>
      </c>
      <c r="G209" s="62" t="str">
        <f aca="false">IF(AND(ISNUMBER(C209),ISNUMBER(D209),D209&gt;=C209),WORKDAY(D209,1),"")</f>
        <v/>
      </c>
      <c r="H209" s="53" t="str">
        <f aca="true">IF(A209="","",IF(NOT(AND(ISNUMBER(C209),ISNUMBER(D209))),"Sem data definida",IF(D209&lt;C209,"⚠ Datas invertidas",IF(TODAY()&lt;C209,IF(C209-TODAY()=1,"Começa amanhã","Começa em "&amp;(C209-TODAY())&amp;" dias"),IF(TODAY()&gt;D209,"Concluídas",IF(TODAY()=D209,"EM FÉRIAS (último dia)","EM FÉRIAS (faltam "&amp;(D209-TODAY())&amp;" dias)"))))))</f>
        <v/>
      </c>
      <c r="I209" s="53" t="str">
        <f aca="false">IF(OR(A209="",NOT(AND(ISNUMBER(C209),ISNUMBER(D209)))),"",IF(D209-C209+1&gt;30,"⚠ Período acima de 30 dias",IF(COUNTIFS($B$2:$B$301,B209,$C$2:$C$301,"&lt;="&amp;D209,$D$2:$D$301,"&gt;="&amp;C209)&gt;1,"⚠ Coincide com férias de outro do setor","")))</f>
        <v/>
      </c>
      <c r="K209" s="0" t="str">
        <f aca="true">IF(AND(ISNUMBER(C209),ISNUMBER(D209),C209&lt;=TODAY(),D209&gt;=TODAY()),D209+ROW()/100000,"")</f>
        <v/>
      </c>
      <c r="L209" s="0" t="str">
        <f aca="true">IF(AND(ISNUMBER(C209),C209&gt;TODAY(),C209&lt;=TODAY()+30),C209+ROW()/100000,"")</f>
        <v/>
      </c>
      <c r="M209" s="0" t="str">
        <f aca="false">IF(AND(ISNUMBER(C209),ISNUMBER(D209),C209&lt;=CALENDÁRIO!$L$4,D209&gt;=CALENDÁRIO!$L$4),ROW(),"")</f>
        <v/>
      </c>
    </row>
    <row r="210" customFormat="false" ht="15" hidden="false" customHeight="true" outlineLevel="0" collapsed="false">
      <c r="A210" s="52"/>
      <c r="B210" s="52"/>
      <c r="C210" s="51"/>
      <c r="D210" s="51"/>
      <c r="E210" s="52"/>
      <c r="F210" s="61" t="str">
        <f aca="false">IF(AND(ISNUMBER(C210),ISNUMBER(D210),D210&gt;=C210),D210-C210+1,"")</f>
        <v/>
      </c>
      <c r="G210" s="62" t="str">
        <f aca="false">IF(AND(ISNUMBER(C210),ISNUMBER(D210),D210&gt;=C210),WORKDAY(D210,1),"")</f>
        <v/>
      </c>
      <c r="H210" s="53" t="str">
        <f aca="true">IF(A210="","",IF(NOT(AND(ISNUMBER(C210),ISNUMBER(D210))),"Sem data definida",IF(D210&lt;C210,"⚠ Datas invertidas",IF(TODAY()&lt;C210,IF(C210-TODAY()=1,"Começa amanhã","Começa em "&amp;(C210-TODAY())&amp;" dias"),IF(TODAY()&gt;D210,"Concluídas",IF(TODAY()=D210,"EM FÉRIAS (último dia)","EM FÉRIAS (faltam "&amp;(D210-TODAY())&amp;" dias)"))))))</f>
        <v/>
      </c>
      <c r="I210" s="53" t="str">
        <f aca="false">IF(OR(A210="",NOT(AND(ISNUMBER(C210),ISNUMBER(D210)))),"",IF(D210-C210+1&gt;30,"⚠ Período acima de 30 dias",IF(COUNTIFS($B$2:$B$301,B210,$C$2:$C$301,"&lt;="&amp;D210,$D$2:$D$301,"&gt;="&amp;C210)&gt;1,"⚠ Coincide com férias de outro do setor","")))</f>
        <v/>
      </c>
      <c r="K210" s="0" t="str">
        <f aca="true">IF(AND(ISNUMBER(C210),ISNUMBER(D210),C210&lt;=TODAY(),D210&gt;=TODAY()),D210+ROW()/100000,"")</f>
        <v/>
      </c>
      <c r="L210" s="0" t="str">
        <f aca="true">IF(AND(ISNUMBER(C210),C210&gt;TODAY(),C210&lt;=TODAY()+30),C210+ROW()/100000,"")</f>
        <v/>
      </c>
      <c r="M210" s="0" t="str">
        <f aca="false">IF(AND(ISNUMBER(C210),ISNUMBER(D210),C210&lt;=CALENDÁRIO!$L$4,D210&gt;=CALENDÁRIO!$L$4),ROW(),"")</f>
        <v/>
      </c>
    </row>
    <row r="211" customFormat="false" ht="15" hidden="false" customHeight="true" outlineLevel="0" collapsed="false">
      <c r="A211" s="52"/>
      <c r="B211" s="52"/>
      <c r="C211" s="51"/>
      <c r="D211" s="51"/>
      <c r="E211" s="52"/>
      <c r="F211" s="61" t="str">
        <f aca="false">IF(AND(ISNUMBER(C211),ISNUMBER(D211),D211&gt;=C211),D211-C211+1,"")</f>
        <v/>
      </c>
      <c r="G211" s="62" t="str">
        <f aca="false">IF(AND(ISNUMBER(C211),ISNUMBER(D211),D211&gt;=C211),WORKDAY(D211,1),"")</f>
        <v/>
      </c>
      <c r="H211" s="53" t="str">
        <f aca="true">IF(A211="","",IF(NOT(AND(ISNUMBER(C211),ISNUMBER(D211))),"Sem data definida",IF(D211&lt;C211,"⚠ Datas invertidas",IF(TODAY()&lt;C211,IF(C211-TODAY()=1,"Começa amanhã","Começa em "&amp;(C211-TODAY())&amp;" dias"),IF(TODAY()&gt;D211,"Concluídas",IF(TODAY()=D211,"EM FÉRIAS (último dia)","EM FÉRIAS (faltam "&amp;(D211-TODAY())&amp;" dias)"))))))</f>
        <v/>
      </c>
      <c r="I211" s="53" t="str">
        <f aca="false">IF(OR(A211="",NOT(AND(ISNUMBER(C211),ISNUMBER(D211)))),"",IF(D211-C211+1&gt;30,"⚠ Período acima de 30 dias",IF(COUNTIFS($B$2:$B$301,B211,$C$2:$C$301,"&lt;="&amp;D211,$D$2:$D$301,"&gt;="&amp;C211)&gt;1,"⚠ Coincide com férias de outro do setor","")))</f>
        <v/>
      </c>
      <c r="K211" s="0" t="str">
        <f aca="true">IF(AND(ISNUMBER(C211),ISNUMBER(D211),C211&lt;=TODAY(),D211&gt;=TODAY()),D211+ROW()/100000,"")</f>
        <v/>
      </c>
      <c r="L211" s="0" t="str">
        <f aca="true">IF(AND(ISNUMBER(C211),C211&gt;TODAY(),C211&lt;=TODAY()+30),C211+ROW()/100000,"")</f>
        <v/>
      </c>
      <c r="M211" s="0" t="str">
        <f aca="false">IF(AND(ISNUMBER(C211),ISNUMBER(D211),C211&lt;=CALENDÁRIO!$L$4,D211&gt;=CALENDÁRIO!$L$4),ROW(),"")</f>
        <v/>
      </c>
    </row>
    <row r="212" customFormat="false" ht="15" hidden="false" customHeight="true" outlineLevel="0" collapsed="false">
      <c r="A212" s="52"/>
      <c r="B212" s="52"/>
      <c r="C212" s="51"/>
      <c r="D212" s="51"/>
      <c r="E212" s="52"/>
      <c r="F212" s="61" t="str">
        <f aca="false">IF(AND(ISNUMBER(C212),ISNUMBER(D212),D212&gt;=C212),D212-C212+1,"")</f>
        <v/>
      </c>
      <c r="G212" s="62" t="str">
        <f aca="false">IF(AND(ISNUMBER(C212),ISNUMBER(D212),D212&gt;=C212),WORKDAY(D212,1),"")</f>
        <v/>
      </c>
      <c r="H212" s="53" t="str">
        <f aca="true">IF(A212="","",IF(NOT(AND(ISNUMBER(C212),ISNUMBER(D212))),"Sem data definida",IF(D212&lt;C212,"⚠ Datas invertidas",IF(TODAY()&lt;C212,IF(C212-TODAY()=1,"Começa amanhã","Começa em "&amp;(C212-TODAY())&amp;" dias"),IF(TODAY()&gt;D212,"Concluídas",IF(TODAY()=D212,"EM FÉRIAS (último dia)","EM FÉRIAS (faltam "&amp;(D212-TODAY())&amp;" dias)"))))))</f>
        <v/>
      </c>
      <c r="I212" s="53" t="str">
        <f aca="false">IF(OR(A212="",NOT(AND(ISNUMBER(C212),ISNUMBER(D212)))),"",IF(D212-C212+1&gt;30,"⚠ Período acima de 30 dias",IF(COUNTIFS($B$2:$B$301,B212,$C$2:$C$301,"&lt;="&amp;D212,$D$2:$D$301,"&gt;="&amp;C212)&gt;1,"⚠ Coincide com férias de outro do setor","")))</f>
        <v/>
      </c>
      <c r="K212" s="0" t="str">
        <f aca="true">IF(AND(ISNUMBER(C212),ISNUMBER(D212),C212&lt;=TODAY(),D212&gt;=TODAY()),D212+ROW()/100000,"")</f>
        <v/>
      </c>
      <c r="L212" s="0" t="str">
        <f aca="true">IF(AND(ISNUMBER(C212),C212&gt;TODAY(),C212&lt;=TODAY()+30),C212+ROW()/100000,"")</f>
        <v/>
      </c>
      <c r="M212" s="0" t="str">
        <f aca="false">IF(AND(ISNUMBER(C212),ISNUMBER(D212),C212&lt;=CALENDÁRIO!$L$4,D212&gt;=CALENDÁRIO!$L$4),ROW(),"")</f>
        <v/>
      </c>
    </row>
    <row r="213" customFormat="false" ht="15" hidden="false" customHeight="true" outlineLevel="0" collapsed="false">
      <c r="A213" s="52"/>
      <c r="B213" s="52"/>
      <c r="C213" s="51"/>
      <c r="D213" s="51"/>
      <c r="E213" s="52"/>
      <c r="F213" s="61" t="str">
        <f aca="false">IF(AND(ISNUMBER(C213),ISNUMBER(D213),D213&gt;=C213),D213-C213+1,"")</f>
        <v/>
      </c>
      <c r="G213" s="62" t="str">
        <f aca="false">IF(AND(ISNUMBER(C213),ISNUMBER(D213),D213&gt;=C213),WORKDAY(D213,1),"")</f>
        <v/>
      </c>
      <c r="H213" s="53" t="str">
        <f aca="true">IF(A213="","",IF(NOT(AND(ISNUMBER(C213),ISNUMBER(D213))),"Sem data definida",IF(D213&lt;C213,"⚠ Datas invertidas",IF(TODAY()&lt;C213,IF(C213-TODAY()=1,"Começa amanhã","Começa em "&amp;(C213-TODAY())&amp;" dias"),IF(TODAY()&gt;D213,"Concluídas",IF(TODAY()=D213,"EM FÉRIAS (último dia)","EM FÉRIAS (faltam "&amp;(D213-TODAY())&amp;" dias)"))))))</f>
        <v/>
      </c>
      <c r="I213" s="53" t="str">
        <f aca="false">IF(OR(A213="",NOT(AND(ISNUMBER(C213),ISNUMBER(D213)))),"",IF(D213-C213+1&gt;30,"⚠ Período acima de 30 dias",IF(COUNTIFS($B$2:$B$301,B213,$C$2:$C$301,"&lt;="&amp;D213,$D$2:$D$301,"&gt;="&amp;C213)&gt;1,"⚠ Coincide com férias de outro do setor","")))</f>
        <v/>
      </c>
      <c r="K213" s="0" t="str">
        <f aca="true">IF(AND(ISNUMBER(C213),ISNUMBER(D213),C213&lt;=TODAY(),D213&gt;=TODAY()),D213+ROW()/100000,"")</f>
        <v/>
      </c>
      <c r="L213" s="0" t="str">
        <f aca="true">IF(AND(ISNUMBER(C213),C213&gt;TODAY(),C213&lt;=TODAY()+30),C213+ROW()/100000,"")</f>
        <v/>
      </c>
      <c r="M213" s="0" t="str">
        <f aca="false">IF(AND(ISNUMBER(C213),ISNUMBER(D213),C213&lt;=CALENDÁRIO!$L$4,D213&gt;=CALENDÁRIO!$L$4),ROW(),"")</f>
        <v/>
      </c>
    </row>
    <row r="214" customFormat="false" ht="15" hidden="false" customHeight="true" outlineLevel="0" collapsed="false">
      <c r="A214" s="52"/>
      <c r="B214" s="52"/>
      <c r="C214" s="51"/>
      <c r="D214" s="51"/>
      <c r="E214" s="52"/>
      <c r="F214" s="61" t="str">
        <f aca="false">IF(AND(ISNUMBER(C214),ISNUMBER(D214),D214&gt;=C214),D214-C214+1,"")</f>
        <v/>
      </c>
      <c r="G214" s="62" t="str">
        <f aca="false">IF(AND(ISNUMBER(C214),ISNUMBER(D214),D214&gt;=C214),WORKDAY(D214,1),"")</f>
        <v/>
      </c>
      <c r="H214" s="53" t="str">
        <f aca="true">IF(A214="","",IF(NOT(AND(ISNUMBER(C214),ISNUMBER(D214))),"Sem data definida",IF(D214&lt;C214,"⚠ Datas invertidas",IF(TODAY()&lt;C214,IF(C214-TODAY()=1,"Começa amanhã","Começa em "&amp;(C214-TODAY())&amp;" dias"),IF(TODAY()&gt;D214,"Concluídas",IF(TODAY()=D214,"EM FÉRIAS (último dia)","EM FÉRIAS (faltam "&amp;(D214-TODAY())&amp;" dias)"))))))</f>
        <v/>
      </c>
      <c r="I214" s="53" t="str">
        <f aca="false">IF(OR(A214="",NOT(AND(ISNUMBER(C214),ISNUMBER(D214)))),"",IF(D214-C214+1&gt;30,"⚠ Período acima de 30 dias",IF(COUNTIFS($B$2:$B$301,B214,$C$2:$C$301,"&lt;="&amp;D214,$D$2:$D$301,"&gt;="&amp;C214)&gt;1,"⚠ Coincide com férias de outro do setor","")))</f>
        <v/>
      </c>
      <c r="K214" s="0" t="str">
        <f aca="true">IF(AND(ISNUMBER(C214),ISNUMBER(D214),C214&lt;=TODAY(),D214&gt;=TODAY()),D214+ROW()/100000,"")</f>
        <v/>
      </c>
      <c r="L214" s="0" t="str">
        <f aca="true">IF(AND(ISNUMBER(C214),C214&gt;TODAY(),C214&lt;=TODAY()+30),C214+ROW()/100000,"")</f>
        <v/>
      </c>
      <c r="M214" s="0" t="str">
        <f aca="false">IF(AND(ISNUMBER(C214),ISNUMBER(D214),C214&lt;=CALENDÁRIO!$L$4,D214&gt;=CALENDÁRIO!$L$4),ROW(),"")</f>
        <v/>
      </c>
    </row>
    <row r="215" customFormat="false" ht="15" hidden="false" customHeight="true" outlineLevel="0" collapsed="false">
      <c r="A215" s="52"/>
      <c r="B215" s="52"/>
      <c r="C215" s="51"/>
      <c r="D215" s="51"/>
      <c r="E215" s="52"/>
      <c r="F215" s="61" t="str">
        <f aca="false">IF(AND(ISNUMBER(C215),ISNUMBER(D215),D215&gt;=C215),D215-C215+1,"")</f>
        <v/>
      </c>
      <c r="G215" s="62" t="str">
        <f aca="false">IF(AND(ISNUMBER(C215),ISNUMBER(D215),D215&gt;=C215),WORKDAY(D215,1),"")</f>
        <v/>
      </c>
      <c r="H215" s="53" t="str">
        <f aca="true">IF(A215="","",IF(NOT(AND(ISNUMBER(C215),ISNUMBER(D215))),"Sem data definida",IF(D215&lt;C215,"⚠ Datas invertidas",IF(TODAY()&lt;C215,IF(C215-TODAY()=1,"Começa amanhã","Começa em "&amp;(C215-TODAY())&amp;" dias"),IF(TODAY()&gt;D215,"Concluídas",IF(TODAY()=D215,"EM FÉRIAS (último dia)","EM FÉRIAS (faltam "&amp;(D215-TODAY())&amp;" dias)"))))))</f>
        <v/>
      </c>
      <c r="I215" s="53" t="str">
        <f aca="false">IF(OR(A215="",NOT(AND(ISNUMBER(C215),ISNUMBER(D215)))),"",IF(D215-C215+1&gt;30,"⚠ Período acima de 30 dias",IF(COUNTIFS($B$2:$B$301,B215,$C$2:$C$301,"&lt;="&amp;D215,$D$2:$D$301,"&gt;="&amp;C215)&gt;1,"⚠ Coincide com férias de outro do setor","")))</f>
        <v/>
      </c>
      <c r="K215" s="0" t="str">
        <f aca="true">IF(AND(ISNUMBER(C215),ISNUMBER(D215),C215&lt;=TODAY(),D215&gt;=TODAY()),D215+ROW()/100000,"")</f>
        <v/>
      </c>
      <c r="L215" s="0" t="str">
        <f aca="true">IF(AND(ISNUMBER(C215),C215&gt;TODAY(),C215&lt;=TODAY()+30),C215+ROW()/100000,"")</f>
        <v/>
      </c>
      <c r="M215" s="0" t="str">
        <f aca="false">IF(AND(ISNUMBER(C215),ISNUMBER(D215),C215&lt;=CALENDÁRIO!$L$4,D215&gt;=CALENDÁRIO!$L$4),ROW(),"")</f>
        <v/>
      </c>
    </row>
    <row r="216" customFormat="false" ht="15" hidden="false" customHeight="true" outlineLevel="0" collapsed="false">
      <c r="A216" s="52"/>
      <c r="B216" s="52"/>
      <c r="C216" s="51"/>
      <c r="D216" s="51"/>
      <c r="E216" s="52"/>
      <c r="F216" s="61" t="str">
        <f aca="false">IF(AND(ISNUMBER(C216),ISNUMBER(D216),D216&gt;=C216),D216-C216+1,"")</f>
        <v/>
      </c>
      <c r="G216" s="62" t="str">
        <f aca="false">IF(AND(ISNUMBER(C216),ISNUMBER(D216),D216&gt;=C216),WORKDAY(D216,1),"")</f>
        <v/>
      </c>
      <c r="H216" s="53" t="str">
        <f aca="true">IF(A216="","",IF(NOT(AND(ISNUMBER(C216),ISNUMBER(D216))),"Sem data definida",IF(D216&lt;C216,"⚠ Datas invertidas",IF(TODAY()&lt;C216,IF(C216-TODAY()=1,"Começa amanhã","Começa em "&amp;(C216-TODAY())&amp;" dias"),IF(TODAY()&gt;D216,"Concluídas",IF(TODAY()=D216,"EM FÉRIAS (último dia)","EM FÉRIAS (faltam "&amp;(D216-TODAY())&amp;" dias)"))))))</f>
        <v/>
      </c>
      <c r="I216" s="53" t="str">
        <f aca="false">IF(OR(A216="",NOT(AND(ISNUMBER(C216),ISNUMBER(D216)))),"",IF(D216-C216+1&gt;30,"⚠ Período acima de 30 dias",IF(COUNTIFS($B$2:$B$301,B216,$C$2:$C$301,"&lt;="&amp;D216,$D$2:$D$301,"&gt;="&amp;C216)&gt;1,"⚠ Coincide com férias de outro do setor","")))</f>
        <v/>
      </c>
      <c r="K216" s="0" t="str">
        <f aca="true">IF(AND(ISNUMBER(C216),ISNUMBER(D216),C216&lt;=TODAY(),D216&gt;=TODAY()),D216+ROW()/100000,"")</f>
        <v/>
      </c>
      <c r="L216" s="0" t="str">
        <f aca="true">IF(AND(ISNUMBER(C216),C216&gt;TODAY(),C216&lt;=TODAY()+30),C216+ROW()/100000,"")</f>
        <v/>
      </c>
      <c r="M216" s="0" t="str">
        <f aca="false">IF(AND(ISNUMBER(C216),ISNUMBER(D216),C216&lt;=CALENDÁRIO!$L$4,D216&gt;=CALENDÁRIO!$L$4),ROW(),"")</f>
        <v/>
      </c>
    </row>
    <row r="217" customFormat="false" ht="15" hidden="false" customHeight="true" outlineLevel="0" collapsed="false">
      <c r="A217" s="52"/>
      <c r="B217" s="52"/>
      <c r="C217" s="51"/>
      <c r="D217" s="51"/>
      <c r="E217" s="52"/>
      <c r="F217" s="61" t="str">
        <f aca="false">IF(AND(ISNUMBER(C217),ISNUMBER(D217),D217&gt;=C217),D217-C217+1,"")</f>
        <v/>
      </c>
      <c r="G217" s="62" t="str">
        <f aca="false">IF(AND(ISNUMBER(C217),ISNUMBER(D217),D217&gt;=C217),WORKDAY(D217,1),"")</f>
        <v/>
      </c>
      <c r="H217" s="53" t="str">
        <f aca="true">IF(A217="","",IF(NOT(AND(ISNUMBER(C217),ISNUMBER(D217))),"Sem data definida",IF(D217&lt;C217,"⚠ Datas invertidas",IF(TODAY()&lt;C217,IF(C217-TODAY()=1,"Começa amanhã","Começa em "&amp;(C217-TODAY())&amp;" dias"),IF(TODAY()&gt;D217,"Concluídas",IF(TODAY()=D217,"EM FÉRIAS (último dia)","EM FÉRIAS (faltam "&amp;(D217-TODAY())&amp;" dias)"))))))</f>
        <v/>
      </c>
      <c r="I217" s="53" t="str">
        <f aca="false">IF(OR(A217="",NOT(AND(ISNUMBER(C217),ISNUMBER(D217)))),"",IF(D217-C217+1&gt;30,"⚠ Período acima de 30 dias",IF(COUNTIFS($B$2:$B$301,B217,$C$2:$C$301,"&lt;="&amp;D217,$D$2:$D$301,"&gt;="&amp;C217)&gt;1,"⚠ Coincide com férias de outro do setor","")))</f>
        <v/>
      </c>
      <c r="K217" s="0" t="str">
        <f aca="true">IF(AND(ISNUMBER(C217),ISNUMBER(D217),C217&lt;=TODAY(),D217&gt;=TODAY()),D217+ROW()/100000,"")</f>
        <v/>
      </c>
      <c r="L217" s="0" t="str">
        <f aca="true">IF(AND(ISNUMBER(C217),C217&gt;TODAY(),C217&lt;=TODAY()+30),C217+ROW()/100000,"")</f>
        <v/>
      </c>
      <c r="M217" s="0" t="str">
        <f aca="false">IF(AND(ISNUMBER(C217),ISNUMBER(D217),C217&lt;=CALENDÁRIO!$L$4,D217&gt;=CALENDÁRIO!$L$4),ROW(),"")</f>
        <v/>
      </c>
    </row>
    <row r="218" customFormat="false" ht="15" hidden="false" customHeight="true" outlineLevel="0" collapsed="false">
      <c r="A218" s="52"/>
      <c r="B218" s="52"/>
      <c r="C218" s="51"/>
      <c r="D218" s="51"/>
      <c r="E218" s="52"/>
      <c r="F218" s="61" t="str">
        <f aca="false">IF(AND(ISNUMBER(C218),ISNUMBER(D218),D218&gt;=C218),D218-C218+1,"")</f>
        <v/>
      </c>
      <c r="G218" s="62" t="str">
        <f aca="false">IF(AND(ISNUMBER(C218),ISNUMBER(D218),D218&gt;=C218),WORKDAY(D218,1),"")</f>
        <v/>
      </c>
      <c r="H218" s="53" t="str">
        <f aca="true">IF(A218="","",IF(NOT(AND(ISNUMBER(C218),ISNUMBER(D218))),"Sem data definida",IF(D218&lt;C218,"⚠ Datas invertidas",IF(TODAY()&lt;C218,IF(C218-TODAY()=1,"Começa amanhã","Começa em "&amp;(C218-TODAY())&amp;" dias"),IF(TODAY()&gt;D218,"Concluídas",IF(TODAY()=D218,"EM FÉRIAS (último dia)","EM FÉRIAS (faltam "&amp;(D218-TODAY())&amp;" dias)"))))))</f>
        <v/>
      </c>
      <c r="I218" s="53" t="str">
        <f aca="false">IF(OR(A218="",NOT(AND(ISNUMBER(C218),ISNUMBER(D218)))),"",IF(D218-C218+1&gt;30,"⚠ Período acima de 30 dias",IF(COUNTIFS($B$2:$B$301,B218,$C$2:$C$301,"&lt;="&amp;D218,$D$2:$D$301,"&gt;="&amp;C218)&gt;1,"⚠ Coincide com férias de outro do setor","")))</f>
        <v/>
      </c>
      <c r="K218" s="0" t="str">
        <f aca="true">IF(AND(ISNUMBER(C218),ISNUMBER(D218),C218&lt;=TODAY(),D218&gt;=TODAY()),D218+ROW()/100000,"")</f>
        <v/>
      </c>
      <c r="L218" s="0" t="str">
        <f aca="true">IF(AND(ISNUMBER(C218),C218&gt;TODAY(),C218&lt;=TODAY()+30),C218+ROW()/100000,"")</f>
        <v/>
      </c>
      <c r="M218" s="0" t="str">
        <f aca="false">IF(AND(ISNUMBER(C218),ISNUMBER(D218),C218&lt;=CALENDÁRIO!$L$4,D218&gt;=CALENDÁRIO!$L$4),ROW(),"")</f>
        <v/>
      </c>
    </row>
    <row r="219" customFormat="false" ht="15" hidden="false" customHeight="true" outlineLevel="0" collapsed="false">
      <c r="A219" s="52"/>
      <c r="B219" s="52"/>
      <c r="C219" s="51"/>
      <c r="D219" s="51"/>
      <c r="E219" s="52"/>
      <c r="F219" s="61" t="str">
        <f aca="false">IF(AND(ISNUMBER(C219),ISNUMBER(D219),D219&gt;=C219),D219-C219+1,"")</f>
        <v/>
      </c>
      <c r="G219" s="62" t="str">
        <f aca="false">IF(AND(ISNUMBER(C219),ISNUMBER(D219),D219&gt;=C219),WORKDAY(D219,1),"")</f>
        <v/>
      </c>
      <c r="H219" s="53" t="str">
        <f aca="true">IF(A219="","",IF(NOT(AND(ISNUMBER(C219),ISNUMBER(D219))),"Sem data definida",IF(D219&lt;C219,"⚠ Datas invertidas",IF(TODAY()&lt;C219,IF(C219-TODAY()=1,"Começa amanhã","Começa em "&amp;(C219-TODAY())&amp;" dias"),IF(TODAY()&gt;D219,"Concluídas",IF(TODAY()=D219,"EM FÉRIAS (último dia)","EM FÉRIAS (faltam "&amp;(D219-TODAY())&amp;" dias)"))))))</f>
        <v/>
      </c>
      <c r="I219" s="53" t="str">
        <f aca="false">IF(OR(A219="",NOT(AND(ISNUMBER(C219),ISNUMBER(D219)))),"",IF(D219-C219+1&gt;30,"⚠ Período acima de 30 dias",IF(COUNTIFS($B$2:$B$301,B219,$C$2:$C$301,"&lt;="&amp;D219,$D$2:$D$301,"&gt;="&amp;C219)&gt;1,"⚠ Coincide com férias de outro do setor","")))</f>
        <v/>
      </c>
      <c r="K219" s="0" t="str">
        <f aca="true">IF(AND(ISNUMBER(C219),ISNUMBER(D219),C219&lt;=TODAY(),D219&gt;=TODAY()),D219+ROW()/100000,"")</f>
        <v/>
      </c>
      <c r="L219" s="0" t="str">
        <f aca="true">IF(AND(ISNUMBER(C219),C219&gt;TODAY(),C219&lt;=TODAY()+30),C219+ROW()/100000,"")</f>
        <v/>
      </c>
      <c r="M219" s="0" t="str">
        <f aca="false">IF(AND(ISNUMBER(C219),ISNUMBER(D219),C219&lt;=CALENDÁRIO!$L$4,D219&gt;=CALENDÁRIO!$L$4),ROW(),"")</f>
        <v/>
      </c>
    </row>
    <row r="220" customFormat="false" ht="15" hidden="false" customHeight="true" outlineLevel="0" collapsed="false">
      <c r="A220" s="52"/>
      <c r="B220" s="52"/>
      <c r="C220" s="51"/>
      <c r="D220" s="51"/>
      <c r="E220" s="52"/>
      <c r="F220" s="61" t="str">
        <f aca="false">IF(AND(ISNUMBER(C220),ISNUMBER(D220),D220&gt;=C220),D220-C220+1,"")</f>
        <v/>
      </c>
      <c r="G220" s="62" t="str">
        <f aca="false">IF(AND(ISNUMBER(C220),ISNUMBER(D220),D220&gt;=C220),WORKDAY(D220,1),"")</f>
        <v/>
      </c>
      <c r="H220" s="53" t="str">
        <f aca="true">IF(A220="","",IF(NOT(AND(ISNUMBER(C220),ISNUMBER(D220))),"Sem data definida",IF(D220&lt;C220,"⚠ Datas invertidas",IF(TODAY()&lt;C220,IF(C220-TODAY()=1,"Começa amanhã","Começa em "&amp;(C220-TODAY())&amp;" dias"),IF(TODAY()&gt;D220,"Concluídas",IF(TODAY()=D220,"EM FÉRIAS (último dia)","EM FÉRIAS (faltam "&amp;(D220-TODAY())&amp;" dias)"))))))</f>
        <v/>
      </c>
      <c r="I220" s="53" t="str">
        <f aca="false">IF(OR(A220="",NOT(AND(ISNUMBER(C220),ISNUMBER(D220)))),"",IF(D220-C220+1&gt;30,"⚠ Período acima de 30 dias",IF(COUNTIFS($B$2:$B$301,B220,$C$2:$C$301,"&lt;="&amp;D220,$D$2:$D$301,"&gt;="&amp;C220)&gt;1,"⚠ Coincide com férias de outro do setor","")))</f>
        <v/>
      </c>
      <c r="K220" s="0" t="str">
        <f aca="true">IF(AND(ISNUMBER(C220),ISNUMBER(D220),C220&lt;=TODAY(),D220&gt;=TODAY()),D220+ROW()/100000,"")</f>
        <v/>
      </c>
      <c r="L220" s="0" t="str">
        <f aca="true">IF(AND(ISNUMBER(C220),C220&gt;TODAY(),C220&lt;=TODAY()+30),C220+ROW()/100000,"")</f>
        <v/>
      </c>
      <c r="M220" s="0" t="str">
        <f aca="false">IF(AND(ISNUMBER(C220),ISNUMBER(D220),C220&lt;=CALENDÁRIO!$L$4,D220&gt;=CALENDÁRIO!$L$4),ROW(),"")</f>
        <v/>
      </c>
    </row>
    <row r="221" customFormat="false" ht="15" hidden="false" customHeight="true" outlineLevel="0" collapsed="false">
      <c r="A221" s="52"/>
      <c r="B221" s="52"/>
      <c r="C221" s="51"/>
      <c r="D221" s="51"/>
      <c r="E221" s="52"/>
      <c r="F221" s="61" t="str">
        <f aca="false">IF(AND(ISNUMBER(C221),ISNUMBER(D221),D221&gt;=C221),D221-C221+1,"")</f>
        <v/>
      </c>
      <c r="G221" s="62" t="str">
        <f aca="false">IF(AND(ISNUMBER(C221),ISNUMBER(D221),D221&gt;=C221),WORKDAY(D221,1),"")</f>
        <v/>
      </c>
      <c r="H221" s="53" t="str">
        <f aca="true">IF(A221="","",IF(NOT(AND(ISNUMBER(C221),ISNUMBER(D221))),"Sem data definida",IF(D221&lt;C221,"⚠ Datas invertidas",IF(TODAY()&lt;C221,IF(C221-TODAY()=1,"Começa amanhã","Começa em "&amp;(C221-TODAY())&amp;" dias"),IF(TODAY()&gt;D221,"Concluídas",IF(TODAY()=D221,"EM FÉRIAS (último dia)","EM FÉRIAS (faltam "&amp;(D221-TODAY())&amp;" dias)"))))))</f>
        <v/>
      </c>
      <c r="I221" s="53" t="str">
        <f aca="false">IF(OR(A221="",NOT(AND(ISNUMBER(C221),ISNUMBER(D221)))),"",IF(D221-C221+1&gt;30,"⚠ Período acima de 30 dias",IF(COUNTIFS($B$2:$B$301,B221,$C$2:$C$301,"&lt;="&amp;D221,$D$2:$D$301,"&gt;="&amp;C221)&gt;1,"⚠ Coincide com férias de outro do setor","")))</f>
        <v/>
      </c>
      <c r="K221" s="0" t="str">
        <f aca="true">IF(AND(ISNUMBER(C221),ISNUMBER(D221),C221&lt;=TODAY(),D221&gt;=TODAY()),D221+ROW()/100000,"")</f>
        <v/>
      </c>
      <c r="L221" s="0" t="str">
        <f aca="true">IF(AND(ISNUMBER(C221),C221&gt;TODAY(),C221&lt;=TODAY()+30),C221+ROW()/100000,"")</f>
        <v/>
      </c>
      <c r="M221" s="0" t="str">
        <f aca="false">IF(AND(ISNUMBER(C221),ISNUMBER(D221),C221&lt;=CALENDÁRIO!$L$4,D221&gt;=CALENDÁRIO!$L$4),ROW(),"")</f>
        <v/>
      </c>
    </row>
    <row r="222" customFormat="false" ht="15" hidden="false" customHeight="true" outlineLevel="0" collapsed="false">
      <c r="A222" s="52"/>
      <c r="B222" s="52"/>
      <c r="C222" s="51"/>
      <c r="D222" s="51"/>
      <c r="E222" s="52"/>
      <c r="F222" s="61" t="str">
        <f aca="false">IF(AND(ISNUMBER(C222),ISNUMBER(D222),D222&gt;=C222),D222-C222+1,"")</f>
        <v/>
      </c>
      <c r="G222" s="62" t="str">
        <f aca="false">IF(AND(ISNUMBER(C222),ISNUMBER(D222),D222&gt;=C222),WORKDAY(D222,1),"")</f>
        <v/>
      </c>
      <c r="H222" s="53" t="str">
        <f aca="true">IF(A222="","",IF(NOT(AND(ISNUMBER(C222),ISNUMBER(D222))),"Sem data definida",IF(D222&lt;C222,"⚠ Datas invertidas",IF(TODAY()&lt;C222,IF(C222-TODAY()=1,"Começa amanhã","Começa em "&amp;(C222-TODAY())&amp;" dias"),IF(TODAY()&gt;D222,"Concluídas",IF(TODAY()=D222,"EM FÉRIAS (último dia)","EM FÉRIAS (faltam "&amp;(D222-TODAY())&amp;" dias)"))))))</f>
        <v/>
      </c>
      <c r="I222" s="53" t="str">
        <f aca="false">IF(OR(A222="",NOT(AND(ISNUMBER(C222),ISNUMBER(D222)))),"",IF(D222-C222+1&gt;30,"⚠ Período acima de 30 dias",IF(COUNTIFS($B$2:$B$301,B222,$C$2:$C$301,"&lt;="&amp;D222,$D$2:$D$301,"&gt;="&amp;C222)&gt;1,"⚠ Coincide com férias de outro do setor","")))</f>
        <v/>
      </c>
      <c r="K222" s="0" t="str">
        <f aca="true">IF(AND(ISNUMBER(C222),ISNUMBER(D222),C222&lt;=TODAY(),D222&gt;=TODAY()),D222+ROW()/100000,"")</f>
        <v/>
      </c>
      <c r="L222" s="0" t="str">
        <f aca="true">IF(AND(ISNUMBER(C222),C222&gt;TODAY(),C222&lt;=TODAY()+30),C222+ROW()/100000,"")</f>
        <v/>
      </c>
      <c r="M222" s="0" t="str">
        <f aca="false">IF(AND(ISNUMBER(C222),ISNUMBER(D222),C222&lt;=CALENDÁRIO!$L$4,D222&gt;=CALENDÁRIO!$L$4),ROW(),"")</f>
        <v/>
      </c>
    </row>
    <row r="223" customFormat="false" ht="15" hidden="false" customHeight="true" outlineLevel="0" collapsed="false">
      <c r="A223" s="52"/>
      <c r="B223" s="52"/>
      <c r="C223" s="51"/>
      <c r="D223" s="51"/>
      <c r="E223" s="52"/>
      <c r="F223" s="61" t="str">
        <f aca="false">IF(AND(ISNUMBER(C223),ISNUMBER(D223),D223&gt;=C223),D223-C223+1,"")</f>
        <v/>
      </c>
      <c r="G223" s="62" t="str">
        <f aca="false">IF(AND(ISNUMBER(C223),ISNUMBER(D223),D223&gt;=C223),WORKDAY(D223,1),"")</f>
        <v/>
      </c>
      <c r="H223" s="53" t="str">
        <f aca="true">IF(A223="","",IF(NOT(AND(ISNUMBER(C223),ISNUMBER(D223))),"Sem data definida",IF(D223&lt;C223,"⚠ Datas invertidas",IF(TODAY()&lt;C223,IF(C223-TODAY()=1,"Começa amanhã","Começa em "&amp;(C223-TODAY())&amp;" dias"),IF(TODAY()&gt;D223,"Concluídas",IF(TODAY()=D223,"EM FÉRIAS (último dia)","EM FÉRIAS (faltam "&amp;(D223-TODAY())&amp;" dias)"))))))</f>
        <v/>
      </c>
      <c r="I223" s="53" t="str">
        <f aca="false">IF(OR(A223="",NOT(AND(ISNUMBER(C223),ISNUMBER(D223)))),"",IF(D223-C223+1&gt;30,"⚠ Período acima de 30 dias",IF(COUNTIFS($B$2:$B$301,B223,$C$2:$C$301,"&lt;="&amp;D223,$D$2:$D$301,"&gt;="&amp;C223)&gt;1,"⚠ Coincide com férias de outro do setor","")))</f>
        <v/>
      </c>
      <c r="K223" s="0" t="str">
        <f aca="true">IF(AND(ISNUMBER(C223),ISNUMBER(D223),C223&lt;=TODAY(),D223&gt;=TODAY()),D223+ROW()/100000,"")</f>
        <v/>
      </c>
      <c r="L223" s="0" t="str">
        <f aca="true">IF(AND(ISNUMBER(C223),C223&gt;TODAY(),C223&lt;=TODAY()+30),C223+ROW()/100000,"")</f>
        <v/>
      </c>
      <c r="M223" s="0" t="str">
        <f aca="false">IF(AND(ISNUMBER(C223),ISNUMBER(D223),C223&lt;=CALENDÁRIO!$L$4,D223&gt;=CALENDÁRIO!$L$4),ROW(),"")</f>
        <v/>
      </c>
    </row>
    <row r="224" customFormat="false" ht="15" hidden="false" customHeight="true" outlineLevel="0" collapsed="false">
      <c r="A224" s="52"/>
      <c r="B224" s="52"/>
      <c r="C224" s="51"/>
      <c r="D224" s="51"/>
      <c r="E224" s="52"/>
      <c r="F224" s="61" t="str">
        <f aca="false">IF(AND(ISNUMBER(C224),ISNUMBER(D224),D224&gt;=C224),D224-C224+1,"")</f>
        <v/>
      </c>
      <c r="G224" s="62" t="str">
        <f aca="false">IF(AND(ISNUMBER(C224),ISNUMBER(D224),D224&gt;=C224),WORKDAY(D224,1),"")</f>
        <v/>
      </c>
      <c r="H224" s="53" t="str">
        <f aca="true">IF(A224="","",IF(NOT(AND(ISNUMBER(C224),ISNUMBER(D224))),"Sem data definida",IF(D224&lt;C224,"⚠ Datas invertidas",IF(TODAY()&lt;C224,IF(C224-TODAY()=1,"Começa amanhã","Começa em "&amp;(C224-TODAY())&amp;" dias"),IF(TODAY()&gt;D224,"Concluídas",IF(TODAY()=D224,"EM FÉRIAS (último dia)","EM FÉRIAS (faltam "&amp;(D224-TODAY())&amp;" dias)"))))))</f>
        <v/>
      </c>
      <c r="I224" s="53" t="str">
        <f aca="false">IF(OR(A224="",NOT(AND(ISNUMBER(C224),ISNUMBER(D224)))),"",IF(D224-C224+1&gt;30,"⚠ Período acima de 30 dias",IF(COUNTIFS($B$2:$B$301,B224,$C$2:$C$301,"&lt;="&amp;D224,$D$2:$D$301,"&gt;="&amp;C224)&gt;1,"⚠ Coincide com férias de outro do setor","")))</f>
        <v/>
      </c>
      <c r="K224" s="0" t="str">
        <f aca="true">IF(AND(ISNUMBER(C224),ISNUMBER(D224),C224&lt;=TODAY(),D224&gt;=TODAY()),D224+ROW()/100000,"")</f>
        <v/>
      </c>
      <c r="L224" s="0" t="str">
        <f aca="true">IF(AND(ISNUMBER(C224),C224&gt;TODAY(),C224&lt;=TODAY()+30),C224+ROW()/100000,"")</f>
        <v/>
      </c>
      <c r="M224" s="0" t="str">
        <f aca="false">IF(AND(ISNUMBER(C224),ISNUMBER(D224),C224&lt;=CALENDÁRIO!$L$4,D224&gt;=CALENDÁRIO!$L$4),ROW(),"")</f>
        <v/>
      </c>
    </row>
    <row r="225" customFormat="false" ht="15" hidden="false" customHeight="true" outlineLevel="0" collapsed="false">
      <c r="A225" s="52"/>
      <c r="B225" s="52"/>
      <c r="C225" s="51"/>
      <c r="D225" s="51"/>
      <c r="E225" s="52"/>
      <c r="F225" s="61" t="str">
        <f aca="false">IF(AND(ISNUMBER(C225),ISNUMBER(D225),D225&gt;=C225),D225-C225+1,"")</f>
        <v/>
      </c>
      <c r="G225" s="62" t="str">
        <f aca="false">IF(AND(ISNUMBER(C225),ISNUMBER(D225),D225&gt;=C225),WORKDAY(D225,1),"")</f>
        <v/>
      </c>
      <c r="H225" s="53" t="str">
        <f aca="true">IF(A225="","",IF(NOT(AND(ISNUMBER(C225),ISNUMBER(D225))),"Sem data definida",IF(D225&lt;C225,"⚠ Datas invertidas",IF(TODAY()&lt;C225,IF(C225-TODAY()=1,"Começa amanhã","Começa em "&amp;(C225-TODAY())&amp;" dias"),IF(TODAY()&gt;D225,"Concluídas",IF(TODAY()=D225,"EM FÉRIAS (último dia)","EM FÉRIAS (faltam "&amp;(D225-TODAY())&amp;" dias)"))))))</f>
        <v/>
      </c>
      <c r="I225" s="53" t="str">
        <f aca="false">IF(OR(A225="",NOT(AND(ISNUMBER(C225),ISNUMBER(D225)))),"",IF(D225-C225+1&gt;30,"⚠ Período acima de 30 dias",IF(COUNTIFS($B$2:$B$301,B225,$C$2:$C$301,"&lt;="&amp;D225,$D$2:$D$301,"&gt;="&amp;C225)&gt;1,"⚠ Coincide com férias de outro do setor","")))</f>
        <v/>
      </c>
      <c r="K225" s="0" t="str">
        <f aca="true">IF(AND(ISNUMBER(C225),ISNUMBER(D225),C225&lt;=TODAY(),D225&gt;=TODAY()),D225+ROW()/100000,"")</f>
        <v/>
      </c>
      <c r="L225" s="0" t="str">
        <f aca="true">IF(AND(ISNUMBER(C225),C225&gt;TODAY(),C225&lt;=TODAY()+30),C225+ROW()/100000,"")</f>
        <v/>
      </c>
      <c r="M225" s="0" t="str">
        <f aca="false">IF(AND(ISNUMBER(C225),ISNUMBER(D225),C225&lt;=CALENDÁRIO!$L$4,D225&gt;=CALENDÁRIO!$L$4),ROW(),"")</f>
        <v/>
      </c>
    </row>
    <row r="226" customFormat="false" ht="15" hidden="false" customHeight="true" outlineLevel="0" collapsed="false">
      <c r="A226" s="52"/>
      <c r="B226" s="52"/>
      <c r="C226" s="51"/>
      <c r="D226" s="51"/>
      <c r="E226" s="52"/>
      <c r="F226" s="61" t="str">
        <f aca="false">IF(AND(ISNUMBER(C226),ISNUMBER(D226),D226&gt;=C226),D226-C226+1,"")</f>
        <v/>
      </c>
      <c r="G226" s="62" t="str">
        <f aca="false">IF(AND(ISNUMBER(C226),ISNUMBER(D226),D226&gt;=C226),WORKDAY(D226,1),"")</f>
        <v/>
      </c>
      <c r="H226" s="53" t="str">
        <f aca="true">IF(A226="","",IF(NOT(AND(ISNUMBER(C226),ISNUMBER(D226))),"Sem data definida",IF(D226&lt;C226,"⚠ Datas invertidas",IF(TODAY()&lt;C226,IF(C226-TODAY()=1,"Começa amanhã","Começa em "&amp;(C226-TODAY())&amp;" dias"),IF(TODAY()&gt;D226,"Concluídas",IF(TODAY()=D226,"EM FÉRIAS (último dia)","EM FÉRIAS (faltam "&amp;(D226-TODAY())&amp;" dias)"))))))</f>
        <v/>
      </c>
      <c r="I226" s="53" t="str">
        <f aca="false">IF(OR(A226="",NOT(AND(ISNUMBER(C226),ISNUMBER(D226)))),"",IF(D226-C226+1&gt;30,"⚠ Período acima de 30 dias",IF(COUNTIFS($B$2:$B$301,B226,$C$2:$C$301,"&lt;="&amp;D226,$D$2:$D$301,"&gt;="&amp;C226)&gt;1,"⚠ Coincide com férias de outro do setor","")))</f>
        <v/>
      </c>
      <c r="K226" s="0" t="str">
        <f aca="true">IF(AND(ISNUMBER(C226),ISNUMBER(D226),C226&lt;=TODAY(),D226&gt;=TODAY()),D226+ROW()/100000,"")</f>
        <v/>
      </c>
      <c r="L226" s="0" t="str">
        <f aca="true">IF(AND(ISNUMBER(C226),C226&gt;TODAY(),C226&lt;=TODAY()+30),C226+ROW()/100000,"")</f>
        <v/>
      </c>
      <c r="M226" s="0" t="str">
        <f aca="false">IF(AND(ISNUMBER(C226),ISNUMBER(D226),C226&lt;=CALENDÁRIO!$L$4,D226&gt;=CALENDÁRIO!$L$4),ROW(),"")</f>
        <v/>
      </c>
    </row>
    <row r="227" customFormat="false" ht="15" hidden="false" customHeight="true" outlineLevel="0" collapsed="false">
      <c r="A227" s="52"/>
      <c r="B227" s="52"/>
      <c r="C227" s="51"/>
      <c r="D227" s="51"/>
      <c r="E227" s="52"/>
      <c r="F227" s="61" t="str">
        <f aca="false">IF(AND(ISNUMBER(C227),ISNUMBER(D227),D227&gt;=C227),D227-C227+1,"")</f>
        <v/>
      </c>
      <c r="G227" s="62" t="str">
        <f aca="false">IF(AND(ISNUMBER(C227),ISNUMBER(D227),D227&gt;=C227),WORKDAY(D227,1),"")</f>
        <v/>
      </c>
      <c r="H227" s="53" t="str">
        <f aca="true">IF(A227="","",IF(NOT(AND(ISNUMBER(C227),ISNUMBER(D227))),"Sem data definida",IF(D227&lt;C227,"⚠ Datas invertidas",IF(TODAY()&lt;C227,IF(C227-TODAY()=1,"Começa amanhã","Começa em "&amp;(C227-TODAY())&amp;" dias"),IF(TODAY()&gt;D227,"Concluídas",IF(TODAY()=D227,"EM FÉRIAS (último dia)","EM FÉRIAS (faltam "&amp;(D227-TODAY())&amp;" dias)"))))))</f>
        <v/>
      </c>
      <c r="I227" s="53" t="str">
        <f aca="false">IF(OR(A227="",NOT(AND(ISNUMBER(C227),ISNUMBER(D227)))),"",IF(D227-C227+1&gt;30,"⚠ Período acima de 30 dias",IF(COUNTIFS($B$2:$B$301,B227,$C$2:$C$301,"&lt;="&amp;D227,$D$2:$D$301,"&gt;="&amp;C227)&gt;1,"⚠ Coincide com férias de outro do setor","")))</f>
        <v/>
      </c>
      <c r="K227" s="0" t="str">
        <f aca="true">IF(AND(ISNUMBER(C227),ISNUMBER(D227),C227&lt;=TODAY(),D227&gt;=TODAY()),D227+ROW()/100000,"")</f>
        <v/>
      </c>
      <c r="L227" s="0" t="str">
        <f aca="true">IF(AND(ISNUMBER(C227),C227&gt;TODAY(),C227&lt;=TODAY()+30),C227+ROW()/100000,"")</f>
        <v/>
      </c>
      <c r="M227" s="0" t="str">
        <f aca="false">IF(AND(ISNUMBER(C227),ISNUMBER(D227),C227&lt;=CALENDÁRIO!$L$4,D227&gt;=CALENDÁRIO!$L$4),ROW(),"")</f>
        <v/>
      </c>
    </row>
    <row r="228" customFormat="false" ht="15" hidden="false" customHeight="true" outlineLevel="0" collapsed="false">
      <c r="A228" s="52"/>
      <c r="B228" s="52"/>
      <c r="C228" s="51"/>
      <c r="D228" s="51"/>
      <c r="E228" s="52"/>
      <c r="F228" s="61" t="str">
        <f aca="false">IF(AND(ISNUMBER(C228),ISNUMBER(D228),D228&gt;=C228),D228-C228+1,"")</f>
        <v/>
      </c>
      <c r="G228" s="62" t="str">
        <f aca="false">IF(AND(ISNUMBER(C228),ISNUMBER(D228),D228&gt;=C228),WORKDAY(D228,1),"")</f>
        <v/>
      </c>
      <c r="H228" s="53" t="str">
        <f aca="true">IF(A228="","",IF(NOT(AND(ISNUMBER(C228),ISNUMBER(D228))),"Sem data definida",IF(D228&lt;C228,"⚠ Datas invertidas",IF(TODAY()&lt;C228,IF(C228-TODAY()=1,"Começa amanhã","Começa em "&amp;(C228-TODAY())&amp;" dias"),IF(TODAY()&gt;D228,"Concluídas",IF(TODAY()=D228,"EM FÉRIAS (último dia)","EM FÉRIAS (faltam "&amp;(D228-TODAY())&amp;" dias)"))))))</f>
        <v/>
      </c>
      <c r="I228" s="53" t="str">
        <f aca="false">IF(OR(A228="",NOT(AND(ISNUMBER(C228),ISNUMBER(D228)))),"",IF(D228-C228+1&gt;30,"⚠ Período acima de 30 dias",IF(COUNTIFS($B$2:$B$301,B228,$C$2:$C$301,"&lt;="&amp;D228,$D$2:$D$301,"&gt;="&amp;C228)&gt;1,"⚠ Coincide com férias de outro do setor","")))</f>
        <v/>
      </c>
      <c r="K228" s="0" t="str">
        <f aca="true">IF(AND(ISNUMBER(C228),ISNUMBER(D228),C228&lt;=TODAY(),D228&gt;=TODAY()),D228+ROW()/100000,"")</f>
        <v/>
      </c>
      <c r="L228" s="0" t="str">
        <f aca="true">IF(AND(ISNUMBER(C228),C228&gt;TODAY(),C228&lt;=TODAY()+30),C228+ROW()/100000,"")</f>
        <v/>
      </c>
      <c r="M228" s="0" t="str">
        <f aca="false">IF(AND(ISNUMBER(C228),ISNUMBER(D228),C228&lt;=CALENDÁRIO!$L$4,D228&gt;=CALENDÁRIO!$L$4),ROW(),"")</f>
        <v/>
      </c>
    </row>
    <row r="229" customFormat="false" ht="15" hidden="false" customHeight="true" outlineLevel="0" collapsed="false">
      <c r="A229" s="52"/>
      <c r="B229" s="52"/>
      <c r="C229" s="51"/>
      <c r="D229" s="51"/>
      <c r="E229" s="52"/>
      <c r="F229" s="61" t="str">
        <f aca="false">IF(AND(ISNUMBER(C229),ISNUMBER(D229),D229&gt;=C229),D229-C229+1,"")</f>
        <v/>
      </c>
      <c r="G229" s="62" t="str">
        <f aca="false">IF(AND(ISNUMBER(C229),ISNUMBER(D229),D229&gt;=C229),WORKDAY(D229,1),"")</f>
        <v/>
      </c>
      <c r="H229" s="53" t="str">
        <f aca="true">IF(A229="","",IF(NOT(AND(ISNUMBER(C229),ISNUMBER(D229))),"Sem data definida",IF(D229&lt;C229,"⚠ Datas invertidas",IF(TODAY()&lt;C229,IF(C229-TODAY()=1,"Começa amanhã","Começa em "&amp;(C229-TODAY())&amp;" dias"),IF(TODAY()&gt;D229,"Concluídas",IF(TODAY()=D229,"EM FÉRIAS (último dia)","EM FÉRIAS (faltam "&amp;(D229-TODAY())&amp;" dias)"))))))</f>
        <v/>
      </c>
      <c r="I229" s="53" t="str">
        <f aca="false">IF(OR(A229="",NOT(AND(ISNUMBER(C229),ISNUMBER(D229)))),"",IF(D229-C229+1&gt;30,"⚠ Período acima de 30 dias",IF(COUNTIFS($B$2:$B$301,B229,$C$2:$C$301,"&lt;="&amp;D229,$D$2:$D$301,"&gt;="&amp;C229)&gt;1,"⚠ Coincide com férias de outro do setor","")))</f>
        <v/>
      </c>
      <c r="K229" s="0" t="str">
        <f aca="true">IF(AND(ISNUMBER(C229),ISNUMBER(D229),C229&lt;=TODAY(),D229&gt;=TODAY()),D229+ROW()/100000,"")</f>
        <v/>
      </c>
      <c r="L229" s="0" t="str">
        <f aca="true">IF(AND(ISNUMBER(C229),C229&gt;TODAY(),C229&lt;=TODAY()+30),C229+ROW()/100000,"")</f>
        <v/>
      </c>
      <c r="M229" s="0" t="str">
        <f aca="false">IF(AND(ISNUMBER(C229),ISNUMBER(D229),C229&lt;=CALENDÁRIO!$L$4,D229&gt;=CALENDÁRIO!$L$4),ROW(),"")</f>
        <v/>
      </c>
    </row>
    <row r="230" customFormat="false" ht="15" hidden="false" customHeight="true" outlineLevel="0" collapsed="false">
      <c r="A230" s="52"/>
      <c r="B230" s="52"/>
      <c r="C230" s="51"/>
      <c r="D230" s="51"/>
      <c r="E230" s="52"/>
      <c r="F230" s="61" t="str">
        <f aca="false">IF(AND(ISNUMBER(C230),ISNUMBER(D230),D230&gt;=C230),D230-C230+1,"")</f>
        <v/>
      </c>
      <c r="G230" s="62" t="str">
        <f aca="false">IF(AND(ISNUMBER(C230),ISNUMBER(D230),D230&gt;=C230),WORKDAY(D230,1),"")</f>
        <v/>
      </c>
      <c r="H230" s="53" t="str">
        <f aca="true">IF(A230="","",IF(NOT(AND(ISNUMBER(C230),ISNUMBER(D230))),"Sem data definida",IF(D230&lt;C230,"⚠ Datas invertidas",IF(TODAY()&lt;C230,IF(C230-TODAY()=1,"Começa amanhã","Começa em "&amp;(C230-TODAY())&amp;" dias"),IF(TODAY()&gt;D230,"Concluídas",IF(TODAY()=D230,"EM FÉRIAS (último dia)","EM FÉRIAS (faltam "&amp;(D230-TODAY())&amp;" dias)"))))))</f>
        <v/>
      </c>
      <c r="I230" s="53" t="str">
        <f aca="false">IF(OR(A230="",NOT(AND(ISNUMBER(C230),ISNUMBER(D230)))),"",IF(D230-C230+1&gt;30,"⚠ Período acima de 30 dias",IF(COUNTIFS($B$2:$B$301,B230,$C$2:$C$301,"&lt;="&amp;D230,$D$2:$D$301,"&gt;="&amp;C230)&gt;1,"⚠ Coincide com férias de outro do setor","")))</f>
        <v/>
      </c>
      <c r="K230" s="0" t="str">
        <f aca="true">IF(AND(ISNUMBER(C230),ISNUMBER(D230),C230&lt;=TODAY(),D230&gt;=TODAY()),D230+ROW()/100000,"")</f>
        <v/>
      </c>
      <c r="L230" s="0" t="str">
        <f aca="true">IF(AND(ISNUMBER(C230),C230&gt;TODAY(),C230&lt;=TODAY()+30),C230+ROW()/100000,"")</f>
        <v/>
      </c>
      <c r="M230" s="0" t="str">
        <f aca="false">IF(AND(ISNUMBER(C230),ISNUMBER(D230),C230&lt;=CALENDÁRIO!$L$4,D230&gt;=CALENDÁRIO!$L$4),ROW(),"")</f>
        <v/>
      </c>
    </row>
    <row r="231" customFormat="false" ht="15" hidden="false" customHeight="true" outlineLevel="0" collapsed="false">
      <c r="A231" s="52"/>
      <c r="B231" s="52"/>
      <c r="C231" s="51"/>
      <c r="D231" s="51"/>
      <c r="E231" s="52"/>
      <c r="F231" s="61" t="str">
        <f aca="false">IF(AND(ISNUMBER(C231),ISNUMBER(D231),D231&gt;=C231),D231-C231+1,"")</f>
        <v/>
      </c>
      <c r="G231" s="62" t="str">
        <f aca="false">IF(AND(ISNUMBER(C231),ISNUMBER(D231),D231&gt;=C231),WORKDAY(D231,1),"")</f>
        <v/>
      </c>
      <c r="H231" s="53" t="str">
        <f aca="true">IF(A231="","",IF(NOT(AND(ISNUMBER(C231),ISNUMBER(D231))),"Sem data definida",IF(D231&lt;C231,"⚠ Datas invertidas",IF(TODAY()&lt;C231,IF(C231-TODAY()=1,"Começa amanhã","Começa em "&amp;(C231-TODAY())&amp;" dias"),IF(TODAY()&gt;D231,"Concluídas",IF(TODAY()=D231,"EM FÉRIAS (último dia)","EM FÉRIAS (faltam "&amp;(D231-TODAY())&amp;" dias)"))))))</f>
        <v/>
      </c>
      <c r="I231" s="53" t="str">
        <f aca="false">IF(OR(A231="",NOT(AND(ISNUMBER(C231),ISNUMBER(D231)))),"",IF(D231-C231+1&gt;30,"⚠ Período acima de 30 dias",IF(COUNTIFS($B$2:$B$301,B231,$C$2:$C$301,"&lt;="&amp;D231,$D$2:$D$301,"&gt;="&amp;C231)&gt;1,"⚠ Coincide com férias de outro do setor","")))</f>
        <v/>
      </c>
      <c r="K231" s="0" t="str">
        <f aca="true">IF(AND(ISNUMBER(C231),ISNUMBER(D231),C231&lt;=TODAY(),D231&gt;=TODAY()),D231+ROW()/100000,"")</f>
        <v/>
      </c>
      <c r="L231" s="0" t="str">
        <f aca="true">IF(AND(ISNUMBER(C231),C231&gt;TODAY(),C231&lt;=TODAY()+30),C231+ROW()/100000,"")</f>
        <v/>
      </c>
      <c r="M231" s="0" t="str">
        <f aca="false">IF(AND(ISNUMBER(C231),ISNUMBER(D231),C231&lt;=CALENDÁRIO!$L$4,D231&gt;=CALENDÁRIO!$L$4),ROW(),"")</f>
        <v/>
      </c>
    </row>
    <row r="232" customFormat="false" ht="15" hidden="false" customHeight="true" outlineLevel="0" collapsed="false">
      <c r="A232" s="52"/>
      <c r="B232" s="52"/>
      <c r="C232" s="51"/>
      <c r="D232" s="51"/>
      <c r="E232" s="52"/>
      <c r="F232" s="61" t="str">
        <f aca="false">IF(AND(ISNUMBER(C232),ISNUMBER(D232),D232&gt;=C232),D232-C232+1,"")</f>
        <v/>
      </c>
      <c r="G232" s="62" t="str">
        <f aca="false">IF(AND(ISNUMBER(C232),ISNUMBER(D232),D232&gt;=C232),WORKDAY(D232,1),"")</f>
        <v/>
      </c>
      <c r="H232" s="53" t="str">
        <f aca="true">IF(A232="","",IF(NOT(AND(ISNUMBER(C232),ISNUMBER(D232))),"Sem data definida",IF(D232&lt;C232,"⚠ Datas invertidas",IF(TODAY()&lt;C232,IF(C232-TODAY()=1,"Começa amanhã","Começa em "&amp;(C232-TODAY())&amp;" dias"),IF(TODAY()&gt;D232,"Concluídas",IF(TODAY()=D232,"EM FÉRIAS (último dia)","EM FÉRIAS (faltam "&amp;(D232-TODAY())&amp;" dias)"))))))</f>
        <v/>
      </c>
      <c r="I232" s="53" t="str">
        <f aca="false">IF(OR(A232="",NOT(AND(ISNUMBER(C232),ISNUMBER(D232)))),"",IF(D232-C232+1&gt;30,"⚠ Período acima de 30 dias",IF(COUNTIFS($B$2:$B$301,B232,$C$2:$C$301,"&lt;="&amp;D232,$D$2:$D$301,"&gt;="&amp;C232)&gt;1,"⚠ Coincide com férias de outro do setor","")))</f>
        <v/>
      </c>
      <c r="K232" s="0" t="str">
        <f aca="true">IF(AND(ISNUMBER(C232),ISNUMBER(D232),C232&lt;=TODAY(),D232&gt;=TODAY()),D232+ROW()/100000,"")</f>
        <v/>
      </c>
      <c r="L232" s="0" t="str">
        <f aca="true">IF(AND(ISNUMBER(C232),C232&gt;TODAY(),C232&lt;=TODAY()+30),C232+ROW()/100000,"")</f>
        <v/>
      </c>
      <c r="M232" s="0" t="str">
        <f aca="false">IF(AND(ISNUMBER(C232),ISNUMBER(D232),C232&lt;=CALENDÁRIO!$L$4,D232&gt;=CALENDÁRIO!$L$4),ROW(),"")</f>
        <v/>
      </c>
    </row>
    <row r="233" customFormat="false" ht="15" hidden="false" customHeight="true" outlineLevel="0" collapsed="false">
      <c r="A233" s="52"/>
      <c r="B233" s="52"/>
      <c r="C233" s="51"/>
      <c r="D233" s="51"/>
      <c r="E233" s="52"/>
      <c r="F233" s="61" t="str">
        <f aca="false">IF(AND(ISNUMBER(C233),ISNUMBER(D233),D233&gt;=C233),D233-C233+1,"")</f>
        <v/>
      </c>
      <c r="G233" s="62" t="str">
        <f aca="false">IF(AND(ISNUMBER(C233),ISNUMBER(D233),D233&gt;=C233),WORKDAY(D233,1),"")</f>
        <v/>
      </c>
      <c r="H233" s="53" t="str">
        <f aca="true">IF(A233="","",IF(NOT(AND(ISNUMBER(C233),ISNUMBER(D233))),"Sem data definida",IF(D233&lt;C233,"⚠ Datas invertidas",IF(TODAY()&lt;C233,IF(C233-TODAY()=1,"Começa amanhã","Começa em "&amp;(C233-TODAY())&amp;" dias"),IF(TODAY()&gt;D233,"Concluídas",IF(TODAY()=D233,"EM FÉRIAS (último dia)","EM FÉRIAS (faltam "&amp;(D233-TODAY())&amp;" dias)"))))))</f>
        <v/>
      </c>
      <c r="I233" s="53" t="str">
        <f aca="false">IF(OR(A233="",NOT(AND(ISNUMBER(C233),ISNUMBER(D233)))),"",IF(D233-C233+1&gt;30,"⚠ Período acima de 30 dias",IF(COUNTIFS($B$2:$B$301,B233,$C$2:$C$301,"&lt;="&amp;D233,$D$2:$D$301,"&gt;="&amp;C233)&gt;1,"⚠ Coincide com férias de outro do setor","")))</f>
        <v/>
      </c>
      <c r="K233" s="0" t="str">
        <f aca="true">IF(AND(ISNUMBER(C233),ISNUMBER(D233),C233&lt;=TODAY(),D233&gt;=TODAY()),D233+ROW()/100000,"")</f>
        <v/>
      </c>
      <c r="L233" s="0" t="str">
        <f aca="true">IF(AND(ISNUMBER(C233),C233&gt;TODAY(),C233&lt;=TODAY()+30),C233+ROW()/100000,"")</f>
        <v/>
      </c>
      <c r="M233" s="0" t="str">
        <f aca="false">IF(AND(ISNUMBER(C233),ISNUMBER(D233),C233&lt;=CALENDÁRIO!$L$4,D233&gt;=CALENDÁRIO!$L$4),ROW(),"")</f>
        <v/>
      </c>
    </row>
    <row r="234" customFormat="false" ht="15" hidden="false" customHeight="true" outlineLevel="0" collapsed="false">
      <c r="A234" s="52"/>
      <c r="B234" s="52"/>
      <c r="C234" s="51"/>
      <c r="D234" s="51"/>
      <c r="E234" s="52"/>
      <c r="F234" s="61" t="str">
        <f aca="false">IF(AND(ISNUMBER(C234),ISNUMBER(D234),D234&gt;=C234),D234-C234+1,"")</f>
        <v/>
      </c>
      <c r="G234" s="62" t="str">
        <f aca="false">IF(AND(ISNUMBER(C234),ISNUMBER(D234),D234&gt;=C234),WORKDAY(D234,1),"")</f>
        <v/>
      </c>
      <c r="H234" s="53" t="str">
        <f aca="true">IF(A234="","",IF(NOT(AND(ISNUMBER(C234),ISNUMBER(D234))),"Sem data definida",IF(D234&lt;C234,"⚠ Datas invertidas",IF(TODAY()&lt;C234,IF(C234-TODAY()=1,"Começa amanhã","Começa em "&amp;(C234-TODAY())&amp;" dias"),IF(TODAY()&gt;D234,"Concluídas",IF(TODAY()=D234,"EM FÉRIAS (último dia)","EM FÉRIAS (faltam "&amp;(D234-TODAY())&amp;" dias)"))))))</f>
        <v/>
      </c>
      <c r="I234" s="53" t="str">
        <f aca="false">IF(OR(A234="",NOT(AND(ISNUMBER(C234),ISNUMBER(D234)))),"",IF(D234-C234+1&gt;30,"⚠ Período acima de 30 dias",IF(COUNTIFS($B$2:$B$301,B234,$C$2:$C$301,"&lt;="&amp;D234,$D$2:$D$301,"&gt;="&amp;C234)&gt;1,"⚠ Coincide com férias de outro do setor","")))</f>
        <v/>
      </c>
      <c r="K234" s="0" t="str">
        <f aca="true">IF(AND(ISNUMBER(C234),ISNUMBER(D234),C234&lt;=TODAY(),D234&gt;=TODAY()),D234+ROW()/100000,"")</f>
        <v/>
      </c>
      <c r="L234" s="0" t="str">
        <f aca="true">IF(AND(ISNUMBER(C234),C234&gt;TODAY(),C234&lt;=TODAY()+30),C234+ROW()/100000,"")</f>
        <v/>
      </c>
      <c r="M234" s="0" t="str">
        <f aca="false">IF(AND(ISNUMBER(C234),ISNUMBER(D234),C234&lt;=CALENDÁRIO!$L$4,D234&gt;=CALENDÁRIO!$L$4),ROW(),"")</f>
        <v/>
      </c>
    </row>
    <row r="235" customFormat="false" ht="15" hidden="false" customHeight="true" outlineLevel="0" collapsed="false">
      <c r="A235" s="52"/>
      <c r="B235" s="52"/>
      <c r="C235" s="51"/>
      <c r="D235" s="51"/>
      <c r="E235" s="52"/>
      <c r="F235" s="61" t="str">
        <f aca="false">IF(AND(ISNUMBER(C235),ISNUMBER(D235),D235&gt;=C235),D235-C235+1,"")</f>
        <v/>
      </c>
      <c r="G235" s="62" t="str">
        <f aca="false">IF(AND(ISNUMBER(C235),ISNUMBER(D235),D235&gt;=C235),WORKDAY(D235,1),"")</f>
        <v/>
      </c>
      <c r="H235" s="53" t="str">
        <f aca="true">IF(A235="","",IF(NOT(AND(ISNUMBER(C235),ISNUMBER(D235))),"Sem data definida",IF(D235&lt;C235,"⚠ Datas invertidas",IF(TODAY()&lt;C235,IF(C235-TODAY()=1,"Começa amanhã","Começa em "&amp;(C235-TODAY())&amp;" dias"),IF(TODAY()&gt;D235,"Concluídas",IF(TODAY()=D235,"EM FÉRIAS (último dia)","EM FÉRIAS (faltam "&amp;(D235-TODAY())&amp;" dias)"))))))</f>
        <v/>
      </c>
      <c r="I235" s="53" t="str">
        <f aca="false">IF(OR(A235="",NOT(AND(ISNUMBER(C235),ISNUMBER(D235)))),"",IF(D235-C235+1&gt;30,"⚠ Período acima de 30 dias",IF(COUNTIFS($B$2:$B$301,B235,$C$2:$C$301,"&lt;="&amp;D235,$D$2:$D$301,"&gt;="&amp;C235)&gt;1,"⚠ Coincide com férias de outro do setor","")))</f>
        <v/>
      </c>
      <c r="K235" s="0" t="str">
        <f aca="true">IF(AND(ISNUMBER(C235),ISNUMBER(D235),C235&lt;=TODAY(),D235&gt;=TODAY()),D235+ROW()/100000,"")</f>
        <v/>
      </c>
      <c r="L235" s="0" t="str">
        <f aca="true">IF(AND(ISNUMBER(C235),C235&gt;TODAY(),C235&lt;=TODAY()+30),C235+ROW()/100000,"")</f>
        <v/>
      </c>
      <c r="M235" s="0" t="str">
        <f aca="false">IF(AND(ISNUMBER(C235),ISNUMBER(D235),C235&lt;=CALENDÁRIO!$L$4,D235&gt;=CALENDÁRIO!$L$4),ROW(),"")</f>
        <v/>
      </c>
    </row>
    <row r="236" customFormat="false" ht="15" hidden="false" customHeight="true" outlineLevel="0" collapsed="false">
      <c r="A236" s="52"/>
      <c r="B236" s="52"/>
      <c r="C236" s="51"/>
      <c r="D236" s="51"/>
      <c r="E236" s="52"/>
      <c r="F236" s="61" t="str">
        <f aca="false">IF(AND(ISNUMBER(C236),ISNUMBER(D236),D236&gt;=C236),D236-C236+1,"")</f>
        <v/>
      </c>
      <c r="G236" s="62" t="str">
        <f aca="false">IF(AND(ISNUMBER(C236),ISNUMBER(D236),D236&gt;=C236),WORKDAY(D236,1),"")</f>
        <v/>
      </c>
      <c r="H236" s="53" t="str">
        <f aca="true">IF(A236="","",IF(NOT(AND(ISNUMBER(C236),ISNUMBER(D236))),"Sem data definida",IF(D236&lt;C236,"⚠ Datas invertidas",IF(TODAY()&lt;C236,IF(C236-TODAY()=1,"Começa amanhã","Começa em "&amp;(C236-TODAY())&amp;" dias"),IF(TODAY()&gt;D236,"Concluídas",IF(TODAY()=D236,"EM FÉRIAS (último dia)","EM FÉRIAS (faltam "&amp;(D236-TODAY())&amp;" dias)"))))))</f>
        <v/>
      </c>
      <c r="I236" s="53" t="str">
        <f aca="false">IF(OR(A236="",NOT(AND(ISNUMBER(C236),ISNUMBER(D236)))),"",IF(D236-C236+1&gt;30,"⚠ Período acima de 30 dias",IF(COUNTIFS($B$2:$B$301,B236,$C$2:$C$301,"&lt;="&amp;D236,$D$2:$D$301,"&gt;="&amp;C236)&gt;1,"⚠ Coincide com férias de outro do setor","")))</f>
        <v/>
      </c>
      <c r="K236" s="0" t="str">
        <f aca="true">IF(AND(ISNUMBER(C236),ISNUMBER(D236),C236&lt;=TODAY(),D236&gt;=TODAY()),D236+ROW()/100000,"")</f>
        <v/>
      </c>
      <c r="L236" s="0" t="str">
        <f aca="true">IF(AND(ISNUMBER(C236),C236&gt;TODAY(),C236&lt;=TODAY()+30),C236+ROW()/100000,"")</f>
        <v/>
      </c>
      <c r="M236" s="0" t="str">
        <f aca="false">IF(AND(ISNUMBER(C236),ISNUMBER(D236),C236&lt;=CALENDÁRIO!$L$4,D236&gt;=CALENDÁRIO!$L$4),ROW(),"")</f>
        <v/>
      </c>
    </row>
    <row r="237" customFormat="false" ht="15" hidden="false" customHeight="true" outlineLevel="0" collapsed="false">
      <c r="A237" s="52"/>
      <c r="B237" s="52"/>
      <c r="C237" s="51"/>
      <c r="D237" s="51"/>
      <c r="E237" s="52"/>
      <c r="F237" s="61" t="str">
        <f aca="false">IF(AND(ISNUMBER(C237),ISNUMBER(D237),D237&gt;=C237),D237-C237+1,"")</f>
        <v/>
      </c>
      <c r="G237" s="62" t="str">
        <f aca="false">IF(AND(ISNUMBER(C237),ISNUMBER(D237),D237&gt;=C237),WORKDAY(D237,1),"")</f>
        <v/>
      </c>
      <c r="H237" s="53" t="str">
        <f aca="true">IF(A237="","",IF(NOT(AND(ISNUMBER(C237),ISNUMBER(D237))),"Sem data definida",IF(D237&lt;C237,"⚠ Datas invertidas",IF(TODAY()&lt;C237,IF(C237-TODAY()=1,"Começa amanhã","Começa em "&amp;(C237-TODAY())&amp;" dias"),IF(TODAY()&gt;D237,"Concluídas",IF(TODAY()=D237,"EM FÉRIAS (último dia)","EM FÉRIAS (faltam "&amp;(D237-TODAY())&amp;" dias)"))))))</f>
        <v/>
      </c>
      <c r="I237" s="53" t="str">
        <f aca="false">IF(OR(A237="",NOT(AND(ISNUMBER(C237),ISNUMBER(D237)))),"",IF(D237-C237+1&gt;30,"⚠ Período acima de 30 dias",IF(COUNTIFS($B$2:$B$301,B237,$C$2:$C$301,"&lt;="&amp;D237,$D$2:$D$301,"&gt;="&amp;C237)&gt;1,"⚠ Coincide com férias de outro do setor","")))</f>
        <v/>
      </c>
      <c r="K237" s="0" t="str">
        <f aca="true">IF(AND(ISNUMBER(C237),ISNUMBER(D237),C237&lt;=TODAY(),D237&gt;=TODAY()),D237+ROW()/100000,"")</f>
        <v/>
      </c>
      <c r="L237" s="0" t="str">
        <f aca="true">IF(AND(ISNUMBER(C237),C237&gt;TODAY(),C237&lt;=TODAY()+30),C237+ROW()/100000,"")</f>
        <v/>
      </c>
      <c r="M237" s="0" t="str">
        <f aca="false">IF(AND(ISNUMBER(C237),ISNUMBER(D237),C237&lt;=CALENDÁRIO!$L$4,D237&gt;=CALENDÁRIO!$L$4),ROW(),"")</f>
        <v/>
      </c>
    </row>
    <row r="238" customFormat="false" ht="15" hidden="false" customHeight="true" outlineLevel="0" collapsed="false">
      <c r="A238" s="52"/>
      <c r="B238" s="52"/>
      <c r="C238" s="51"/>
      <c r="D238" s="51"/>
      <c r="E238" s="52"/>
      <c r="F238" s="61" t="str">
        <f aca="false">IF(AND(ISNUMBER(C238),ISNUMBER(D238),D238&gt;=C238),D238-C238+1,"")</f>
        <v/>
      </c>
      <c r="G238" s="62" t="str">
        <f aca="false">IF(AND(ISNUMBER(C238),ISNUMBER(D238),D238&gt;=C238),WORKDAY(D238,1),"")</f>
        <v/>
      </c>
      <c r="H238" s="53" t="str">
        <f aca="true">IF(A238="","",IF(NOT(AND(ISNUMBER(C238),ISNUMBER(D238))),"Sem data definida",IF(D238&lt;C238,"⚠ Datas invertidas",IF(TODAY()&lt;C238,IF(C238-TODAY()=1,"Começa amanhã","Começa em "&amp;(C238-TODAY())&amp;" dias"),IF(TODAY()&gt;D238,"Concluídas",IF(TODAY()=D238,"EM FÉRIAS (último dia)","EM FÉRIAS (faltam "&amp;(D238-TODAY())&amp;" dias)"))))))</f>
        <v/>
      </c>
      <c r="I238" s="53" t="str">
        <f aca="false">IF(OR(A238="",NOT(AND(ISNUMBER(C238),ISNUMBER(D238)))),"",IF(D238-C238+1&gt;30,"⚠ Período acima de 30 dias",IF(COUNTIFS($B$2:$B$301,B238,$C$2:$C$301,"&lt;="&amp;D238,$D$2:$D$301,"&gt;="&amp;C238)&gt;1,"⚠ Coincide com férias de outro do setor","")))</f>
        <v/>
      </c>
      <c r="K238" s="0" t="str">
        <f aca="true">IF(AND(ISNUMBER(C238),ISNUMBER(D238),C238&lt;=TODAY(),D238&gt;=TODAY()),D238+ROW()/100000,"")</f>
        <v/>
      </c>
      <c r="L238" s="0" t="str">
        <f aca="true">IF(AND(ISNUMBER(C238),C238&gt;TODAY(),C238&lt;=TODAY()+30),C238+ROW()/100000,"")</f>
        <v/>
      </c>
      <c r="M238" s="0" t="str">
        <f aca="false">IF(AND(ISNUMBER(C238),ISNUMBER(D238),C238&lt;=CALENDÁRIO!$L$4,D238&gt;=CALENDÁRIO!$L$4),ROW(),"")</f>
        <v/>
      </c>
    </row>
    <row r="239" customFormat="false" ht="15" hidden="false" customHeight="true" outlineLevel="0" collapsed="false">
      <c r="A239" s="52"/>
      <c r="B239" s="52"/>
      <c r="C239" s="51"/>
      <c r="D239" s="51"/>
      <c r="E239" s="52"/>
      <c r="F239" s="61" t="str">
        <f aca="false">IF(AND(ISNUMBER(C239),ISNUMBER(D239),D239&gt;=C239),D239-C239+1,"")</f>
        <v/>
      </c>
      <c r="G239" s="62" t="str">
        <f aca="false">IF(AND(ISNUMBER(C239),ISNUMBER(D239),D239&gt;=C239),WORKDAY(D239,1),"")</f>
        <v/>
      </c>
      <c r="H239" s="53" t="str">
        <f aca="true">IF(A239="","",IF(NOT(AND(ISNUMBER(C239),ISNUMBER(D239))),"Sem data definida",IF(D239&lt;C239,"⚠ Datas invertidas",IF(TODAY()&lt;C239,IF(C239-TODAY()=1,"Começa amanhã","Começa em "&amp;(C239-TODAY())&amp;" dias"),IF(TODAY()&gt;D239,"Concluídas",IF(TODAY()=D239,"EM FÉRIAS (último dia)","EM FÉRIAS (faltam "&amp;(D239-TODAY())&amp;" dias)"))))))</f>
        <v/>
      </c>
      <c r="I239" s="53" t="str">
        <f aca="false">IF(OR(A239="",NOT(AND(ISNUMBER(C239),ISNUMBER(D239)))),"",IF(D239-C239+1&gt;30,"⚠ Período acima de 30 dias",IF(COUNTIFS($B$2:$B$301,B239,$C$2:$C$301,"&lt;="&amp;D239,$D$2:$D$301,"&gt;="&amp;C239)&gt;1,"⚠ Coincide com férias de outro do setor","")))</f>
        <v/>
      </c>
      <c r="K239" s="0" t="str">
        <f aca="true">IF(AND(ISNUMBER(C239),ISNUMBER(D239),C239&lt;=TODAY(),D239&gt;=TODAY()),D239+ROW()/100000,"")</f>
        <v/>
      </c>
      <c r="L239" s="0" t="str">
        <f aca="true">IF(AND(ISNUMBER(C239),C239&gt;TODAY(),C239&lt;=TODAY()+30),C239+ROW()/100000,"")</f>
        <v/>
      </c>
      <c r="M239" s="0" t="str">
        <f aca="false">IF(AND(ISNUMBER(C239),ISNUMBER(D239),C239&lt;=CALENDÁRIO!$L$4,D239&gt;=CALENDÁRIO!$L$4),ROW(),"")</f>
        <v/>
      </c>
    </row>
    <row r="240" customFormat="false" ht="15" hidden="false" customHeight="true" outlineLevel="0" collapsed="false">
      <c r="A240" s="52"/>
      <c r="B240" s="52"/>
      <c r="C240" s="51"/>
      <c r="D240" s="51"/>
      <c r="E240" s="52"/>
      <c r="F240" s="61" t="str">
        <f aca="false">IF(AND(ISNUMBER(C240),ISNUMBER(D240),D240&gt;=C240),D240-C240+1,"")</f>
        <v/>
      </c>
      <c r="G240" s="62" t="str">
        <f aca="false">IF(AND(ISNUMBER(C240),ISNUMBER(D240),D240&gt;=C240),WORKDAY(D240,1),"")</f>
        <v/>
      </c>
      <c r="H240" s="53" t="str">
        <f aca="true">IF(A240="","",IF(NOT(AND(ISNUMBER(C240),ISNUMBER(D240))),"Sem data definida",IF(D240&lt;C240,"⚠ Datas invertidas",IF(TODAY()&lt;C240,IF(C240-TODAY()=1,"Começa amanhã","Começa em "&amp;(C240-TODAY())&amp;" dias"),IF(TODAY()&gt;D240,"Concluídas",IF(TODAY()=D240,"EM FÉRIAS (último dia)","EM FÉRIAS (faltam "&amp;(D240-TODAY())&amp;" dias)"))))))</f>
        <v/>
      </c>
      <c r="I240" s="53" t="str">
        <f aca="false">IF(OR(A240="",NOT(AND(ISNUMBER(C240),ISNUMBER(D240)))),"",IF(D240-C240+1&gt;30,"⚠ Período acima de 30 dias",IF(COUNTIFS($B$2:$B$301,B240,$C$2:$C$301,"&lt;="&amp;D240,$D$2:$D$301,"&gt;="&amp;C240)&gt;1,"⚠ Coincide com férias de outro do setor","")))</f>
        <v/>
      </c>
      <c r="K240" s="0" t="str">
        <f aca="true">IF(AND(ISNUMBER(C240),ISNUMBER(D240),C240&lt;=TODAY(),D240&gt;=TODAY()),D240+ROW()/100000,"")</f>
        <v/>
      </c>
      <c r="L240" s="0" t="str">
        <f aca="true">IF(AND(ISNUMBER(C240),C240&gt;TODAY(),C240&lt;=TODAY()+30),C240+ROW()/100000,"")</f>
        <v/>
      </c>
      <c r="M240" s="0" t="str">
        <f aca="false">IF(AND(ISNUMBER(C240),ISNUMBER(D240),C240&lt;=CALENDÁRIO!$L$4,D240&gt;=CALENDÁRIO!$L$4),ROW(),"")</f>
        <v/>
      </c>
    </row>
    <row r="241" customFormat="false" ht="15" hidden="false" customHeight="true" outlineLevel="0" collapsed="false">
      <c r="A241" s="52"/>
      <c r="B241" s="52"/>
      <c r="C241" s="51"/>
      <c r="D241" s="51"/>
      <c r="E241" s="52"/>
      <c r="F241" s="61" t="str">
        <f aca="false">IF(AND(ISNUMBER(C241),ISNUMBER(D241),D241&gt;=C241),D241-C241+1,"")</f>
        <v/>
      </c>
      <c r="G241" s="62" t="str">
        <f aca="false">IF(AND(ISNUMBER(C241),ISNUMBER(D241),D241&gt;=C241),WORKDAY(D241,1),"")</f>
        <v/>
      </c>
      <c r="H241" s="53" t="str">
        <f aca="true">IF(A241="","",IF(NOT(AND(ISNUMBER(C241),ISNUMBER(D241))),"Sem data definida",IF(D241&lt;C241,"⚠ Datas invertidas",IF(TODAY()&lt;C241,IF(C241-TODAY()=1,"Começa amanhã","Começa em "&amp;(C241-TODAY())&amp;" dias"),IF(TODAY()&gt;D241,"Concluídas",IF(TODAY()=D241,"EM FÉRIAS (último dia)","EM FÉRIAS (faltam "&amp;(D241-TODAY())&amp;" dias)"))))))</f>
        <v/>
      </c>
      <c r="I241" s="53" t="str">
        <f aca="false">IF(OR(A241="",NOT(AND(ISNUMBER(C241),ISNUMBER(D241)))),"",IF(D241-C241+1&gt;30,"⚠ Período acima de 30 dias",IF(COUNTIFS($B$2:$B$301,B241,$C$2:$C$301,"&lt;="&amp;D241,$D$2:$D$301,"&gt;="&amp;C241)&gt;1,"⚠ Coincide com férias de outro do setor","")))</f>
        <v/>
      </c>
      <c r="K241" s="0" t="str">
        <f aca="true">IF(AND(ISNUMBER(C241),ISNUMBER(D241),C241&lt;=TODAY(),D241&gt;=TODAY()),D241+ROW()/100000,"")</f>
        <v/>
      </c>
      <c r="L241" s="0" t="str">
        <f aca="true">IF(AND(ISNUMBER(C241),C241&gt;TODAY(),C241&lt;=TODAY()+30),C241+ROW()/100000,"")</f>
        <v/>
      </c>
      <c r="M241" s="0" t="str">
        <f aca="false">IF(AND(ISNUMBER(C241),ISNUMBER(D241),C241&lt;=CALENDÁRIO!$L$4,D241&gt;=CALENDÁRIO!$L$4),ROW(),"")</f>
        <v/>
      </c>
    </row>
    <row r="242" customFormat="false" ht="15" hidden="false" customHeight="true" outlineLevel="0" collapsed="false">
      <c r="A242" s="52"/>
      <c r="B242" s="52"/>
      <c r="C242" s="51"/>
      <c r="D242" s="51"/>
      <c r="E242" s="52"/>
      <c r="F242" s="61" t="str">
        <f aca="false">IF(AND(ISNUMBER(C242),ISNUMBER(D242),D242&gt;=C242),D242-C242+1,"")</f>
        <v/>
      </c>
      <c r="G242" s="62" t="str">
        <f aca="false">IF(AND(ISNUMBER(C242),ISNUMBER(D242),D242&gt;=C242),WORKDAY(D242,1),"")</f>
        <v/>
      </c>
      <c r="H242" s="53" t="str">
        <f aca="true">IF(A242="","",IF(NOT(AND(ISNUMBER(C242),ISNUMBER(D242))),"Sem data definida",IF(D242&lt;C242,"⚠ Datas invertidas",IF(TODAY()&lt;C242,IF(C242-TODAY()=1,"Começa amanhã","Começa em "&amp;(C242-TODAY())&amp;" dias"),IF(TODAY()&gt;D242,"Concluídas",IF(TODAY()=D242,"EM FÉRIAS (último dia)","EM FÉRIAS (faltam "&amp;(D242-TODAY())&amp;" dias)"))))))</f>
        <v/>
      </c>
      <c r="I242" s="53" t="str">
        <f aca="false">IF(OR(A242="",NOT(AND(ISNUMBER(C242),ISNUMBER(D242)))),"",IF(D242-C242+1&gt;30,"⚠ Período acima de 30 dias",IF(COUNTIFS($B$2:$B$301,B242,$C$2:$C$301,"&lt;="&amp;D242,$D$2:$D$301,"&gt;="&amp;C242)&gt;1,"⚠ Coincide com férias de outro do setor","")))</f>
        <v/>
      </c>
      <c r="K242" s="0" t="str">
        <f aca="true">IF(AND(ISNUMBER(C242),ISNUMBER(D242),C242&lt;=TODAY(),D242&gt;=TODAY()),D242+ROW()/100000,"")</f>
        <v/>
      </c>
      <c r="L242" s="0" t="str">
        <f aca="true">IF(AND(ISNUMBER(C242),C242&gt;TODAY(),C242&lt;=TODAY()+30),C242+ROW()/100000,"")</f>
        <v/>
      </c>
      <c r="M242" s="0" t="str">
        <f aca="false">IF(AND(ISNUMBER(C242),ISNUMBER(D242),C242&lt;=CALENDÁRIO!$L$4,D242&gt;=CALENDÁRIO!$L$4),ROW(),"")</f>
        <v/>
      </c>
    </row>
    <row r="243" customFormat="false" ht="15" hidden="false" customHeight="true" outlineLevel="0" collapsed="false">
      <c r="A243" s="52"/>
      <c r="B243" s="52"/>
      <c r="C243" s="51"/>
      <c r="D243" s="51"/>
      <c r="E243" s="52"/>
      <c r="F243" s="61" t="str">
        <f aca="false">IF(AND(ISNUMBER(C243),ISNUMBER(D243),D243&gt;=C243),D243-C243+1,"")</f>
        <v/>
      </c>
      <c r="G243" s="62" t="str">
        <f aca="false">IF(AND(ISNUMBER(C243),ISNUMBER(D243),D243&gt;=C243),WORKDAY(D243,1),"")</f>
        <v/>
      </c>
      <c r="H243" s="53" t="str">
        <f aca="true">IF(A243="","",IF(NOT(AND(ISNUMBER(C243),ISNUMBER(D243))),"Sem data definida",IF(D243&lt;C243,"⚠ Datas invertidas",IF(TODAY()&lt;C243,IF(C243-TODAY()=1,"Começa amanhã","Começa em "&amp;(C243-TODAY())&amp;" dias"),IF(TODAY()&gt;D243,"Concluídas",IF(TODAY()=D243,"EM FÉRIAS (último dia)","EM FÉRIAS (faltam "&amp;(D243-TODAY())&amp;" dias)"))))))</f>
        <v/>
      </c>
      <c r="I243" s="53" t="str">
        <f aca="false">IF(OR(A243="",NOT(AND(ISNUMBER(C243),ISNUMBER(D243)))),"",IF(D243-C243+1&gt;30,"⚠ Período acima de 30 dias",IF(COUNTIFS($B$2:$B$301,B243,$C$2:$C$301,"&lt;="&amp;D243,$D$2:$D$301,"&gt;="&amp;C243)&gt;1,"⚠ Coincide com férias de outro do setor","")))</f>
        <v/>
      </c>
      <c r="K243" s="0" t="str">
        <f aca="true">IF(AND(ISNUMBER(C243),ISNUMBER(D243),C243&lt;=TODAY(),D243&gt;=TODAY()),D243+ROW()/100000,"")</f>
        <v/>
      </c>
      <c r="L243" s="0" t="str">
        <f aca="true">IF(AND(ISNUMBER(C243),C243&gt;TODAY(),C243&lt;=TODAY()+30),C243+ROW()/100000,"")</f>
        <v/>
      </c>
      <c r="M243" s="0" t="str">
        <f aca="false">IF(AND(ISNUMBER(C243),ISNUMBER(D243),C243&lt;=CALENDÁRIO!$L$4,D243&gt;=CALENDÁRIO!$L$4),ROW(),"")</f>
        <v/>
      </c>
    </row>
    <row r="244" customFormat="false" ht="15" hidden="false" customHeight="true" outlineLevel="0" collapsed="false">
      <c r="A244" s="52"/>
      <c r="B244" s="52"/>
      <c r="C244" s="51"/>
      <c r="D244" s="51"/>
      <c r="E244" s="52"/>
      <c r="F244" s="61" t="str">
        <f aca="false">IF(AND(ISNUMBER(C244),ISNUMBER(D244),D244&gt;=C244),D244-C244+1,"")</f>
        <v/>
      </c>
      <c r="G244" s="62" t="str">
        <f aca="false">IF(AND(ISNUMBER(C244),ISNUMBER(D244),D244&gt;=C244),WORKDAY(D244,1),"")</f>
        <v/>
      </c>
      <c r="H244" s="53" t="str">
        <f aca="true">IF(A244="","",IF(NOT(AND(ISNUMBER(C244),ISNUMBER(D244))),"Sem data definida",IF(D244&lt;C244,"⚠ Datas invertidas",IF(TODAY()&lt;C244,IF(C244-TODAY()=1,"Começa amanhã","Começa em "&amp;(C244-TODAY())&amp;" dias"),IF(TODAY()&gt;D244,"Concluídas",IF(TODAY()=D244,"EM FÉRIAS (último dia)","EM FÉRIAS (faltam "&amp;(D244-TODAY())&amp;" dias)"))))))</f>
        <v/>
      </c>
      <c r="I244" s="53" t="str">
        <f aca="false">IF(OR(A244="",NOT(AND(ISNUMBER(C244),ISNUMBER(D244)))),"",IF(D244-C244+1&gt;30,"⚠ Período acima de 30 dias",IF(COUNTIFS($B$2:$B$301,B244,$C$2:$C$301,"&lt;="&amp;D244,$D$2:$D$301,"&gt;="&amp;C244)&gt;1,"⚠ Coincide com férias de outro do setor","")))</f>
        <v/>
      </c>
      <c r="K244" s="0" t="str">
        <f aca="true">IF(AND(ISNUMBER(C244),ISNUMBER(D244),C244&lt;=TODAY(),D244&gt;=TODAY()),D244+ROW()/100000,"")</f>
        <v/>
      </c>
      <c r="L244" s="0" t="str">
        <f aca="true">IF(AND(ISNUMBER(C244),C244&gt;TODAY(),C244&lt;=TODAY()+30),C244+ROW()/100000,"")</f>
        <v/>
      </c>
      <c r="M244" s="0" t="str">
        <f aca="false">IF(AND(ISNUMBER(C244),ISNUMBER(D244),C244&lt;=CALENDÁRIO!$L$4,D244&gt;=CALENDÁRIO!$L$4),ROW(),"")</f>
        <v/>
      </c>
    </row>
    <row r="245" customFormat="false" ht="15" hidden="false" customHeight="true" outlineLevel="0" collapsed="false">
      <c r="A245" s="52"/>
      <c r="B245" s="52"/>
      <c r="C245" s="51"/>
      <c r="D245" s="51"/>
      <c r="E245" s="52"/>
      <c r="F245" s="61" t="str">
        <f aca="false">IF(AND(ISNUMBER(C245),ISNUMBER(D245),D245&gt;=C245),D245-C245+1,"")</f>
        <v/>
      </c>
      <c r="G245" s="62" t="str">
        <f aca="false">IF(AND(ISNUMBER(C245),ISNUMBER(D245),D245&gt;=C245),WORKDAY(D245,1),"")</f>
        <v/>
      </c>
      <c r="H245" s="53" t="str">
        <f aca="true">IF(A245="","",IF(NOT(AND(ISNUMBER(C245),ISNUMBER(D245))),"Sem data definida",IF(D245&lt;C245,"⚠ Datas invertidas",IF(TODAY()&lt;C245,IF(C245-TODAY()=1,"Começa amanhã","Começa em "&amp;(C245-TODAY())&amp;" dias"),IF(TODAY()&gt;D245,"Concluídas",IF(TODAY()=D245,"EM FÉRIAS (último dia)","EM FÉRIAS (faltam "&amp;(D245-TODAY())&amp;" dias)"))))))</f>
        <v/>
      </c>
      <c r="I245" s="53" t="str">
        <f aca="false">IF(OR(A245="",NOT(AND(ISNUMBER(C245),ISNUMBER(D245)))),"",IF(D245-C245+1&gt;30,"⚠ Período acima de 30 dias",IF(COUNTIFS($B$2:$B$301,B245,$C$2:$C$301,"&lt;="&amp;D245,$D$2:$D$301,"&gt;="&amp;C245)&gt;1,"⚠ Coincide com férias de outro do setor","")))</f>
        <v/>
      </c>
      <c r="K245" s="0" t="str">
        <f aca="true">IF(AND(ISNUMBER(C245),ISNUMBER(D245),C245&lt;=TODAY(),D245&gt;=TODAY()),D245+ROW()/100000,"")</f>
        <v/>
      </c>
      <c r="L245" s="0" t="str">
        <f aca="true">IF(AND(ISNUMBER(C245),C245&gt;TODAY(),C245&lt;=TODAY()+30),C245+ROW()/100000,"")</f>
        <v/>
      </c>
      <c r="M245" s="0" t="str">
        <f aca="false">IF(AND(ISNUMBER(C245),ISNUMBER(D245),C245&lt;=CALENDÁRIO!$L$4,D245&gt;=CALENDÁRIO!$L$4),ROW(),"")</f>
        <v/>
      </c>
    </row>
    <row r="246" customFormat="false" ht="15" hidden="false" customHeight="true" outlineLevel="0" collapsed="false">
      <c r="A246" s="52"/>
      <c r="B246" s="52"/>
      <c r="C246" s="51"/>
      <c r="D246" s="51"/>
      <c r="E246" s="52"/>
      <c r="F246" s="61" t="str">
        <f aca="false">IF(AND(ISNUMBER(C246),ISNUMBER(D246),D246&gt;=C246),D246-C246+1,"")</f>
        <v/>
      </c>
      <c r="G246" s="62" t="str">
        <f aca="false">IF(AND(ISNUMBER(C246),ISNUMBER(D246),D246&gt;=C246),WORKDAY(D246,1),"")</f>
        <v/>
      </c>
      <c r="H246" s="53" t="str">
        <f aca="true">IF(A246="","",IF(NOT(AND(ISNUMBER(C246),ISNUMBER(D246))),"Sem data definida",IF(D246&lt;C246,"⚠ Datas invertidas",IF(TODAY()&lt;C246,IF(C246-TODAY()=1,"Começa amanhã","Começa em "&amp;(C246-TODAY())&amp;" dias"),IF(TODAY()&gt;D246,"Concluídas",IF(TODAY()=D246,"EM FÉRIAS (último dia)","EM FÉRIAS (faltam "&amp;(D246-TODAY())&amp;" dias)"))))))</f>
        <v/>
      </c>
      <c r="I246" s="53" t="str">
        <f aca="false">IF(OR(A246="",NOT(AND(ISNUMBER(C246),ISNUMBER(D246)))),"",IF(D246-C246+1&gt;30,"⚠ Período acima de 30 dias",IF(COUNTIFS($B$2:$B$301,B246,$C$2:$C$301,"&lt;="&amp;D246,$D$2:$D$301,"&gt;="&amp;C246)&gt;1,"⚠ Coincide com férias de outro do setor","")))</f>
        <v/>
      </c>
      <c r="K246" s="0" t="str">
        <f aca="true">IF(AND(ISNUMBER(C246),ISNUMBER(D246),C246&lt;=TODAY(),D246&gt;=TODAY()),D246+ROW()/100000,"")</f>
        <v/>
      </c>
      <c r="L246" s="0" t="str">
        <f aca="true">IF(AND(ISNUMBER(C246),C246&gt;TODAY(),C246&lt;=TODAY()+30),C246+ROW()/100000,"")</f>
        <v/>
      </c>
      <c r="M246" s="0" t="str">
        <f aca="false">IF(AND(ISNUMBER(C246),ISNUMBER(D246),C246&lt;=CALENDÁRIO!$L$4,D246&gt;=CALENDÁRIO!$L$4),ROW(),"")</f>
        <v/>
      </c>
    </row>
    <row r="247" customFormat="false" ht="15" hidden="false" customHeight="true" outlineLevel="0" collapsed="false">
      <c r="A247" s="52"/>
      <c r="B247" s="52"/>
      <c r="C247" s="51"/>
      <c r="D247" s="51"/>
      <c r="E247" s="52"/>
      <c r="F247" s="61" t="str">
        <f aca="false">IF(AND(ISNUMBER(C247),ISNUMBER(D247),D247&gt;=C247),D247-C247+1,"")</f>
        <v/>
      </c>
      <c r="G247" s="62" t="str">
        <f aca="false">IF(AND(ISNUMBER(C247),ISNUMBER(D247),D247&gt;=C247),WORKDAY(D247,1),"")</f>
        <v/>
      </c>
      <c r="H247" s="53" t="str">
        <f aca="true">IF(A247="","",IF(NOT(AND(ISNUMBER(C247),ISNUMBER(D247))),"Sem data definida",IF(D247&lt;C247,"⚠ Datas invertidas",IF(TODAY()&lt;C247,IF(C247-TODAY()=1,"Começa amanhã","Começa em "&amp;(C247-TODAY())&amp;" dias"),IF(TODAY()&gt;D247,"Concluídas",IF(TODAY()=D247,"EM FÉRIAS (último dia)","EM FÉRIAS (faltam "&amp;(D247-TODAY())&amp;" dias)"))))))</f>
        <v/>
      </c>
      <c r="I247" s="53" t="str">
        <f aca="false">IF(OR(A247="",NOT(AND(ISNUMBER(C247),ISNUMBER(D247)))),"",IF(D247-C247+1&gt;30,"⚠ Período acima de 30 dias",IF(COUNTIFS($B$2:$B$301,B247,$C$2:$C$301,"&lt;="&amp;D247,$D$2:$D$301,"&gt;="&amp;C247)&gt;1,"⚠ Coincide com férias de outro do setor","")))</f>
        <v/>
      </c>
      <c r="K247" s="0" t="str">
        <f aca="true">IF(AND(ISNUMBER(C247),ISNUMBER(D247),C247&lt;=TODAY(),D247&gt;=TODAY()),D247+ROW()/100000,"")</f>
        <v/>
      </c>
      <c r="L247" s="0" t="str">
        <f aca="true">IF(AND(ISNUMBER(C247),C247&gt;TODAY(),C247&lt;=TODAY()+30),C247+ROW()/100000,"")</f>
        <v/>
      </c>
      <c r="M247" s="0" t="str">
        <f aca="false">IF(AND(ISNUMBER(C247),ISNUMBER(D247),C247&lt;=CALENDÁRIO!$L$4,D247&gt;=CALENDÁRIO!$L$4),ROW(),"")</f>
        <v/>
      </c>
    </row>
    <row r="248" customFormat="false" ht="15" hidden="false" customHeight="true" outlineLevel="0" collapsed="false">
      <c r="A248" s="52"/>
      <c r="B248" s="52"/>
      <c r="C248" s="51"/>
      <c r="D248" s="51"/>
      <c r="E248" s="52"/>
      <c r="F248" s="61" t="str">
        <f aca="false">IF(AND(ISNUMBER(C248),ISNUMBER(D248),D248&gt;=C248),D248-C248+1,"")</f>
        <v/>
      </c>
      <c r="G248" s="62" t="str">
        <f aca="false">IF(AND(ISNUMBER(C248),ISNUMBER(D248),D248&gt;=C248),WORKDAY(D248,1),"")</f>
        <v/>
      </c>
      <c r="H248" s="53" t="str">
        <f aca="true">IF(A248="","",IF(NOT(AND(ISNUMBER(C248),ISNUMBER(D248))),"Sem data definida",IF(D248&lt;C248,"⚠ Datas invertidas",IF(TODAY()&lt;C248,IF(C248-TODAY()=1,"Começa amanhã","Começa em "&amp;(C248-TODAY())&amp;" dias"),IF(TODAY()&gt;D248,"Concluídas",IF(TODAY()=D248,"EM FÉRIAS (último dia)","EM FÉRIAS (faltam "&amp;(D248-TODAY())&amp;" dias)"))))))</f>
        <v/>
      </c>
      <c r="I248" s="53" t="str">
        <f aca="false">IF(OR(A248="",NOT(AND(ISNUMBER(C248),ISNUMBER(D248)))),"",IF(D248-C248+1&gt;30,"⚠ Período acima de 30 dias",IF(COUNTIFS($B$2:$B$301,B248,$C$2:$C$301,"&lt;="&amp;D248,$D$2:$D$301,"&gt;="&amp;C248)&gt;1,"⚠ Coincide com férias de outro do setor","")))</f>
        <v/>
      </c>
      <c r="K248" s="0" t="str">
        <f aca="true">IF(AND(ISNUMBER(C248),ISNUMBER(D248),C248&lt;=TODAY(),D248&gt;=TODAY()),D248+ROW()/100000,"")</f>
        <v/>
      </c>
      <c r="L248" s="0" t="str">
        <f aca="true">IF(AND(ISNUMBER(C248),C248&gt;TODAY(),C248&lt;=TODAY()+30),C248+ROW()/100000,"")</f>
        <v/>
      </c>
      <c r="M248" s="0" t="str">
        <f aca="false">IF(AND(ISNUMBER(C248),ISNUMBER(D248),C248&lt;=CALENDÁRIO!$L$4,D248&gt;=CALENDÁRIO!$L$4),ROW(),"")</f>
        <v/>
      </c>
    </row>
    <row r="249" customFormat="false" ht="15" hidden="false" customHeight="true" outlineLevel="0" collapsed="false">
      <c r="A249" s="52"/>
      <c r="B249" s="52"/>
      <c r="C249" s="51"/>
      <c r="D249" s="51"/>
      <c r="E249" s="52"/>
      <c r="F249" s="61" t="str">
        <f aca="false">IF(AND(ISNUMBER(C249),ISNUMBER(D249),D249&gt;=C249),D249-C249+1,"")</f>
        <v/>
      </c>
      <c r="G249" s="62" t="str">
        <f aca="false">IF(AND(ISNUMBER(C249),ISNUMBER(D249),D249&gt;=C249),WORKDAY(D249,1),"")</f>
        <v/>
      </c>
      <c r="H249" s="53" t="str">
        <f aca="true">IF(A249="","",IF(NOT(AND(ISNUMBER(C249),ISNUMBER(D249))),"Sem data definida",IF(D249&lt;C249,"⚠ Datas invertidas",IF(TODAY()&lt;C249,IF(C249-TODAY()=1,"Começa amanhã","Começa em "&amp;(C249-TODAY())&amp;" dias"),IF(TODAY()&gt;D249,"Concluídas",IF(TODAY()=D249,"EM FÉRIAS (último dia)","EM FÉRIAS (faltam "&amp;(D249-TODAY())&amp;" dias)"))))))</f>
        <v/>
      </c>
      <c r="I249" s="53" t="str">
        <f aca="false">IF(OR(A249="",NOT(AND(ISNUMBER(C249),ISNUMBER(D249)))),"",IF(D249-C249+1&gt;30,"⚠ Período acima de 30 dias",IF(COUNTIFS($B$2:$B$301,B249,$C$2:$C$301,"&lt;="&amp;D249,$D$2:$D$301,"&gt;="&amp;C249)&gt;1,"⚠ Coincide com férias de outro do setor","")))</f>
        <v/>
      </c>
      <c r="K249" s="0" t="str">
        <f aca="true">IF(AND(ISNUMBER(C249),ISNUMBER(D249),C249&lt;=TODAY(),D249&gt;=TODAY()),D249+ROW()/100000,"")</f>
        <v/>
      </c>
      <c r="L249" s="0" t="str">
        <f aca="true">IF(AND(ISNUMBER(C249),C249&gt;TODAY(),C249&lt;=TODAY()+30),C249+ROW()/100000,"")</f>
        <v/>
      </c>
      <c r="M249" s="0" t="str">
        <f aca="false">IF(AND(ISNUMBER(C249),ISNUMBER(D249),C249&lt;=CALENDÁRIO!$L$4,D249&gt;=CALENDÁRIO!$L$4),ROW(),"")</f>
        <v/>
      </c>
    </row>
    <row r="250" customFormat="false" ht="15" hidden="false" customHeight="true" outlineLevel="0" collapsed="false">
      <c r="A250" s="52"/>
      <c r="B250" s="52"/>
      <c r="C250" s="51"/>
      <c r="D250" s="51"/>
      <c r="E250" s="52"/>
      <c r="F250" s="61" t="str">
        <f aca="false">IF(AND(ISNUMBER(C250),ISNUMBER(D250),D250&gt;=C250),D250-C250+1,"")</f>
        <v/>
      </c>
      <c r="G250" s="62" t="str">
        <f aca="false">IF(AND(ISNUMBER(C250),ISNUMBER(D250),D250&gt;=C250),WORKDAY(D250,1),"")</f>
        <v/>
      </c>
      <c r="H250" s="53" t="str">
        <f aca="true">IF(A250="","",IF(NOT(AND(ISNUMBER(C250),ISNUMBER(D250))),"Sem data definida",IF(D250&lt;C250,"⚠ Datas invertidas",IF(TODAY()&lt;C250,IF(C250-TODAY()=1,"Começa amanhã","Começa em "&amp;(C250-TODAY())&amp;" dias"),IF(TODAY()&gt;D250,"Concluídas",IF(TODAY()=D250,"EM FÉRIAS (último dia)","EM FÉRIAS (faltam "&amp;(D250-TODAY())&amp;" dias)"))))))</f>
        <v/>
      </c>
      <c r="I250" s="53" t="str">
        <f aca="false">IF(OR(A250="",NOT(AND(ISNUMBER(C250),ISNUMBER(D250)))),"",IF(D250-C250+1&gt;30,"⚠ Período acima de 30 dias",IF(COUNTIFS($B$2:$B$301,B250,$C$2:$C$301,"&lt;="&amp;D250,$D$2:$D$301,"&gt;="&amp;C250)&gt;1,"⚠ Coincide com férias de outro do setor","")))</f>
        <v/>
      </c>
      <c r="K250" s="0" t="str">
        <f aca="true">IF(AND(ISNUMBER(C250),ISNUMBER(D250),C250&lt;=TODAY(),D250&gt;=TODAY()),D250+ROW()/100000,"")</f>
        <v/>
      </c>
      <c r="L250" s="0" t="str">
        <f aca="true">IF(AND(ISNUMBER(C250),C250&gt;TODAY(),C250&lt;=TODAY()+30),C250+ROW()/100000,"")</f>
        <v/>
      </c>
      <c r="M250" s="0" t="str">
        <f aca="false">IF(AND(ISNUMBER(C250),ISNUMBER(D250),C250&lt;=CALENDÁRIO!$L$4,D250&gt;=CALENDÁRIO!$L$4),ROW(),"")</f>
        <v/>
      </c>
    </row>
    <row r="251" customFormat="false" ht="15" hidden="false" customHeight="true" outlineLevel="0" collapsed="false">
      <c r="A251" s="52"/>
      <c r="B251" s="52"/>
      <c r="C251" s="51"/>
      <c r="D251" s="51"/>
      <c r="E251" s="52"/>
      <c r="F251" s="61" t="str">
        <f aca="false">IF(AND(ISNUMBER(C251),ISNUMBER(D251),D251&gt;=C251),D251-C251+1,"")</f>
        <v/>
      </c>
      <c r="G251" s="62" t="str">
        <f aca="false">IF(AND(ISNUMBER(C251),ISNUMBER(D251),D251&gt;=C251),WORKDAY(D251,1),"")</f>
        <v/>
      </c>
      <c r="H251" s="53" t="str">
        <f aca="true">IF(A251="","",IF(NOT(AND(ISNUMBER(C251),ISNUMBER(D251))),"Sem data definida",IF(D251&lt;C251,"⚠ Datas invertidas",IF(TODAY()&lt;C251,IF(C251-TODAY()=1,"Começa amanhã","Começa em "&amp;(C251-TODAY())&amp;" dias"),IF(TODAY()&gt;D251,"Concluídas",IF(TODAY()=D251,"EM FÉRIAS (último dia)","EM FÉRIAS (faltam "&amp;(D251-TODAY())&amp;" dias)"))))))</f>
        <v/>
      </c>
      <c r="I251" s="53" t="str">
        <f aca="false">IF(OR(A251="",NOT(AND(ISNUMBER(C251),ISNUMBER(D251)))),"",IF(D251-C251+1&gt;30,"⚠ Período acima de 30 dias",IF(COUNTIFS($B$2:$B$301,B251,$C$2:$C$301,"&lt;="&amp;D251,$D$2:$D$301,"&gt;="&amp;C251)&gt;1,"⚠ Coincide com férias de outro do setor","")))</f>
        <v/>
      </c>
      <c r="K251" s="0" t="str">
        <f aca="true">IF(AND(ISNUMBER(C251),ISNUMBER(D251),C251&lt;=TODAY(),D251&gt;=TODAY()),D251+ROW()/100000,"")</f>
        <v/>
      </c>
      <c r="L251" s="0" t="str">
        <f aca="true">IF(AND(ISNUMBER(C251),C251&gt;TODAY(),C251&lt;=TODAY()+30),C251+ROW()/100000,"")</f>
        <v/>
      </c>
      <c r="M251" s="0" t="str">
        <f aca="false">IF(AND(ISNUMBER(C251),ISNUMBER(D251),C251&lt;=CALENDÁRIO!$L$4,D251&gt;=CALENDÁRIO!$L$4),ROW(),"")</f>
        <v/>
      </c>
    </row>
    <row r="252" customFormat="false" ht="15" hidden="false" customHeight="true" outlineLevel="0" collapsed="false">
      <c r="A252" s="52"/>
      <c r="B252" s="52"/>
      <c r="C252" s="51"/>
      <c r="D252" s="51"/>
      <c r="E252" s="52"/>
      <c r="F252" s="61" t="str">
        <f aca="false">IF(AND(ISNUMBER(C252),ISNUMBER(D252),D252&gt;=C252),D252-C252+1,"")</f>
        <v/>
      </c>
      <c r="G252" s="62" t="str">
        <f aca="false">IF(AND(ISNUMBER(C252),ISNUMBER(D252),D252&gt;=C252),WORKDAY(D252,1),"")</f>
        <v/>
      </c>
      <c r="H252" s="53" t="str">
        <f aca="true">IF(A252="","",IF(NOT(AND(ISNUMBER(C252),ISNUMBER(D252))),"Sem data definida",IF(D252&lt;C252,"⚠ Datas invertidas",IF(TODAY()&lt;C252,IF(C252-TODAY()=1,"Começa amanhã","Começa em "&amp;(C252-TODAY())&amp;" dias"),IF(TODAY()&gt;D252,"Concluídas",IF(TODAY()=D252,"EM FÉRIAS (último dia)","EM FÉRIAS (faltam "&amp;(D252-TODAY())&amp;" dias)"))))))</f>
        <v/>
      </c>
      <c r="I252" s="53" t="str">
        <f aca="false">IF(OR(A252="",NOT(AND(ISNUMBER(C252),ISNUMBER(D252)))),"",IF(D252-C252+1&gt;30,"⚠ Período acima de 30 dias",IF(COUNTIFS($B$2:$B$301,B252,$C$2:$C$301,"&lt;="&amp;D252,$D$2:$D$301,"&gt;="&amp;C252)&gt;1,"⚠ Coincide com férias de outro do setor","")))</f>
        <v/>
      </c>
      <c r="K252" s="0" t="str">
        <f aca="true">IF(AND(ISNUMBER(C252),ISNUMBER(D252),C252&lt;=TODAY(),D252&gt;=TODAY()),D252+ROW()/100000,"")</f>
        <v/>
      </c>
      <c r="L252" s="0" t="str">
        <f aca="true">IF(AND(ISNUMBER(C252),C252&gt;TODAY(),C252&lt;=TODAY()+30),C252+ROW()/100000,"")</f>
        <v/>
      </c>
      <c r="M252" s="0" t="str">
        <f aca="false">IF(AND(ISNUMBER(C252),ISNUMBER(D252),C252&lt;=CALENDÁRIO!$L$4,D252&gt;=CALENDÁRIO!$L$4),ROW(),"")</f>
        <v/>
      </c>
    </row>
    <row r="253" customFormat="false" ht="15" hidden="false" customHeight="true" outlineLevel="0" collapsed="false">
      <c r="A253" s="52"/>
      <c r="B253" s="52"/>
      <c r="C253" s="51"/>
      <c r="D253" s="51"/>
      <c r="E253" s="52"/>
      <c r="F253" s="61" t="str">
        <f aca="false">IF(AND(ISNUMBER(C253),ISNUMBER(D253),D253&gt;=C253),D253-C253+1,"")</f>
        <v/>
      </c>
      <c r="G253" s="62" t="str">
        <f aca="false">IF(AND(ISNUMBER(C253),ISNUMBER(D253),D253&gt;=C253),WORKDAY(D253,1),"")</f>
        <v/>
      </c>
      <c r="H253" s="53" t="str">
        <f aca="true">IF(A253="","",IF(NOT(AND(ISNUMBER(C253),ISNUMBER(D253))),"Sem data definida",IF(D253&lt;C253,"⚠ Datas invertidas",IF(TODAY()&lt;C253,IF(C253-TODAY()=1,"Começa amanhã","Começa em "&amp;(C253-TODAY())&amp;" dias"),IF(TODAY()&gt;D253,"Concluídas",IF(TODAY()=D253,"EM FÉRIAS (último dia)","EM FÉRIAS (faltam "&amp;(D253-TODAY())&amp;" dias)"))))))</f>
        <v/>
      </c>
      <c r="I253" s="53" t="str">
        <f aca="false">IF(OR(A253="",NOT(AND(ISNUMBER(C253),ISNUMBER(D253)))),"",IF(D253-C253+1&gt;30,"⚠ Período acima de 30 dias",IF(COUNTIFS($B$2:$B$301,B253,$C$2:$C$301,"&lt;="&amp;D253,$D$2:$D$301,"&gt;="&amp;C253)&gt;1,"⚠ Coincide com férias de outro do setor","")))</f>
        <v/>
      </c>
      <c r="K253" s="0" t="str">
        <f aca="true">IF(AND(ISNUMBER(C253),ISNUMBER(D253),C253&lt;=TODAY(),D253&gt;=TODAY()),D253+ROW()/100000,"")</f>
        <v/>
      </c>
      <c r="L253" s="0" t="str">
        <f aca="true">IF(AND(ISNUMBER(C253),C253&gt;TODAY(),C253&lt;=TODAY()+30),C253+ROW()/100000,"")</f>
        <v/>
      </c>
      <c r="M253" s="0" t="str">
        <f aca="false">IF(AND(ISNUMBER(C253),ISNUMBER(D253),C253&lt;=CALENDÁRIO!$L$4,D253&gt;=CALENDÁRIO!$L$4),ROW(),"")</f>
        <v/>
      </c>
    </row>
    <row r="254" customFormat="false" ht="15" hidden="false" customHeight="true" outlineLevel="0" collapsed="false">
      <c r="A254" s="52"/>
      <c r="B254" s="52"/>
      <c r="C254" s="51"/>
      <c r="D254" s="51"/>
      <c r="E254" s="52"/>
      <c r="F254" s="61" t="str">
        <f aca="false">IF(AND(ISNUMBER(C254),ISNUMBER(D254),D254&gt;=C254),D254-C254+1,"")</f>
        <v/>
      </c>
      <c r="G254" s="62" t="str">
        <f aca="false">IF(AND(ISNUMBER(C254),ISNUMBER(D254),D254&gt;=C254),WORKDAY(D254,1),"")</f>
        <v/>
      </c>
      <c r="H254" s="53" t="str">
        <f aca="true">IF(A254="","",IF(NOT(AND(ISNUMBER(C254),ISNUMBER(D254))),"Sem data definida",IF(D254&lt;C254,"⚠ Datas invertidas",IF(TODAY()&lt;C254,IF(C254-TODAY()=1,"Começa amanhã","Começa em "&amp;(C254-TODAY())&amp;" dias"),IF(TODAY()&gt;D254,"Concluídas",IF(TODAY()=D254,"EM FÉRIAS (último dia)","EM FÉRIAS (faltam "&amp;(D254-TODAY())&amp;" dias)"))))))</f>
        <v/>
      </c>
      <c r="I254" s="53" t="str">
        <f aca="false">IF(OR(A254="",NOT(AND(ISNUMBER(C254),ISNUMBER(D254)))),"",IF(D254-C254+1&gt;30,"⚠ Período acima de 30 dias",IF(COUNTIFS($B$2:$B$301,B254,$C$2:$C$301,"&lt;="&amp;D254,$D$2:$D$301,"&gt;="&amp;C254)&gt;1,"⚠ Coincide com férias de outro do setor","")))</f>
        <v/>
      </c>
      <c r="K254" s="0" t="str">
        <f aca="true">IF(AND(ISNUMBER(C254),ISNUMBER(D254),C254&lt;=TODAY(),D254&gt;=TODAY()),D254+ROW()/100000,"")</f>
        <v/>
      </c>
      <c r="L254" s="0" t="str">
        <f aca="true">IF(AND(ISNUMBER(C254),C254&gt;TODAY(),C254&lt;=TODAY()+30),C254+ROW()/100000,"")</f>
        <v/>
      </c>
      <c r="M254" s="0" t="str">
        <f aca="false">IF(AND(ISNUMBER(C254),ISNUMBER(D254),C254&lt;=CALENDÁRIO!$L$4,D254&gt;=CALENDÁRIO!$L$4),ROW(),"")</f>
        <v/>
      </c>
    </row>
    <row r="255" customFormat="false" ht="15" hidden="false" customHeight="true" outlineLevel="0" collapsed="false">
      <c r="A255" s="52"/>
      <c r="B255" s="52"/>
      <c r="C255" s="51"/>
      <c r="D255" s="51"/>
      <c r="E255" s="52"/>
      <c r="F255" s="61" t="str">
        <f aca="false">IF(AND(ISNUMBER(C255),ISNUMBER(D255),D255&gt;=C255),D255-C255+1,"")</f>
        <v/>
      </c>
      <c r="G255" s="62" t="str">
        <f aca="false">IF(AND(ISNUMBER(C255),ISNUMBER(D255),D255&gt;=C255),WORKDAY(D255,1),"")</f>
        <v/>
      </c>
      <c r="H255" s="53" t="str">
        <f aca="true">IF(A255="","",IF(NOT(AND(ISNUMBER(C255),ISNUMBER(D255))),"Sem data definida",IF(D255&lt;C255,"⚠ Datas invertidas",IF(TODAY()&lt;C255,IF(C255-TODAY()=1,"Começa amanhã","Começa em "&amp;(C255-TODAY())&amp;" dias"),IF(TODAY()&gt;D255,"Concluídas",IF(TODAY()=D255,"EM FÉRIAS (último dia)","EM FÉRIAS (faltam "&amp;(D255-TODAY())&amp;" dias)"))))))</f>
        <v/>
      </c>
      <c r="I255" s="53" t="str">
        <f aca="false">IF(OR(A255="",NOT(AND(ISNUMBER(C255),ISNUMBER(D255)))),"",IF(D255-C255+1&gt;30,"⚠ Período acima de 30 dias",IF(COUNTIFS($B$2:$B$301,B255,$C$2:$C$301,"&lt;="&amp;D255,$D$2:$D$301,"&gt;="&amp;C255)&gt;1,"⚠ Coincide com férias de outro do setor","")))</f>
        <v/>
      </c>
      <c r="K255" s="0" t="str">
        <f aca="true">IF(AND(ISNUMBER(C255),ISNUMBER(D255),C255&lt;=TODAY(),D255&gt;=TODAY()),D255+ROW()/100000,"")</f>
        <v/>
      </c>
      <c r="L255" s="0" t="str">
        <f aca="true">IF(AND(ISNUMBER(C255),C255&gt;TODAY(),C255&lt;=TODAY()+30),C255+ROW()/100000,"")</f>
        <v/>
      </c>
      <c r="M255" s="0" t="str">
        <f aca="false">IF(AND(ISNUMBER(C255),ISNUMBER(D255),C255&lt;=CALENDÁRIO!$L$4,D255&gt;=CALENDÁRIO!$L$4),ROW(),"")</f>
        <v/>
      </c>
    </row>
    <row r="256" customFormat="false" ht="15" hidden="false" customHeight="true" outlineLevel="0" collapsed="false">
      <c r="A256" s="52"/>
      <c r="B256" s="52"/>
      <c r="C256" s="51"/>
      <c r="D256" s="51"/>
      <c r="E256" s="52"/>
      <c r="F256" s="61" t="str">
        <f aca="false">IF(AND(ISNUMBER(C256),ISNUMBER(D256),D256&gt;=C256),D256-C256+1,"")</f>
        <v/>
      </c>
      <c r="G256" s="62" t="str">
        <f aca="false">IF(AND(ISNUMBER(C256),ISNUMBER(D256),D256&gt;=C256),WORKDAY(D256,1),"")</f>
        <v/>
      </c>
      <c r="H256" s="53" t="str">
        <f aca="true">IF(A256="","",IF(NOT(AND(ISNUMBER(C256),ISNUMBER(D256))),"Sem data definida",IF(D256&lt;C256,"⚠ Datas invertidas",IF(TODAY()&lt;C256,IF(C256-TODAY()=1,"Começa amanhã","Começa em "&amp;(C256-TODAY())&amp;" dias"),IF(TODAY()&gt;D256,"Concluídas",IF(TODAY()=D256,"EM FÉRIAS (último dia)","EM FÉRIAS (faltam "&amp;(D256-TODAY())&amp;" dias)"))))))</f>
        <v/>
      </c>
      <c r="I256" s="53" t="str">
        <f aca="false">IF(OR(A256="",NOT(AND(ISNUMBER(C256),ISNUMBER(D256)))),"",IF(D256-C256+1&gt;30,"⚠ Período acima de 30 dias",IF(COUNTIFS($B$2:$B$301,B256,$C$2:$C$301,"&lt;="&amp;D256,$D$2:$D$301,"&gt;="&amp;C256)&gt;1,"⚠ Coincide com férias de outro do setor","")))</f>
        <v/>
      </c>
      <c r="K256" s="0" t="str">
        <f aca="true">IF(AND(ISNUMBER(C256),ISNUMBER(D256),C256&lt;=TODAY(),D256&gt;=TODAY()),D256+ROW()/100000,"")</f>
        <v/>
      </c>
      <c r="L256" s="0" t="str">
        <f aca="true">IF(AND(ISNUMBER(C256),C256&gt;TODAY(),C256&lt;=TODAY()+30),C256+ROW()/100000,"")</f>
        <v/>
      </c>
      <c r="M256" s="0" t="str">
        <f aca="false">IF(AND(ISNUMBER(C256),ISNUMBER(D256),C256&lt;=CALENDÁRIO!$L$4,D256&gt;=CALENDÁRIO!$L$4),ROW(),"")</f>
        <v/>
      </c>
    </row>
    <row r="257" customFormat="false" ht="15" hidden="false" customHeight="true" outlineLevel="0" collapsed="false">
      <c r="A257" s="52"/>
      <c r="B257" s="52"/>
      <c r="C257" s="51"/>
      <c r="D257" s="51"/>
      <c r="E257" s="52"/>
      <c r="F257" s="61" t="str">
        <f aca="false">IF(AND(ISNUMBER(C257),ISNUMBER(D257),D257&gt;=C257),D257-C257+1,"")</f>
        <v/>
      </c>
      <c r="G257" s="62" t="str">
        <f aca="false">IF(AND(ISNUMBER(C257),ISNUMBER(D257),D257&gt;=C257),WORKDAY(D257,1),"")</f>
        <v/>
      </c>
      <c r="H257" s="53" t="str">
        <f aca="true">IF(A257="","",IF(NOT(AND(ISNUMBER(C257),ISNUMBER(D257))),"Sem data definida",IF(D257&lt;C257,"⚠ Datas invertidas",IF(TODAY()&lt;C257,IF(C257-TODAY()=1,"Começa amanhã","Começa em "&amp;(C257-TODAY())&amp;" dias"),IF(TODAY()&gt;D257,"Concluídas",IF(TODAY()=D257,"EM FÉRIAS (último dia)","EM FÉRIAS (faltam "&amp;(D257-TODAY())&amp;" dias)"))))))</f>
        <v/>
      </c>
      <c r="I257" s="53" t="str">
        <f aca="false">IF(OR(A257="",NOT(AND(ISNUMBER(C257),ISNUMBER(D257)))),"",IF(D257-C257+1&gt;30,"⚠ Período acima de 30 dias",IF(COUNTIFS($B$2:$B$301,B257,$C$2:$C$301,"&lt;="&amp;D257,$D$2:$D$301,"&gt;="&amp;C257)&gt;1,"⚠ Coincide com férias de outro do setor","")))</f>
        <v/>
      </c>
      <c r="K257" s="0" t="str">
        <f aca="true">IF(AND(ISNUMBER(C257),ISNUMBER(D257),C257&lt;=TODAY(),D257&gt;=TODAY()),D257+ROW()/100000,"")</f>
        <v/>
      </c>
      <c r="L257" s="0" t="str">
        <f aca="true">IF(AND(ISNUMBER(C257),C257&gt;TODAY(),C257&lt;=TODAY()+30),C257+ROW()/100000,"")</f>
        <v/>
      </c>
      <c r="M257" s="0" t="str">
        <f aca="false">IF(AND(ISNUMBER(C257),ISNUMBER(D257),C257&lt;=CALENDÁRIO!$L$4,D257&gt;=CALENDÁRIO!$L$4),ROW(),"")</f>
        <v/>
      </c>
    </row>
    <row r="258" customFormat="false" ht="15" hidden="false" customHeight="true" outlineLevel="0" collapsed="false">
      <c r="A258" s="52"/>
      <c r="B258" s="52"/>
      <c r="C258" s="51"/>
      <c r="D258" s="51"/>
      <c r="E258" s="52"/>
      <c r="F258" s="61" t="str">
        <f aca="false">IF(AND(ISNUMBER(C258),ISNUMBER(D258),D258&gt;=C258),D258-C258+1,"")</f>
        <v/>
      </c>
      <c r="G258" s="62" t="str">
        <f aca="false">IF(AND(ISNUMBER(C258),ISNUMBER(D258),D258&gt;=C258),WORKDAY(D258,1),"")</f>
        <v/>
      </c>
      <c r="H258" s="53" t="str">
        <f aca="true">IF(A258="","",IF(NOT(AND(ISNUMBER(C258),ISNUMBER(D258))),"Sem data definida",IF(D258&lt;C258,"⚠ Datas invertidas",IF(TODAY()&lt;C258,IF(C258-TODAY()=1,"Começa amanhã","Começa em "&amp;(C258-TODAY())&amp;" dias"),IF(TODAY()&gt;D258,"Concluídas",IF(TODAY()=D258,"EM FÉRIAS (último dia)","EM FÉRIAS (faltam "&amp;(D258-TODAY())&amp;" dias)"))))))</f>
        <v/>
      </c>
      <c r="I258" s="53" t="str">
        <f aca="false">IF(OR(A258="",NOT(AND(ISNUMBER(C258),ISNUMBER(D258)))),"",IF(D258-C258+1&gt;30,"⚠ Período acima de 30 dias",IF(COUNTIFS($B$2:$B$301,B258,$C$2:$C$301,"&lt;="&amp;D258,$D$2:$D$301,"&gt;="&amp;C258)&gt;1,"⚠ Coincide com férias de outro do setor","")))</f>
        <v/>
      </c>
      <c r="K258" s="0" t="str">
        <f aca="true">IF(AND(ISNUMBER(C258),ISNUMBER(D258),C258&lt;=TODAY(),D258&gt;=TODAY()),D258+ROW()/100000,"")</f>
        <v/>
      </c>
      <c r="L258" s="0" t="str">
        <f aca="true">IF(AND(ISNUMBER(C258),C258&gt;TODAY(),C258&lt;=TODAY()+30),C258+ROW()/100000,"")</f>
        <v/>
      </c>
      <c r="M258" s="0" t="str">
        <f aca="false">IF(AND(ISNUMBER(C258),ISNUMBER(D258),C258&lt;=CALENDÁRIO!$L$4,D258&gt;=CALENDÁRIO!$L$4),ROW(),"")</f>
        <v/>
      </c>
    </row>
    <row r="259" customFormat="false" ht="15" hidden="false" customHeight="true" outlineLevel="0" collapsed="false">
      <c r="A259" s="52"/>
      <c r="B259" s="52"/>
      <c r="C259" s="51"/>
      <c r="D259" s="51"/>
      <c r="E259" s="52"/>
      <c r="F259" s="61" t="str">
        <f aca="false">IF(AND(ISNUMBER(C259),ISNUMBER(D259),D259&gt;=C259),D259-C259+1,"")</f>
        <v/>
      </c>
      <c r="G259" s="62" t="str">
        <f aca="false">IF(AND(ISNUMBER(C259),ISNUMBER(D259),D259&gt;=C259),WORKDAY(D259,1),"")</f>
        <v/>
      </c>
      <c r="H259" s="53" t="str">
        <f aca="true">IF(A259="","",IF(NOT(AND(ISNUMBER(C259),ISNUMBER(D259))),"Sem data definida",IF(D259&lt;C259,"⚠ Datas invertidas",IF(TODAY()&lt;C259,IF(C259-TODAY()=1,"Começa amanhã","Começa em "&amp;(C259-TODAY())&amp;" dias"),IF(TODAY()&gt;D259,"Concluídas",IF(TODAY()=D259,"EM FÉRIAS (último dia)","EM FÉRIAS (faltam "&amp;(D259-TODAY())&amp;" dias)"))))))</f>
        <v/>
      </c>
      <c r="I259" s="53" t="str">
        <f aca="false">IF(OR(A259="",NOT(AND(ISNUMBER(C259),ISNUMBER(D259)))),"",IF(D259-C259+1&gt;30,"⚠ Período acima de 30 dias",IF(COUNTIFS($B$2:$B$301,B259,$C$2:$C$301,"&lt;="&amp;D259,$D$2:$D$301,"&gt;="&amp;C259)&gt;1,"⚠ Coincide com férias de outro do setor","")))</f>
        <v/>
      </c>
      <c r="K259" s="0" t="str">
        <f aca="true">IF(AND(ISNUMBER(C259),ISNUMBER(D259),C259&lt;=TODAY(),D259&gt;=TODAY()),D259+ROW()/100000,"")</f>
        <v/>
      </c>
      <c r="L259" s="0" t="str">
        <f aca="true">IF(AND(ISNUMBER(C259),C259&gt;TODAY(),C259&lt;=TODAY()+30),C259+ROW()/100000,"")</f>
        <v/>
      </c>
      <c r="M259" s="0" t="str">
        <f aca="false">IF(AND(ISNUMBER(C259),ISNUMBER(D259),C259&lt;=CALENDÁRIO!$L$4,D259&gt;=CALENDÁRIO!$L$4),ROW(),"")</f>
        <v/>
      </c>
    </row>
    <row r="260" customFormat="false" ht="15" hidden="false" customHeight="true" outlineLevel="0" collapsed="false">
      <c r="A260" s="52"/>
      <c r="B260" s="52"/>
      <c r="C260" s="51"/>
      <c r="D260" s="51"/>
      <c r="E260" s="52"/>
      <c r="F260" s="61" t="str">
        <f aca="false">IF(AND(ISNUMBER(C260),ISNUMBER(D260),D260&gt;=C260),D260-C260+1,"")</f>
        <v/>
      </c>
      <c r="G260" s="62" t="str">
        <f aca="false">IF(AND(ISNUMBER(C260),ISNUMBER(D260),D260&gt;=C260),WORKDAY(D260,1),"")</f>
        <v/>
      </c>
      <c r="H260" s="53" t="str">
        <f aca="true">IF(A260="","",IF(NOT(AND(ISNUMBER(C260),ISNUMBER(D260))),"Sem data definida",IF(D260&lt;C260,"⚠ Datas invertidas",IF(TODAY()&lt;C260,IF(C260-TODAY()=1,"Começa amanhã","Começa em "&amp;(C260-TODAY())&amp;" dias"),IF(TODAY()&gt;D260,"Concluídas",IF(TODAY()=D260,"EM FÉRIAS (último dia)","EM FÉRIAS (faltam "&amp;(D260-TODAY())&amp;" dias)"))))))</f>
        <v/>
      </c>
      <c r="I260" s="53" t="str">
        <f aca="false">IF(OR(A260="",NOT(AND(ISNUMBER(C260),ISNUMBER(D260)))),"",IF(D260-C260+1&gt;30,"⚠ Período acima de 30 dias",IF(COUNTIFS($B$2:$B$301,B260,$C$2:$C$301,"&lt;="&amp;D260,$D$2:$D$301,"&gt;="&amp;C260)&gt;1,"⚠ Coincide com férias de outro do setor","")))</f>
        <v/>
      </c>
      <c r="K260" s="0" t="str">
        <f aca="true">IF(AND(ISNUMBER(C260),ISNUMBER(D260),C260&lt;=TODAY(),D260&gt;=TODAY()),D260+ROW()/100000,"")</f>
        <v/>
      </c>
      <c r="L260" s="0" t="str">
        <f aca="true">IF(AND(ISNUMBER(C260),C260&gt;TODAY(),C260&lt;=TODAY()+30),C260+ROW()/100000,"")</f>
        <v/>
      </c>
      <c r="M260" s="0" t="str">
        <f aca="false">IF(AND(ISNUMBER(C260),ISNUMBER(D260),C260&lt;=CALENDÁRIO!$L$4,D260&gt;=CALENDÁRIO!$L$4),ROW(),"")</f>
        <v/>
      </c>
    </row>
    <row r="261" customFormat="false" ht="15" hidden="false" customHeight="true" outlineLevel="0" collapsed="false">
      <c r="A261" s="52"/>
      <c r="B261" s="52"/>
      <c r="C261" s="51"/>
      <c r="D261" s="51"/>
      <c r="E261" s="52"/>
      <c r="F261" s="61" t="str">
        <f aca="false">IF(AND(ISNUMBER(C261),ISNUMBER(D261),D261&gt;=C261),D261-C261+1,"")</f>
        <v/>
      </c>
      <c r="G261" s="62" t="str">
        <f aca="false">IF(AND(ISNUMBER(C261),ISNUMBER(D261),D261&gt;=C261),WORKDAY(D261,1),"")</f>
        <v/>
      </c>
      <c r="H261" s="53" t="str">
        <f aca="true">IF(A261="","",IF(NOT(AND(ISNUMBER(C261),ISNUMBER(D261))),"Sem data definida",IF(D261&lt;C261,"⚠ Datas invertidas",IF(TODAY()&lt;C261,IF(C261-TODAY()=1,"Começa amanhã","Começa em "&amp;(C261-TODAY())&amp;" dias"),IF(TODAY()&gt;D261,"Concluídas",IF(TODAY()=D261,"EM FÉRIAS (último dia)","EM FÉRIAS (faltam "&amp;(D261-TODAY())&amp;" dias)"))))))</f>
        <v/>
      </c>
      <c r="I261" s="53" t="str">
        <f aca="false">IF(OR(A261="",NOT(AND(ISNUMBER(C261),ISNUMBER(D261)))),"",IF(D261-C261+1&gt;30,"⚠ Período acima de 30 dias",IF(COUNTIFS($B$2:$B$301,B261,$C$2:$C$301,"&lt;="&amp;D261,$D$2:$D$301,"&gt;="&amp;C261)&gt;1,"⚠ Coincide com férias de outro do setor","")))</f>
        <v/>
      </c>
      <c r="K261" s="0" t="str">
        <f aca="true">IF(AND(ISNUMBER(C261),ISNUMBER(D261),C261&lt;=TODAY(),D261&gt;=TODAY()),D261+ROW()/100000,"")</f>
        <v/>
      </c>
      <c r="L261" s="0" t="str">
        <f aca="true">IF(AND(ISNUMBER(C261),C261&gt;TODAY(),C261&lt;=TODAY()+30),C261+ROW()/100000,"")</f>
        <v/>
      </c>
      <c r="M261" s="0" t="str">
        <f aca="false">IF(AND(ISNUMBER(C261),ISNUMBER(D261),C261&lt;=CALENDÁRIO!$L$4,D261&gt;=CALENDÁRIO!$L$4),ROW(),"")</f>
        <v/>
      </c>
    </row>
    <row r="262" customFormat="false" ht="15" hidden="false" customHeight="true" outlineLevel="0" collapsed="false">
      <c r="A262" s="52"/>
      <c r="B262" s="52"/>
      <c r="C262" s="51"/>
      <c r="D262" s="51"/>
      <c r="E262" s="52"/>
      <c r="F262" s="61" t="str">
        <f aca="false">IF(AND(ISNUMBER(C262),ISNUMBER(D262),D262&gt;=C262),D262-C262+1,"")</f>
        <v/>
      </c>
      <c r="G262" s="62" t="str">
        <f aca="false">IF(AND(ISNUMBER(C262),ISNUMBER(D262),D262&gt;=C262),WORKDAY(D262,1),"")</f>
        <v/>
      </c>
      <c r="H262" s="53" t="str">
        <f aca="true">IF(A262="","",IF(NOT(AND(ISNUMBER(C262),ISNUMBER(D262))),"Sem data definida",IF(D262&lt;C262,"⚠ Datas invertidas",IF(TODAY()&lt;C262,IF(C262-TODAY()=1,"Começa amanhã","Começa em "&amp;(C262-TODAY())&amp;" dias"),IF(TODAY()&gt;D262,"Concluídas",IF(TODAY()=D262,"EM FÉRIAS (último dia)","EM FÉRIAS (faltam "&amp;(D262-TODAY())&amp;" dias)"))))))</f>
        <v/>
      </c>
      <c r="I262" s="53" t="str">
        <f aca="false">IF(OR(A262="",NOT(AND(ISNUMBER(C262),ISNUMBER(D262)))),"",IF(D262-C262+1&gt;30,"⚠ Período acima de 30 dias",IF(COUNTIFS($B$2:$B$301,B262,$C$2:$C$301,"&lt;="&amp;D262,$D$2:$D$301,"&gt;="&amp;C262)&gt;1,"⚠ Coincide com férias de outro do setor","")))</f>
        <v/>
      </c>
      <c r="K262" s="0" t="str">
        <f aca="true">IF(AND(ISNUMBER(C262),ISNUMBER(D262),C262&lt;=TODAY(),D262&gt;=TODAY()),D262+ROW()/100000,"")</f>
        <v/>
      </c>
      <c r="L262" s="0" t="str">
        <f aca="true">IF(AND(ISNUMBER(C262),C262&gt;TODAY(),C262&lt;=TODAY()+30),C262+ROW()/100000,"")</f>
        <v/>
      </c>
      <c r="M262" s="0" t="str">
        <f aca="false">IF(AND(ISNUMBER(C262),ISNUMBER(D262),C262&lt;=CALENDÁRIO!$L$4,D262&gt;=CALENDÁRIO!$L$4),ROW(),"")</f>
        <v/>
      </c>
    </row>
    <row r="263" customFormat="false" ht="15" hidden="false" customHeight="true" outlineLevel="0" collapsed="false">
      <c r="A263" s="52"/>
      <c r="B263" s="52"/>
      <c r="C263" s="51"/>
      <c r="D263" s="51"/>
      <c r="E263" s="52"/>
      <c r="F263" s="61" t="str">
        <f aca="false">IF(AND(ISNUMBER(C263),ISNUMBER(D263),D263&gt;=C263),D263-C263+1,"")</f>
        <v/>
      </c>
      <c r="G263" s="62" t="str">
        <f aca="false">IF(AND(ISNUMBER(C263),ISNUMBER(D263),D263&gt;=C263),WORKDAY(D263,1),"")</f>
        <v/>
      </c>
      <c r="H263" s="53" t="str">
        <f aca="true">IF(A263="","",IF(NOT(AND(ISNUMBER(C263),ISNUMBER(D263))),"Sem data definida",IF(D263&lt;C263,"⚠ Datas invertidas",IF(TODAY()&lt;C263,IF(C263-TODAY()=1,"Começa amanhã","Começa em "&amp;(C263-TODAY())&amp;" dias"),IF(TODAY()&gt;D263,"Concluídas",IF(TODAY()=D263,"EM FÉRIAS (último dia)","EM FÉRIAS (faltam "&amp;(D263-TODAY())&amp;" dias)"))))))</f>
        <v/>
      </c>
      <c r="I263" s="53" t="str">
        <f aca="false">IF(OR(A263="",NOT(AND(ISNUMBER(C263),ISNUMBER(D263)))),"",IF(D263-C263+1&gt;30,"⚠ Período acima de 30 dias",IF(COUNTIFS($B$2:$B$301,B263,$C$2:$C$301,"&lt;="&amp;D263,$D$2:$D$301,"&gt;="&amp;C263)&gt;1,"⚠ Coincide com férias de outro do setor","")))</f>
        <v/>
      </c>
      <c r="K263" s="0" t="str">
        <f aca="true">IF(AND(ISNUMBER(C263),ISNUMBER(D263),C263&lt;=TODAY(),D263&gt;=TODAY()),D263+ROW()/100000,"")</f>
        <v/>
      </c>
      <c r="L263" s="0" t="str">
        <f aca="true">IF(AND(ISNUMBER(C263),C263&gt;TODAY(),C263&lt;=TODAY()+30),C263+ROW()/100000,"")</f>
        <v/>
      </c>
      <c r="M263" s="0" t="str">
        <f aca="false">IF(AND(ISNUMBER(C263),ISNUMBER(D263),C263&lt;=CALENDÁRIO!$L$4,D263&gt;=CALENDÁRIO!$L$4),ROW(),"")</f>
        <v/>
      </c>
    </row>
    <row r="264" customFormat="false" ht="15" hidden="false" customHeight="true" outlineLevel="0" collapsed="false">
      <c r="A264" s="52"/>
      <c r="B264" s="52"/>
      <c r="C264" s="51"/>
      <c r="D264" s="51"/>
      <c r="E264" s="52"/>
      <c r="F264" s="61" t="str">
        <f aca="false">IF(AND(ISNUMBER(C264),ISNUMBER(D264),D264&gt;=C264),D264-C264+1,"")</f>
        <v/>
      </c>
      <c r="G264" s="62" t="str">
        <f aca="false">IF(AND(ISNUMBER(C264),ISNUMBER(D264),D264&gt;=C264),WORKDAY(D264,1),"")</f>
        <v/>
      </c>
      <c r="H264" s="53" t="str">
        <f aca="true">IF(A264="","",IF(NOT(AND(ISNUMBER(C264),ISNUMBER(D264))),"Sem data definida",IF(D264&lt;C264,"⚠ Datas invertidas",IF(TODAY()&lt;C264,IF(C264-TODAY()=1,"Começa amanhã","Começa em "&amp;(C264-TODAY())&amp;" dias"),IF(TODAY()&gt;D264,"Concluídas",IF(TODAY()=D264,"EM FÉRIAS (último dia)","EM FÉRIAS (faltam "&amp;(D264-TODAY())&amp;" dias)"))))))</f>
        <v/>
      </c>
      <c r="I264" s="53" t="str">
        <f aca="false">IF(OR(A264="",NOT(AND(ISNUMBER(C264),ISNUMBER(D264)))),"",IF(D264-C264+1&gt;30,"⚠ Período acima de 30 dias",IF(COUNTIFS($B$2:$B$301,B264,$C$2:$C$301,"&lt;="&amp;D264,$D$2:$D$301,"&gt;="&amp;C264)&gt;1,"⚠ Coincide com férias de outro do setor","")))</f>
        <v/>
      </c>
      <c r="K264" s="0" t="str">
        <f aca="true">IF(AND(ISNUMBER(C264),ISNUMBER(D264),C264&lt;=TODAY(),D264&gt;=TODAY()),D264+ROW()/100000,"")</f>
        <v/>
      </c>
      <c r="L264" s="0" t="str">
        <f aca="true">IF(AND(ISNUMBER(C264),C264&gt;TODAY(),C264&lt;=TODAY()+30),C264+ROW()/100000,"")</f>
        <v/>
      </c>
      <c r="M264" s="0" t="str">
        <f aca="false">IF(AND(ISNUMBER(C264),ISNUMBER(D264),C264&lt;=CALENDÁRIO!$L$4,D264&gt;=CALENDÁRIO!$L$4),ROW(),"")</f>
        <v/>
      </c>
    </row>
    <row r="265" customFormat="false" ht="15" hidden="false" customHeight="true" outlineLevel="0" collapsed="false">
      <c r="A265" s="52"/>
      <c r="B265" s="52"/>
      <c r="C265" s="51"/>
      <c r="D265" s="51"/>
      <c r="E265" s="52"/>
      <c r="F265" s="61" t="str">
        <f aca="false">IF(AND(ISNUMBER(C265),ISNUMBER(D265),D265&gt;=C265),D265-C265+1,"")</f>
        <v/>
      </c>
      <c r="G265" s="62" t="str">
        <f aca="false">IF(AND(ISNUMBER(C265),ISNUMBER(D265),D265&gt;=C265),WORKDAY(D265,1),"")</f>
        <v/>
      </c>
      <c r="H265" s="53" t="str">
        <f aca="true">IF(A265="","",IF(NOT(AND(ISNUMBER(C265),ISNUMBER(D265))),"Sem data definida",IF(D265&lt;C265,"⚠ Datas invertidas",IF(TODAY()&lt;C265,IF(C265-TODAY()=1,"Começa amanhã","Começa em "&amp;(C265-TODAY())&amp;" dias"),IF(TODAY()&gt;D265,"Concluídas",IF(TODAY()=D265,"EM FÉRIAS (último dia)","EM FÉRIAS (faltam "&amp;(D265-TODAY())&amp;" dias)"))))))</f>
        <v/>
      </c>
      <c r="I265" s="53" t="str">
        <f aca="false">IF(OR(A265="",NOT(AND(ISNUMBER(C265),ISNUMBER(D265)))),"",IF(D265-C265+1&gt;30,"⚠ Período acima de 30 dias",IF(COUNTIFS($B$2:$B$301,B265,$C$2:$C$301,"&lt;="&amp;D265,$D$2:$D$301,"&gt;="&amp;C265)&gt;1,"⚠ Coincide com férias de outro do setor","")))</f>
        <v/>
      </c>
      <c r="K265" s="0" t="str">
        <f aca="true">IF(AND(ISNUMBER(C265),ISNUMBER(D265),C265&lt;=TODAY(),D265&gt;=TODAY()),D265+ROW()/100000,"")</f>
        <v/>
      </c>
      <c r="L265" s="0" t="str">
        <f aca="true">IF(AND(ISNUMBER(C265),C265&gt;TODAY(),C265&lt;=TODAY()+30),C265+ROW()/100000,"")</f>
        <v/>
      </c>
      <c r="M265" s="0" t="str">
        <f aca="false">IF(AND(ISNUMBER(C265),ISNUMBER(D265),C265&lt;=CALENDÁRIO!$L$4,D265&gt;=CALENDÁRIO!$L$4),ROW(),"")</f>
        <v/>
      </c>
    </row>
    <row r="266" customFormat="false" ht="15" hidden="false" customHeight="true" outlineLevel="0" collapsed="false">
      <c r="A266" s="52"/>
      <c r="B266" s="52"/>
      <c r="C266" s="51"/>
      <c r="D266" s="51"/>
      <c r="E266" s="52"/>
      <c r="F266" s="61" t="str">
        <f aca="false">IF(AND(ISNUMBER(C266),ISNUMBER(D266),D266&gt;=C266),D266-C266+1,"")</f>
        <v/>
      </c>
      <c r="G266" s="62" t="str">
        <f aca="false">IF(AND(ISNUMBER(C266),ISNUMBER(D266),D266&gt;=C266),WORKDAY(D266,1),"")</f>
        <v/>
      </c>
      <c r="H266" s="53" t="str">
        <f aca="true">IF(A266="","",IF(NOT(AND(ISNUMBER(C266),ISNUMBER(D266))),"Sem data definida",IF(D266&lt;C266,"⚠ Datas invertidas",IF(TODAY()&lt;C266,IF(C266-TODAY()=1,"Começa amanhã","Começa em "&amp;(C266-TODAY())&amp;" dias"),IF(TODAY()&gt;D266,"Concluídas",IF(TODAY()=D266,"EM FÉRIAS (último dia)","EM FÉRIAS (faltam "&amp;(D266-TODAY())&amp;" dias)"))))))</f>
        <v/>
      </c>
      <c r="I266" s="53" t="str">
        <f aca="false">IF(OR(A266="",NOT(AND(ISNUMBER(C266),ISNUMBER(D266)))),"",IF(D266-C266+1&gt;30,"⚠ Período acima de 30 dias",IF(COUNTIFS($B$2:$B$301,B266,$C$2:$C$301,"&lt;="&amp;D266,$D$2:$D$301,"&gt;="&amp;C266)&gt;1,"⚠ Coincide com férias de outro do setor","")))</f>
        <v/>
      </c>
      <c r="K266" s="0" t="str">
        <f aca="true">IF(AND(ISNUMBER(C266),ISNUMBER(D266),C266&lt;=TODAY(),D266&gt;=TODAY()),D266+ROW()/100000,"")</f>
        <v/>
      </c>
      <c r="L266" s="0" t="str">
        <f aca="true">IF(AND(ISNUMBER(C266),C266&gt;TODAY(),C266&lt;=TODAY()+30),C266+ROW()/100000,"")</f>
        <v/>
      </c>
      <c r="M266" s="0" t="str">
        <f aca="false">IF(AND(ISNUMBER(C266),ISNUMBER(D266),C266&lt;=CALENDÁRIO!$L$4,D266&gt;=CALENDÁRIO!$L$4),ROW(),"")</f>
        <v/>
      </c>
    </row>
    <row r="267" customFormat="false" ht="15" hidden="false" customHeight="true" outlineLevel="0" collapsed="false">
      <c r="A267" s="52"/>
      <c r="B267" s="52"/>
      <c r="C267" s="51"/>
      <c r="D267" s="51"/>
      <c r="E267" s="52"/>
      <c r="F267" s="61" t="str">
        <f aca="false">IF(AND(ISNUMBER(C267),ISNUMBER(D267),D267&gt;=C267),D267-C267+1,"")</f>
        <v/>
      </c>
      <c r="G267" s="62" t="str">
        <f aca="false">IF(AND(ISNUMBER(C267),ISNUMBER(D267),D267&gt;=C267),WORKDAY(D267,1),"")</f>
        <v/>
      </c>
      <c r="H267" s="53" t="str">
        <f aca="true">IF(A267="","",IF(NOT(AND(ISNUMBER(C267),ISNUMBER(D267))),"Sem data definida",IF(D267&lt;C267,"⚠ Datas invertidas",IF(TODAY()&lt;C267,IF(C267-TODAY()=1,"Começa amanhã","Começa em "&amp;(C267-TODAY())&amp;" dias"),IF(TODAY()&gt;D267,"Concluídas",IF(TODAY()=D267,"EM FÉRIAS (último dia)","EM FÉRIAS (faltam "&amp;(D267-TODAY())&amp;" dias)"))))))</f>
        <v/>
      </c>
      <c r="I267" s="53" t="str">
        <f aca="false">IF(OR(A267="",NOT(AND(ISNUMBER(C267),ISNUMBER(D267)))),"",IF(D267-C267+1&gt;30,"⚠ Período acima de 30 dias",IF(COUNTIFS($B$2:$B$301,B267,$C$2:$C$301,"&lt;="&amp;D267,$D$2:$D$301,"&gt;="&amp;C267)&gt;1,"⚠ Coincide com férias de outro do setor","")))</f>
        <v/>
      </c>
      <c r="K267" s="0" t="str">
        <f aca="true">IF(AND(ISNUMBER(C267),ISNUMBER(D267),C267&lt;=TODAY(),D267&gt;=TODAY()),D267+ROW()/100000,"")</f>
        <v/>
      </c>
      <c r="L267" s="0" t="str">
        <f aca="true">IF(AND(ISNUMBER(C267),C267&gt;TODAY(),C267&lt;=TODAY()+30),C267+ROW()/100000,"")</f>
        <v/>
      </c>
      <c r="M267" s="0" t="str">
        <f aca="false">IF(AND(ISNUMBER(C267),ISNUMBER(D267),C267&lt;=CALENDÁRIO!$L$4,D267&gt;=CALENDÁRIO!$L$4),ROW(),"")</f>
        <v/>
      </c>
    </row>
    <row r="268" customFormat="false" ht="15" hidden="false" customHeight="true" outlineLevel="0" collapsed="false">
      <c r="A268" s="52"/>
      <c r="B268" s="52"/>
      <c r="C268" s="51"/>
      <c r="D268" s="51"/>
      <c r="E268" s="52"/>
      <c r="F268" s="61" t="str">
        <f aca="false">IF(AND(ISNUMBER(C268),ISNUMBER(D268),D268&gt;=C268),D268-C268+1,"")</f>
        <v/>
      </c>
      <c r="G268" s="62" t="str">
        <f aca="false">IF(AND(ISNUMBER(C268),ISNUMBER(D268),D268&gt;=C268),WORKDAY(D268,1),"")</f>
        <v/>
      </c>
      <c r="H268" s="53" t="str">
        <f aca="true">IF(A268="","",IF(NOT(AND(ISNUMBER(C268),ISNUMBER(D268))),"Sem data definida",IF(D268&lt;C268,"⚠ Datas invertidas",IF(TODAY()&lt;C268,IF(C268-TODAY()=1,"Começa amanhã","Começa em "&amp;(C268-TODAY())&amp;" dias"),IF(TODAY()&gt;D268,"Concluídas",IF(TODAY()=D268,"EM FÉRIAS (último dia)","EM FÉRIAS (faltam "&amp;(D268-TODAY())&amp;" dias)"))))))</f>
        <v/>
      </c>
      <c r="I268" s="53" t="str">
        <f aca="false">IF(OR(A268="",NOT(AND(ISNUMBER(C268),ISNUMBER(D268)))),"",IF(D268-C268+1&gt;30,"⚠ Período acima de 30 dias",IF(COUNTIFS($B$2:$B$301,B268,$C$2:$C$301,"&lt;="&amp;D268,$D$2:$D$301,"&gt;="&amp;C268)&gt;1,"⚠ Coincide com férias de outro do setor","")))</f>
        <v/>
      </c>
      <c r="K268" s="0" t="str">
        <f aca="true">IF(AND(ISNUMBER(C268),ISNUMBER(D268),C268&lt;=TODAY(),D268&gt;=TODAY()),D268+ROW()/100000,"")</f>
        <v/>
      </c>
      <c r="L268" s="0" t="str">
        <f aca="true">IF(AND(ISNUMBER(C268),C268&gt;TODAY(),C268&lt;=TODAY()+30),C268+ROW()/100000,"")</f>
        <v/>
      </c>
      <c r="M268" s="0" t="str">
        <f aca="false">IF(AND(ISNUMBER(C268),ISNUMBER(D268),C268&lt;=CALENDÁRIO!$L$4,D268&gt;=CALENDÁRIO!$L$4),ROW(),"")</f>
        <v/>
      </c>
    </row>
    <row r="269" customFormat="false" ht="15" hidden="false" customHeight="true" outlineLevel="0" collapsed="false">
      <c r="A269" s="52"/>
      <c r="B269" s="52"/>
      <c r="C269" s="51"/>
      <c r="D269" s="51"/>
      <c r="E269" s="52"/>
      <c r="F269" s="61" t="str">
        <f aca="false">IF(AND(ISNUMBER(C269),ISNUMBER(D269),D269&gt;=C269),D269-C269+1,"")</f>
        <v/>
      </c>
      <c r="G269" s="62" t="str">
        <f aca="false">IF(AND(ISNUMBER(C269),ISNUMBER(D269),D269&gt;=C269),WORKDAY(D269,1),"")</f>
        <v/>
      </c>
      <c r="H269" s="53" t="str">
        <f aca="true">IF(A269="","",IF(NOT(AND(ISNUMBER(C269),ISNUMBER(D269))),"Sem data definida",IF(D269&lt;C269,"⚠ Datas invertidas",IF(TODAY()&lt;C269,IF(C269-TODAY()=1,"Começa amanhã","Começa em "&amp;(C269-TODAY())&amp;" dias"),IF(TODAY()&gt;D269,"Concluídas",IF(TODAY()=D269,"EM FÉRIAS (último dia)","EM FÉRIAS (faltam "&amp;(D269-TODAY())&amp;" dias)"))))))</f>
        <v/>
      </c>
      <c r="I269" s="53" t="str">
        <f aca="false">IF(OR(A269="",NOT(AND(ISNUMBER(C269),ISNUMBER(D269)))),"",IF(D269-C269+1&gt;30,"⚠ Período acima de 30 dias",IF(COUNTIFS($B$2:$B$301,B269,$C$2:$C$301,"&lt;="&amp;D269,$D$2:$D$301,"&gt;="&amp;C269)&gt;1,"⚠ Coincide com férias de outro do setor","")))</f>
        <v/>
      </c>
      <c r="K269" s="0" t="str">
        <f aca="true">IF(AND(ISNUMBER(C269),ISNUMBER(D269),C269&lt;=TODAY(),D269&gt;=TODAY()),D269+ROW()/100000,"")</f>
        <v/>
      </c>
      <c r="L269" s="0" t="str">
        <f aca="true">IF(AND(ISNUMBER(C269),C269&gt;TODAY(),C269&lt;=TODAY()+30),C269+ROW()/100000,"")</f>
        <v/>
      </c>
      <c r="M269" s="0" t="str">
        <f aca="false">IF(AND(ISNUMBER(C269),ISNUMBER(D269),C269&lt;=CALENDÁRIO!$L$4,D269&gt;=CALENDÁRIO!$L$4),ROW(),"")</f>
        <v/>
      </c>
    </row>
    <row r="270" customFormat="false" ht="15" hidden="false" customHeight="true" outlineLevel="0" collapsed="false">
      <c r="A270" s="52"/>
      <c r="B270" s="52"/>
      <c r="C270" s="51"/>
      <c r="D270" s="51"/>
      <c r="E270" s="52"/>
      <c r="F270" s="61" t="str">
        <f aca="false">IF(AND(ISNUMBER(C270),ISNUMBER(D270),D270&gt;=C270),D270-C270+1,"")</f>
        <v/>
      </c>
      <c r="G270" s="62" t="str">
        <f aca="false">IF(AND(ISNUMBER(C270),ISNUMBER(D270),D270&gt;=C270),WORKDAY(D270,1),"")</f>
        <v/>
      </c>
      <c r="H270" s="53" t="str">
        <f aca="true">IF(A270="","",IF(NOT(AND(ISNUMBER(C270),ISNUMBER(D270))),"Sem data definida",IF(D270&lt;C270,"⚠ Datas invertidas",IF(TODAY()&lt;C270,IF(C270-TODAY()=1,"Começa amanhã","Começa em "&amp;(C270-TODAY())&amp;" dias"),IF(TODAY()&gt;D270,"Concluídas",IF(TODAY()=D270,"EM FÉRIAS (último dia)","EM FÉRIAS (faltam "&amp;(D270-TODAY())&amp;" dias)"))))))</f>
        <v/>
      </c>
      <c r="I270" s="53" t="str">
        <f aca="false">IF(OR(A270="",NOT(AND(ISNUMBER(C270),ISNUMBER(D270)))),"",IF(D270-C270+1&gt;30,"⚠ Período acima de 30 dias",IF(COUNTIFS($B$2:$B$301,B270,$C$2:$C$301,"&lt;="&amp;D270,$D$2:$D$301,"&gt;="&amp;C270)&gt;1,"⚠ Coincide com férias de outro do setor","")))</f>
        <v/>
      </c>
      <c r="K270" s="0" t="str">
        <f aca="true">IF(AND(ISNUMBER(C270),ISNUMBER(D270),C270&lt;=TODAY(),D270&gt;=TODAY()),D270+ROW()/100000,"")</f>
        <v/>
      </c>
      <c r="L270" s="0" t="str">
        <f aca="true">IF(AND(ISNUMBER(C270),C270&gt;TODAY(),C270&lt;=TODAY()+30),C270+ROW()/100000,"")</f>
        <v/>
      </c>
      <c r="M270" s="0" t="str">
        <f aca="false">IF(AND(ISNUMBER(C270),ISNUMBER(D270),C270&lt;=CALENDÁRIO!$L$4,D270&gt;=CALENDÁRIO!$L$4),ROW(),"")</f>
        <v/>
      </c>
    </row>
    <row r="271" customFormat="false" ht="15" hidden="false" customHeight="true" outlineLevel="0" collapsed="false">
      <c r="A271" s="52"/>
      <c r="B271" s="52"/>
      <c r="C271" s="51"/>
      <c r="D271" s="51"/>
      <c r="E271" s="52"/>
      <c r="F271" s="61" t="str">
        <f aca="false">IF(AND(ISNUMBER(C271),ISNUMBER(D271),D271&gt;=C271),D271-C271+1,"")</f>
        <v/>
      </c>
      <c r="G271" s="62" t="str">
        <f aca="false">IF(AND(ISNUMBER(C271),ISNUMBER(D271),D271&gt;=C271),WORKDAY(D271,1),"")</f>
        <v/>
      </c>
      <c r="H271" s="53" t="str">
        <f aca="true">IF(A271="","",IF(NOT(AND(ISNUMBER(C271),ISNUMBER(D271))),"Sem data definida",IF(D271&lt;C271,"⚠ Datas invertidas",IF(TODAY()&lt;C271,IF(C271-TODAY()=1,"Começa amanhã","Começa em "&amp;(C271-TODAY())&amp;" dias"),IF(TODAY()&gt;D271,"Concluídas",IF(TODAY()=D271,"EM FÉRIAS (último dia)","EM FÉRIAS (faltam "&amp;(D271-TODAY())&amp;" dias)"))))))</f>
        <v/>
      </c>
      <c r="I271" s="53" t="str">
        <f aca="false">IF(OR(A271="",NOT(AND(ISNUMBER(C271),ISNUMBER(D271)))),"",IF(D271-C271+1&gt;30,"⚠ Período acima de 30 dias",IF(COUNTIFS($B$2:$B$301,B271,$C$2:$C$301,"&lt;="&amp;D271,$D$2:$D$301,"&gt;="&amp;C271)&gt;1,"⚠ Coincide com férias de outro do setor","")))</f>
        <v/>
      </c>
      <c r="K271" s="0" t="str">
        <f aca="true">IF(AND(ISNUMBER(C271),ISNUMBER(D271),C271&lt;=TODAY(),D271&gt;=TODAY()),D271+ROW()/100000,"")</f>
        <v/>
      </c>
      <c r="L271" s="0" t="str">
        <f aca="true">IF(AND(ISNUMBER(C271),C271&gt;TODAY(),C271&lt;=TODAY()+30),C271+ROW()/100000,"")</f>
        <v/>
      </c>
      <c r="M271" s="0" t="str">
        <f aca="false">IF(AND(ISNUMBER(C271),ISNUMBER(D271),C271&lt;=CALENDÁRIO!$L$4,D271&gt;=CALENDÁRIO!$L$4),ROW(),"")</f>
        <v/>
      </c>
    </row>
    <row r="272" customFormat="false" ht="15" hidden="false" customHeight="true" outlineLevel="0" collapsed="false">
      <c r="A272" s="52"/>
      <c r="B272" s="52"/>
      <c r="C272" s="51"/>
      <c r="D272" s="51"/>
      <c r="E272" s="52"/>
      <c r="F272" s="61" t="str">
        <f aca="false">IF(AND(ISNUMBER(C272),ISNUMBER(D272),D272&gt;=C272),D272-C272+1,"")</f>
        <v/>
      </c>
      <c r="G272" s="62" t="str">
        <f aca="false">IF(AND(ISNUMBER(C272),ISNUMBER(D272),D272&gt;=C272),WORKDAY(D272,1),"")</f>
        <v/>
      </c>
      <c r="H272" s="53" t="str">
        <f aca="true">IF(A272="","",IF(NOT(AND(ISNUMBER(C272),ISNUMBER(D272))),"Sem data definida",IF(D272&lt;C272,"⚠ Datas invertidas",IF(TODAY()&lt;C272,IF(C272-TODAY()=1,"Começa amanhã","Começa em "&amp;(C272-TODAY())&amp;" dias"),IF(TODAY()&gt;D272,"Concluídas",IF(TODAY()=D272,"EM FÉRIAS (último dia)","EM FÉRIAS (faltam "&amp;(D272-TODAY())&amp;" dias)"))))))</f>
        <v/>
      </c>
      <c r="I272" s="53" t="str">
        <f aca="false">IF(OR(A272="",NOT(AND(ISNUMBER(C272),ISNUMBER(D272)))),"",IF(D272-C272+1&gt;30,"⚠ Período acima de 30 dias",IF(COUNTIFS($B$2:$B$301,B272,$C$2:$C$301,"&lt;="&amp;D272,$D$2:$D$301,"&gt;="&amp;C272)&gt;1,"⚠ Coincide com férias de outro do setor","")))</f>
        <v/>
      </c>
      <c r="K272" s="0" t="str">
        <f aca="true">IF(AND(ISNUMBER(C272),ISNUMBER(D272),C272&lt;=TODAY(),D272&gt;=TODAY()),D272+ROW()/100000,"")</f>
        <v/>
      </c>
      <c r="L272" s="0" t="str">
        <f aca="true">IF(AND(ISNUMBER(C272),C272&gt;TODAY(),C272&lt;=TODAY()+30),C272+ROW()/100000,"")</f>
        <v/>
      </c>
      <c r="M272" s="0" t="str">
        <f aca="false">IF(AND(ISNUMBER(C272),ISNUMBER(D272),C272&lt;=CALENDÁRIO!$L$4,D272&gt;=CALENDÁRIO!$L$4),ROW(),"")</f>
        <v/>
      </c>
    </row>
    <row r="273" customFormat="false" ht="15" hidden="false" customHeight="true" outlineLevel="0" collapsed="false">
      <c r="A273" s="52"/>
      <c r="B273" s="52"/>
      <c r="C273" s="51"/>
      <c r="D273" s="51"/>
      <c r="E273" s="52"/>
      <c r="F273" s="61" t="str">
        <f aca="false">IF(AND(ISNUMBER(C273),ISNUMBER(D273),D273&gt;=C273),D273-C273+1,"")</f>
        <v/>
      </c>
      <c r="G273" s="62" t="str">
        <f aca="false">IF(AND(ISNUMBER(C273),ISNUMBER(D273),D273&gt;=C273),WORKDAY(D273,1),"")</f>
        <v/>
      </c>
      <c r="H273" s="53" t="str">
        <f aca="true">IF(A273="","",IF(NOT(AND(ISNUMBER(C273),ISNUMBER(D273))),"Sem data definida",IF(D273&lt;C273,"⚠ Datas invertidas",IF(TODAY()&lt;C273,IF(C273-TODAY()=1,"Começa amanhã","Começa em "&amp;(C273-TODAY())&amp;" dias"),IF(TODAY()&gt;D273,"Concluídas",IF(TODAY()=D273,"EM FÉRIAS (último dia)","EM FÉRIAS (faltam "&amp;(D273-TODAY())&amp;" dias)"))))))</f>
        <v/>
      </c>
      <c r="I273" s="53" t="str">
        <f aca="false">IF(OR(A273="",NOT(AND(ISNUMBER(C273),ISNUMBER(D273)))),"",IF(D273-C273+1&gt;30,"⚠ Período acima de 30 dias",IF(COUNTIFS($B$2:$B$301,B273,$C$2:$C$301,"&lt;="&amp;D273,$D$2:$D$301,"&gt;="&amp;C273)&gt;1,"⚠ Coincide com férias de outro do setor","")))</f>
        <v/>
      </c>
      <c r="K273" s="0" t="str">
        <f aca="true">IF(AND(ISNUMBER(C273),ISNUMBER(D273),C273&lt;=TODAY(),D273&gt;=TODAY()),D273+ROW()/100000,"")</f>
        <v/>
      </c>
      <c r="L273" s="0" t="str">
        <f aca="true">IF(AND(ISNUMBER(C273),C273&gt;TODAY(),C273&lt;=TODAY()+30),C273+ROW()/100000,"")</f>
        <v/>
      </c>
      <c r="M273" s="0" t="str">
        <f aca="false">IF(AND(ISNUMBER(C273),ISNUMBER(D273),C273&lt;=CALENDÁRIO!$L$4,D273&gt;=CALENDÁRIO!$L$4),ROW(),"")</f>
        <v/>
      </c>
    </row>
    <row r="274" customFormat="false" ht="15" hidden="false" customHeight="true" outlineLevel="0" collapsed="false">
      <c r="A274" s="52"/>
      <c r="B274" s="52"/>
      <c r="C274" s="51"/>
      <c r="D274" s="51"/>
      <c r="E274" s="52"/>
      <c r="F274" s="61" t="str">
        <f aca="false">IF(AND(ISNUMBER(C274),ISNUMBER(D274),D274&gt;=C274),D274-C274+1,"")</f>
        <v/>
      </c>
      <c r="G274" s="62" t="str">
        <f aca="false">IF(AND(ISNUMBER(C274),ISNUMBER(D274),D274&gt;=C274),WORKDAY(D274,1),"")</f>
        <v/>
      </c>
      <c r="H274" s="53" t="str">
        <f aca="true">IF(A274="","",IF(NOT(AND(ISNUMBER(C274),ISNUMBER(D274))),"Sem data definida",IF(D274&lt;C274,"⚠ Datas invertidas",IF(TODAY()&lt;C274,IF(C274-TODAY()=1,"Começa amanhã","Começa em "&amp;(C274-TODAY())&amp;" dias"),IF(TODAY()&gt;D274,"Concluídas",IF(TODAY()=D274,"EM FÉRIAS (último dia)","EM FÉRIAS (faltam "&amp;(D274-TODAY())&amp;" dias)"))))))</f>
        <v/>
      </c>
      <c r="I274" s="53" t="str">
        <f aca="false">IF(OR(A274="",NOT(AND(ISNUMBER(C274),ISNUMBER(D274)))),"",IF(D274-C274+1&gt;30,"⚠ Período acima de 30 dias",IF(COUNTIFS($B$2:$B$301,B274,$C$2:$C$301,"&lt;="&amp;D274,$D$2:$D$301,"&gt;="&amp;C274)&gt;1,"⚠ Coincide com férias de outro do setor","")))</f>
        <v/>
      </c>
      <c r="K274" s="0" t="str">
        <f aca="true">IF(AND(ISNUMBER(C274),ISNUMBER(D274),C274&lt;=TODAY(),D274&gt;=TODAY()),D274+ROW()/100000,"")</f>
        <v/>
      </c>
      <c r="L274" s="0" t="str">
        <f aca="true">IF(AND(ISNUMBER(C274),C274&gt;TODAY(),C274&lt;=TODAY()+30),C274+ROW()/100000,"")</f>
        <v/>
      </c>
      <c r="M274" s="0" t="str">
        <f aca="false">IF(AND(ISNUMBER(C274),ISNUMBER(D274),C274&lt;=CALENDÁRIO!$L$4,D274&gt;=CALENDÁRIO!$L$4),ROW(),"")</f>
        <v/>
      </c>
    </row>
    <row r="275" customFormat="false" ht="15" hidden="false" customHeight="true" outlineLevel="0" collapsed="false">
      <c r="A275" s="52"/>
      <c r="B275" s="52"/>
      <c r="C275" s="51"/>
      <c r="D275" s="51"/>
      <c r="E275" s="52"/>
      <c r="F275" s="61" t="str">
        <f aca="false">IF(AND(ISNUMBER(C275),ISNUMBER(D275),D275&gt;=C275),D275-C275+1,"")</f>
        <v/>
      </c>
      <c r="G275" s="62" t="str">
        <f aca="false">IF(AND(ISNUMBER(C275),ISNUMBER(D275),D275&gt;=C275),WORKDAY(D275,1),"")</f>
        <v/>
      </c>
      <c r="H275" s="53" t="str">
        <f aca="true">IF(A275="","",IF(NOT(AND(ISNUMBER(C275),ISNUMBER(D275))),"Sem data definida",IF(D275&lt;C275,"⚠ Datas invertidas",IF(TODAY()&lt;C275,IF(C275-TODAY()=1,"Começa amanhã","Começa em "&amp;(C275-TODAY())&amp;" dias"),IF(TODAY()&gt;D275,"Concluídas",IF(TODAY()=D275,"EM FÉRIAS (último dia)","EM FÉRIAS (faltam "&amp;(D275-TODAY())&amp;" dias)"))))))</f>
        <v/>
      </c>
      <c r="I275" s="53" t="str">
        <f aca="false">IF(OR(A275="",NOT(AND(ISNUMBER(C275),ISNUMBER(D275)))),"",IF(D275-C275+1&gt;30,"⚠ Período acima de 30 dias",IF(COUNTIFS($B$2:$B$301,B275,$C$2:$C$301,"&lt;="&amp;D275,$D$2:$D$301,"&gt;="&amp;C275)&gt;1,"⚠ Coincide com férias de outro do setor","")))</f>
        <v/>
      </c>
      <c r="K275" s="0" t="str">
        <f aca="true">IF(AND(ISNUMBER(C275),ISNUMBER(D275),C275&lt;=TODAY(),D275&gt;=TODAY()),D275+ROW()/100000,"")</f>
        <v/>
      </c>
      <c r="L275" s="0" t="str">
        <f aca="true">IF(AND(ISNUMBER(C275),C275&gt;TODAY(),C275&lt;=TODAY()+30),C275+ROW()/100000,"")</f>
        <v/>
      </c>
      <c r="M275" s="0" t="str">
        <f aca="false">IF(AND(ISNUMBER(C275),ISNUMBER(D275),C275&lt;=CALENDÁRIO!$L$4,D275&gt;=CALENDÁRIO!$L$4),ROW(),"")</f>
        <v/>
      </c>
    </row>
    <row r="276" customFormat="false" ht="15" hidden="false" customHeight="true" outlineLevel="0" collapsed="false">
      <c r="A276" s="52"/>
      <c r="B276" s="52"/>
      <c r="C276" s="51"/>
      <c r="D276" s="51"/>
      <c r="E276" s="52"/>
      <c r="F276" s="61" t="str">
        <f aca="false">IF(AND(ISNUMBER(C276),ISNUMBER(D276),D276&gt;=C276),D276-C276+1,"")</f>
        <v/>
      </c>
      <c r="G276" s="62" t="str">
        <f aca="false">IF(AND(ISNUMBER(C276),ISNUMBER(D276),D276&gt;=C276),WORKDAY(D276,1),"")</f>
        <v/>
      </c>
      <c r="H276" s="53" t="str">
        <f aca="true">IF(A276="","",IF(NOT(AND(ISNUMBER(C276),ISNUMBER(D276))),"Sem data definida",IF(D276&lt;C276,"⚠ Datas invertidas",IF(TODAY()&lt;C276,IF(C276-TODAY()=1,"Começa amanhã","Começa em "&amp;(C276-TODAY())&amp;" dias"),IF(TODAY()&gt;D276,"Concluídas",IF(TODAY()=D276,"EM FÉRIAS (último dia)","EM FÉRIAS (faltam "&amp;(D276-TODAY())&amp;" dias)"))))))</f>
        <v/>
      </c>
      <c r="I276" s="53" t="str">
        <f aca="false">IF(OR(A276="",NOT(AND(ISNUMBER(C276),ISNUMBER(D276)))),"",IF(D276-C276+1&gt;30,"⚠ Período acima de 30 dias",IF(COUNTIFS($B$2:$B$301,B276,$C$2:$C$301,"&lt;="&amp;D276,$D$2:$D$301,"&gt;="&amp;C276)&gt;1,"⚠ Coincide com férias de outro do setor","")))</f>
        <v/>
      </c>
      <c r="K276" s="0" t="str">
        <f aca="true">IF(AND(ISNUMBER(C276),ISNUMBER(D276),C276&lt;=TODAY(),D276&gt;=TODAY()),D276+ROW()/100000,"")</f>
        <v/>
      </c>
      <c r="L276" s="0" t="str">
        <f aca="true">IF(AND(ISNUMBER(C276),C276&gt;TODAY(),C276&lt;=TODAY()+30),C276+ROW()/100000,"")</f>
        <v/>
      </c>
      <c r="M276" s="0" t="str">
        <f aca="false">IF(AND(ISNUMBER(C276),ISNUMBER(D276),C276&lt;=CALENDÁRIO!$L$4,D276&gt;=CALENDÁRIO!$L$4),ROW(),"")</f>
        <v/>
      </c>
    </row>
    <row r="277" customFormat="false" ht="15" hidden="false" customHeight="true" outlineLevel="0" collapsed="false">
      <c r="A277" s="52"/>
      <c r="B277" s="52"/>
      <c r="C277" s="51"/>
      <c r="D277" s="51"/>
      <c r="E277" s="52"/>
      <c r="F277" s="61" t="str">
        <f aca="false">IF(AND(ISNUMBER(C277),ISNUMBER(D277),D277&gt;=C277),D277-C277+1,"")</f>
        <v/>
      </c>
      <c r="G277" s="62" t="str">
        <f aca="false">IF(AND(ISNUMBER(C277),ISNUMBER(D277),D277&gt;=C277),WORKDAY(D277,1),"")</f>
        <v/>
      </c>
      <c r="H277" s="53" t="str">
        <f aca="true">IF(A277="","",IF(NOT(AND(ISNUMBER(C277),ISNUMBER(D277))),"Sem data definida",IF(D277&lt;C277,"⚠ Datas invertidas",IF(TODAY()&lt;C277,IF(C277-TODAY()=1,"Começa amanhã","Começa em "&amp;(C277-TODAY())&amp;" dias"),IF(TODAY()&gt;D277,"Concluídas",IF(TODAY()=D277,"EM FÉRIAS (último dia)","EM FÉRIAS (faltam "&amp;(D277-TODAY())&amp;" dias)"))))))</f>
        <v/>
      </c>
      <c r="I277" s="53" t="str">
        <f aca="false">IF(OR(A277="",NOT(AND(ISNUMBER(C277),ISNUMBER(D277)))),"",IF(D277-C277+1&gt;30,"⚠ Período acima de 30 dias",IF(COUNTIFS($B$2:$B$301,B277,$C$2:$C$301,"&lt;="&amp;D277,$D$2:$D$301,"&gt;="&amp;C277)&gt;1,"⚠ Coincide com férias de outro do setor","")))</f>
        <v/>
      </c>
      <c r="K277" s="0" t="str">
        <f aca="true">IF(AND(ISNUMBER(C277),ISNUMBER(D277),C277&lt;=TODAY(),D277&gt;=TODAY()),D277+ROW()/100000,"")</f>
        <v/>
      </c>
      <c r="L277" s="0" t="str">
        <f aca="true">IF(AND(ISNUMBER(C277),C277&gt;TODAY(),C277&lt;=TODAY()+30),C277+ROW()/100000,"")</f>
        <v/>
      </c>
      <c r="M277" s="0" t="str">
        <f aca="false">IF(AND(ISNUMBER(C277),ISNUMBER(D277),C277&lt;=CALENDÁRIO!$L$4,D277&gt;=CALENDÁRIO!$L$4),ROW(),"")</f>
        <v/>
      </c>
    </row>
    <row r="278" customFormat="false" ht="15" hidden="false" customHeight="true" outlineLevel="0" collapsed="false">
      <c r="A278" s="52"/>
      <c r="B278" s="52"/>
      <c r="C278" s="51"/>
      <c r="D278" s="51"/>
      <c r="E278" s="52"/>
      <c r="F278" s="61" t="str">
        <f aca="false">IF(AND(ISNUMBER(C278),ISNUMBER(D278),D278&gt;=C278),D278-C278+1,"")</f>
        <v/>
      </c>
      <c r="G278" s="62" t="str">
        <f aca="false">IF(AND(ISNUMBER(C278),ISNUMBER(D278),D278&gt;=C278),WORKDAY(D278,1),"")</f>
        <v/>
      </c>
      <c r="H278" s="53" t="str">
        <f aca="true">IF(A278="","",IF(NOT(AND(ISNUMBER(C278),ISNUMBER(D278))),"Sem data definida",IF(D278&lt;C278,"⚠ Datas invertidas",IF(TODAY()&lt;C278,IF(C278-TODAY()=1,"Começa amanhã","Começa em "&amp;(C278-TODAY())&amp;" dias"),IF(TODAY()&gt;D278,"Concluídas",IF(TODAY()=D278,"EM FÉRIAS (último dia)","EM FÉRIAS (faltam "&amp;(D278-TODAY())&amp;" dias)"))))))</f>
        <v/>
      </c>
      <c r="I278" s="53" t="str">
        <f aca="false">IF(OR(A278="",NOT(AND(ISNUMBER(C278),ISNUMBER(D278)))),"",IF(D278-C278+1&gt;30,"⚠ Período acima de 30 dias",IF(COUNTIFS($B$2:$B$301,B278,$C$2:$C$301,"&lt;="&amp;D278,$D$2:$D$301,"&gt;="&amp;C278)&gt;1,"⚠ Coincide com férias de outro do setor","")))</f>
        <v/>
      </c>
      <c r="K278" s="0" t="str">
        <f aca="true">IF(AND(ISNUMBER(C278),ISNUMBER(D278),C278&lt;=TODAY(),D278&gt;=TODAY()),D278+ROW()/100000,"")</f>
        <v/>
      </c>
      <c r="L278" s="0" t="str">
        <f aca="true">IF(AND(ISNUMBER(C278),C278&gt;TODAY(),C278&lt;=TODAY()+30),C278+ROW()/100000,"")</f>
        <v/>
      </c>
      <c r="M278" s="0" t="str">
        <f aca="false">IF(AND(ISNUMBER(C278),ISNUMBER(D278),C278&lt;=CALENDÁRIO!$L$4,D278&gt;=CALENDÁRIO!$L$4),ROW(),"")</f>
        <v/>
      </c>
    </row>
    <row r="279" customFormat="false" ht="15" hidden="false" customHeight="true" outlineLevel="0" collapsed="false">
      <c r="A279" s="52"/>
      <c r="B279" s="52"/>
      <c r="C279" s="51"/>
      <c r="D279" s="51"/>
      <c r="E279" s="52"/>
      <c r="F279" s="61" t="str">
        <f aca="false">IF(AND(ISNUMBER(C279),ISNUMBER(D279),D279&gt;=C279),D279-C279+1,"")</f>
        <v/>
      </c>
      <c r="G279" s="62" t="str">
        <f aca="false">IF(AND(ISNUMBER(C279),ISNUMBER(D279),D279&gt;=C279),WORKDAY(D279,1),"")</f>
        <v/>
      </c>
      <c r="H279" s="53" t="str">
        <f aca="true">IF(A279="","",IF(NOT(AND(ISNUMBER(C279),ISNUMBER(D279))),"Sem data definida",IF(D279&lt;C279,"⚠ Datas invertidas",IF(TODAY()&lt;C279,IF(C279-TODAY()=1,"Começa amanhã","Começa em "&amp;(C279-TODAY())&amp;" dias"),IF(TODAY()&gt;D279,"Concluídas",IF(TODAY()=D279,"EM FÉRIAS (último dia)","EM FÉRIAS (faltam "&amp;(D279-TODAY())&amp;" dias)"))))))</f>
        <v/>
      </c>
      <c r="I279" s="53" t="str">
        <f aca="false">IF(OR(A279="",NOT(AND(ISNUMBER(C279),ISNUMBER(D279)))),"",IF(D279-C279+1&gt;30,"⚠ Período acima de 30 dias",IF(COUNTIFS($B$2:$B$301,B279,$C$2:$C$301,"&lt;="&amp;D279,$D$2:$D$301,"&gt;="&amp;C279)&gt;1,"⚠ Coincide com férias de outro do setor","")))</f>
        <v/>
      </c>
      <c r="K279" s="0" t="str">
        <f aca="true">IF(AND(ISNUMBER(C279),ISNUMBER(D279),C279&lt;=TODAY(),D279&gt;=TODAY()),D279+ROW()/100000,"")</f>
        <v/>
      </c>
      <c r="L279" s="0" t="str">
        <f aca="true">IF(AND(ISNUMBER(C279),C279&gt;TODAY(),C279&lt;=TODAY()+30),C279+ROW()/100000,"")</f>
        <v/>
      </c>
      <c r="M279" s="0" t="str">
        <f aca="false">IF(AND(ISNUMBER(C279),ISNUMBER(D279),C279&lt;=CALENDÁRIO!$L$4,D279&gt;=CALENDÁRIO!$L$4),ROW(),"")</f>
        <v/>
      </c>
    </row>
    <row r="280" customFormat="false" ht="15" hidden="false" customHeight="true" outlineLevel="0" collapsed="false">
      <c r="A280" s="52"/>
      <c r="B280" s="52"/>
      <c r="C280" s="51"/>
      <c r="D280" s="51"/>
      <c r="E280" s="52"/>
      <c r="F280" s="61" t="str">
        <f aca="false">IF(AND(ISNUMBER(C280),ISNUMBER(D280),D280&gt;=C280),D280-C280+1,"")</f>
        <v/>
      </c>
      <c r="G280" s="62" t="str">
        <f aca="false">IF(AND(ISNUMBER(C280),ISNUMBER(D280),D280&gt;=C280),WORKDAY(D280,1),"")</f>
        <v/>
      </c>
      <c r="H280" s="53" t="str">
        <f aca="true">IF(A280="","",IF(NOT(AND(ISNUMBER(C280),ISNUMBER(D280))),"Sem data definida",IF(D280&lt;C280,"⚠ Datas invertidas",IF(TODAY()&lt;C280,IF(C280-TODAY()=1,"Começa amanhã","Começa em "&amp;(C280-TODAY())&amp;" dias"),IF(TODAY()&gt;D280,"Concluídas",IF(TODAY()=D280,"EM FÉRIAS (último dia)","EM FÉRIAS (faltam "&amp;(D280-TODAY())&amp;" dias)"))))))</f>
        <v/>
      </c>
      <c r="I280" s="53" t="str">
        <f aca="false">IF(OR(A280="",NOT(AND(ISNUMBER(C280),ISNUMBER(D280)))),"",IF(D280-C280+1&gt;30,"⚠ Período acima de 30 dias",IF(COUNTIFS($B$2:$B$301,B280,$C$2:$C$301,"&lt;="&amp;D280,$D$2:$D$301,"&gt;="&amp;C280)&gt;1,"⚠ Coincide com férias de outro do setor","")))</f>
        <v/>
      </c>
      <c r="K280" s="0" t="str">
        <f aca="true">IF(AND(ISNUMBER(C280),ISNUMBER(D280),C280&lt;=TODAY(),D280&gt;=TODAY()),D280+ROW()/100000,"")</f>
        <v/>
      </c>
      <c r="L280" s="0" t="str">
        <f aca="true">IF(AND(ISNUMBER(C280),C280&gt;TODAY(),C280&lt;=TODAY()+30),C280+ROW()/100000,"")</f>
        <v/>
      </c>
      <c r="M280" s="0" t="str">
        <f aca="false">IF(AND(ISNUMBER(C280),ISNUMBER(D280),C280&lt;=CALENDÁRIO!$L$4,D280&gt;=CALENDÁRIO!$L$4),ROW(),"")</f>
        <v/>
      </c>
    </row>
    <row r="281" customFormat="false" ht="15" hidden="false" customHeight="true" outlineLevel="0" collapsed="false">
      <c r="A281" s="52"/>
      <c r="B281" s="52"/>
      <c r="C281" s="51"/>
      <c r="D281" s="51"/>
      <c r="E281" s="52"/>
      <c r="F281" s="61" t="str">
        <f aca="false">IF(AND(ISNUMBER(C281),ISNUMBER(D281),D281&gt;=C281),D281-C281+1,"")</f>
        <v/>
      </c>
      <c r="G281" s="62" t="str">
        <f aca="false">IF(AND(ISNUMBER(C281),ISNUMBER(D281),D281&gt;=C281),WORKDAY(D281,1),"")</f>
        <v/>
      </c>
      <c r="H281" s="53" t="str">
        <f aca="true">IF(A281="","",IF(NOT(AND(ISNUMBER(C281),ISNUMBER(D281))),"Sem data definida",IF(D281&lt;C281,"⚠ Datas invertidas",IF(TODAY()&lt;C281,IF(C281-TODAY()=1,"Começa amanhã","Começa em "&amp;(C281-TODAY())&amp;" dias"),IF(TODAY()&gt;D281,"Concluídas",IF(TODAY()=D281,"EM FÉRIAS (último dia)","EM FÉRIAS (faltam "&amp;(D281-TODAY())&amp;" dias)"))))))</f>
        <v/>
      </c>
      <c r="I281" s="53" t="str">
        <f aca="false">IF(OR(A281="",NOT(AND(ISNUMBER(C281),ISNUMBER(D281)))),"",IF(D281-C281+1&gt;30,"⚠ Período acima de 30 dias",IF(COUNTIFS($B$2:$B$301,B281,$C$2:$C$301,"&lt;="&amp;D281,$D$2:$D$301,"&gt;="&amp;C281)&gt;1,"⚠ Coincide com férias de outro do setor","")))</f>
        <v/>
      </c>
      <c r="K281" s="0" t="str">
        <f aca="true">IF(AND(ISNUMBER(C281),ISNUMBER(D281),C281&lt;=TODAY(),D281&gt;=TODAY()),D281+ROW()/100000,"")</f>
        <v/>
      </c>
      <c r="L281" s="0" t="str">
        <f aca="true">IF(AND(ISNUMBER(C281),C281&gt;TODAY(),C281&lt;=TODAY()+30),C281+ROW()/100000,"")</f>
        <v/>
      </c>
      <c r="M281" s="0" t="str">
        <f aca="false">IF(AND(ISNUMBER(C281),ISNUMBER(D281),C281&lt;=CALENDÁRIO!$L$4,D281&gt;=CALENDÁRIO!$L$4),ROW(),"")</f>
        <v/>
      </c>
    </row>
    <row r="282" customFormat="false" ht="15" hidden="false" customHeight="true" outlineLevel="0" collapsed="false">
      <c r="A282" s="52"/>
      <c r="B282" s="52"/>
      <c r="C282" s="51"/>
      <c r="D282" s="51"/>
      <c r="E282" s="52"/>
      <c r="F282" s="61" t="str">
        <f aca="false">IF(AND(ISNUMBER(C282),ISNUMBER(D282),D282&gt;=C282),D282-C282+1,"")</f>
        <v/>
      </c>
      <c r="G282" s="62" t="str">
        <f aca="false">IF(AND(ISNUMBER(C282),ISNUMBER(D282),D282&gt;=C282),WORKDAY(D282,1),"")</f>
        <v/>
      </c>
      <c r="H282" s="53" t="str">
        <f aca="true">IF(A282="","",IF(NOT(AND(ISNUMBER(C282),ISNUMBER(D282))),"Sem data definida",IF(D282&lt;C282,"⚠ Datas invertidas",IF(TODAY()&lt;C282,IF(C282-TODAY()=1,"Começa amanhã","Começa em "&amp;(C282-TODAY())&amp;" dias"),IF(TODAY()&gt;D282,"Concluídas",IF(TODAY()=D282,"EM FÉRIAS (último dia)","EM FÉRIAS (faltam "&amp;(D282-TODAY())&amp;" dias)"))))))</f>
        <v/>
      </c>
      <c r="I282" s="53" t="str">
        <f aca="false">IF(OR(A282="",NOT(AND(ISNUMBER(C282),ISNUMBER(D282)))),"",IF(D282-C282+1&gt;30,"⚠ Período acima de 30 dias",IF(COUNTIFS($B$2:$B$301,B282,$C$2:$C$301,"&lt;="&amp;D282,$D$2:$D$301,"&gt;="&amp;C282)&gt;1,"⚠ Coincide com férias de outro do setor","")))</f>
        <v/>
      </c>
      <c r="K282" s="0" t="str">
        <f aca="true">IF(AND(ISNUMBER(C282),ISNUMBER(D282),C282&lt;=TODAY(),D282&gt;=TODAY()),D282+ROW()/100000,"")</f>
        <v/>
      </c>
      <c r="L282" s="0" t="str">
        <f aca="true">IF(AND(ISNUMBER(C282),C282&gt;TODAY(),C282&lt;=TODAY()+30),C282+ROW()/100000,"")</f>
        <v/>
      </c>
      <c r="M282" s="0" t="str">
        <f aca="false">IF(AND(ISNUMBER(C282),ISNUMBER(D282),C282&lt;=CALENDÁRIO!$L$4,D282&gt;=CALENDÁRIO!$L$4),ROW(),"")</f>
        <v/>
      </c>
    </row>
    <row r="283" customFormat="false" ht="15" hidden="false" customHeight="true" outlineLevel="0" collapsed="false">
      <c r="A283" s="52"/>
      <c r="B283" s="52"/>
      <c r="C283" s="51"/>
      <c r="D283" s="51"/>
      <c r="E283" s="52"/>
      <c r="F283" s="61" t="str">
        <f aca="false">IF(AND(ISNUMBER(C283),ISNUMBER(D283),D283&gt;=C283),D283-C283+1,"")</f>
        <v/>
      </c>
      <c r="G283" s="62" t="str">
        <f aca="false">IF(AND(ISNUMBER(C283),ISNUMBER(D283),D283&gt;=C283),WORKDAY(D283,1),"")</f>
        <v/>
      </c>
      <c r="H283" s="53" t="str">
        <f aca="true">IF(A283="","",IF(NOT(AND(ISNUMBER(C283),ISNUMBER(D283))),"Sem data definida",IF(D283&lt;C283,"⚠ Datas invertidas",IF(TODAY()&lt;C283,IF(C283-TODAY()=1,"Começa amanhã","Começa em "&amp;(C283-TODAY())&amp;" dias"),IF(TODAY()&gt;D283,"Concluídas",IF(TODAY()=D283,"EM FÉRIAS (último dia)","EM FÉRIAS (faltam "&amp;(D283-TODAY())&amp;" dias)"))))))</f>
        <v/>
      </c>
      <c r="I283" s="53" t="str">
        <f aca="false">IF(OR(A283="",NOT(AND(ISNUMBER(C283),ISNUMBER(D283)))),"",IF(D283-C283+1&gt;30,"⚠ Período acima de 30 dias",IF(COUNTIFS($B$2:$B$301,B283,$C$2:$C$301,"&lt;="&amp;D283,$D$2:$D$301,"&gt;="&amp;C283)&gt;1,"⚠ Coincide com férias de outro do setor","")))</f>
        <v/>
      </c>
      <c r="K283" s="0" t="str">
        <f aca="true">IF(AND(ISNUMBER(C283),ISNUMBER(D283),C283&lt;=TODAY(),D283&gt;=TODAY()),D283+ROW()/100000,"")</f>
        <v/>
      </c>
      <c r="L283" s="0" t="str">
        <f aca="true">IF(AND(ISNUMBER(C283),C283&gt;TODAY(),C283&lt;=TODAY()+30),C283+ROW()/100000,"")</f>
        <v/>
      </c>
      <c r="M283" s="0" t="str">
        <f aca="false">IF(AND(ISNUMBER(C283),ISNUMBER(D283),C283&lt;=CALENDÁRIO!$L$4,D283&gt;=CALENDÁRIO!$L$4),ROW(),"")</f>
        <v/>
      </c>
    </row>
    <row r="284" customFormat="false" ht="15" hidden="false" customHeight="true" outlineLevel="0" collapsed="false">
      <c r="A284" s="52"/>
      <c r="B284" s="52"/>
      <c r="C284" s="51"/>
      <c r="D284" s="51"/>
      <c r="E284" s="52"/>
      <c r="F284" s="61" t="str">
        <f aca="false">IF(AND(ISNUMBER(C284),ISNUMBER(D284),D284&gt;=C284),D284-C284+1,"")</f>
        <v/>
      </c>
      <c r="G284" s="62" t="str">
        <f aca="false">IF(AND(ISNUMBER(C284),ISNUMBER(D284),D284&gt;=C284),WORKDAY(D284,1),"")</f>
        <v/>
      </c>
      <c r="H284" s="53" t="str">
        <f aca="true">IF(A284="","",IF(NOT(AND(ISNUMBER(C284),ISNUMBER(D284))),"Sem data definida",IF(D284&lt;C284,"⚠ Datas invertidas",IF(TODAY()&lt;C284,IF(C284-TODAY()=1,"Começa amanhã","Começa em "&amp;(C284-TODAY())&amp;" dias"),IF(TODAY()&gt;D284,"Concluídas",IF(TODAY()=D284,"EM FÉRIAS (último dia)","EM FÉRIAS (faltam "&amp;(D284-TODAY())&amp;" dias)"))))))</f>
        <v/>
      </c>
      <c r="I284" s="53" t="str">
        <f aca="false">IF(OR(A284="",NOT(AND(ISNUMBER(C284),ISNUMBER(D284)))),"",IF(D284-C284+1&gt;30,"⚠ Período acima de 30 dias",IF(COUNTIFS($B$2:$B$301,B284,$C$2:$C$301,"&lt;="&amp;D284,$D$2:$D$301,"&gt;="&amp;C284)&gt;1,"⚠ Coincide com férias de outro do setor","")))</f>
        <v/>
      </c>
      <c r="K284" s="0" t="str">
        <f aca="true">IF(AND(ISNUMBER(C284),ISNUMBER(D284),C284&lt;=TODAY(),D284&gt;=TODAY()),D284+ROW()/100000,"")</f>
        <v/>
      </c>
      <c r="L284" s="0" t="str">
        <f aca="true">IF(AND(ISNUMBER(C284),C284&gt;TODAY(),C284&lt;=TODAY()+30),C284+ROW()/100000,"")</f>
        <v/>
      </c>
      <c r="M284" s="0" t="str">
        <f aca="false">IF(AND(ISNUMBER(C284),ISNUMBER(D284),C284&lt;=CALENDÁRIO!$L$4,D284&gt;=CALENDÁRIO!$L$4),ROW(),"")</f>
        <v/>
      </c>
    </row>
    <row r="285" customFormat="false" ht="15" hidden="false" customHeight="true" outlineLevel="0" collapsed="false">
      <c r="A285" s="52"/>
      <c r="B285" s="52"/>
      <c r="C285" s="51"/>
      <c r="D285" s="51"/>
      <c r="E285" s="52"/>
      <c r="F285" s="61" t="str">
        <f aca="false">IF(AND(ISNUMBER(C285),ISNUMBER(D285),D285&gt;=C285),D285-C285+1,"")</f>
        <v/>
      </c>
      <c r="G285" s="62" t="str">
        <f aca="false">IF(AND(ISNUMBER(C285),ISNUMBER(D285),D285&gt;=C285),WORKDAY(D285,1),"")</f>
        <v/>
      </c>
      <c r="H285" s="53" t="str">
        <f aca="true">IF(A285="","",IF(NOT(AND(ISNUMBER(C285),ISNUMBER(D285))),"Sem data definida",IF(D285&lt;C285,"⚠ Datas invertidas",IF(TODAY()&lt;C285,IF(C285-TODAY()=1,"Começa amanhã","Começa em "&amp;(C285-TODAY())&amp;" dias"),IF(TODAY()&gt;D285,"Concluídas",IF(TODAY()=D285,"EM FÉRIAS (último dia)","EM FÉRIAS (faltam "&amp;(D285-TODAY())&amp;" dias)"))))))</f>
        <v/>
      </c>
      <c r="I285" s="53" t="str">
        <f aca="false">IF(OR(A285="",NOT(AND(ISNUMBER(C285),ISNUMBER(D285)))),"",IF(D285-C285+1&gt;30,"⚠ Período acima de 30 dias",IF(COUNTIFS($B$2:$B$301,B285,$C$2:$C$301,"&lt;="&amp;D285,$D$2:$D$301,"&gt;="&amp;C285)&gt;1,"⚠ Coincide com férias de outro do setor","")))</f>
        <v/>
      </c>
      <c r="K285" s="0" t="str">
        <f aca="true">IF(AND(ISNUMBER(C285),ISNUMBER(D285),C285&lt;=TODAY(),D285&gt;=TODAY()),D285+ROW()/100000,"")</f>
        <v/>
      </c>
      <c r="L285" s="0" t="str">
        <f aca="true">IF(AND(ISNUMBER(C285),C285&gt;TODAY(),C285&lt;=TODAY()+30),C285+ROW()/100000,"")</f>
        <v/>
      </c>
      <c r="M285" s="0" t="str">
        <f aca="false">IF(AND(ISNUMBER(C285),ISNUMBER(D285),C285&lt;=CALENDÁRIO!$L$4,D285&gt;=CALENDÁRIO!$L$4),ROW(),"")</f>
        <v/>
      </c>
    </row>
    <row r="286" customFormat="false" ht="15" hidden="false" customHeight="true" outlineLevel="0" collapsed="false">
      <c r="A286" s="52"/>
      <c r="B286" s="52"/>
      <c r="C286" s="51"/>
      <c r="D286" s="51"/>
      <c r="E286" s="52"/>
      <c r="F286" s="61" t="str">
        <f aca="false">IF(AND(ISNUMBER(C286),ISNUMBER(D286),D286&gt;=C286),D286-C286+1,"")</f>
        <v/>
      </c>
      <c r="G286" s="62" t="str">
        <f aca="false">IF(AND(ISNUMBER(C286),ISNUMBER(D286),D286&gt;=C286),WORKDAY(D286,1),"")</f>
        <v/>
      </c>
      <c r="H286" s="53" t="str">
        <f aca="true">IF(A286="","",IF(NOT(AND(ISNUMBER(C286),ISNUMBER(D286))),"Sem data definida",IF(D286&lt;C286,"⚠ Datas invertidas",IF(TODAY()&lt;C286,IF(C286-TODAY()=1,"Começa amanhã","Começa em "&amp;(C286-TODAY())&amp;" dias"),IF(TODAY()&gt;D286,"Concluídas",IF(TODAY()=D286,"EM FÉRIAS (último dia)","EM FÉRIAS (faltam "&amp;(D286-TODAY())&amp;" dias)"))))))</f>
        <v/>
      </c>
      <c r="I286" s="53" t="str">
        <f aca="false">IF(OR(A286="",NOT(AND(ISNUMBER(C286),ISNUMBER(D286)))),"",IF(D286-C286+1&gt;30,"⚠ Período acima de 30 dias",IF(COUNTIFS($B$2:$B$301,B286,$C$2:$C$301,"&lt;="&amp;D286,$D$2:$D$301,"&gt;="&amp;C286)&gt;1,"⚠ Coincide com férias de outro do setor","")))</f>
        <v/>
      </c>
      <c r="K286" s="0" t="str">
        <f aca="true">IF(AND(ISNUMBER(C286),ISNUMBER(D286),C286&lt;=TODAY(),D286&gt;=TODAY()),D286+ROW()/100000,"")</f>
        <v/>
      </c>
      <c r="L286" s="0" t="str">
        <f aca="true">IF(AND(ISNUMBER(C286),C286&gt;TODAY(),C286&lt;=TODAY()+30),C286+ROW()/100000,"")</f>
        <v/>
      </c>
      <c r="M286" s="0" t="str">
        <f aca="false">IF(AND(ISNUMBER(C286),ISNUMBER(D286),C286&lt;=CALENDÁRIO!$L$4,D286&gt;=CALENDÁRIO!$L$4),ROW(),"")</f>
        <v/>
      </c>
    </row>
    <row r="287" customFormat="false" ht="15" hidden="false" customHeight="true" outlineLevel="0" collapsed="false">
      <c r="A287" s="52"/>
      <c r="B287" s="52"/>
      <c r="C287" s="51"/>
      <c r="D287" s="51"/>
      <c r="E287" s="52"/>
      <c r="F287" s="61" t="str">
        <f aca="false">IF(AND(ISNUMBER(C287),ISNUMBER(D287),D287&gt;=C287),D287-C287+1,"")</f>
        <v/>
      </c>
      <c r="G287" s="62" t="str">
        <f aca="false">IF(AND(ISNUMBER(C287),ISNUMBER(D287),D287&gt;=C287),WORKDAY(D287,1),"")</f>
        <v/>
      </c>
      <c r="H287" s="53" t="str">
        <f aca="true">IF(A287="","",IF(NOT(AND(ISNUMBER(C287),ISNUMBER(D287))),"Sem data definida",IF(D287&lt;C287,"⚠ Datas invertidas",IF(TODAY()&lt;C287,IF(C287-TODAY()=1,"Começa amanhã","Começa em "&amp;(C287-TODAY())&amp;" dias"),IF(TODAY()&gt;D287,"Concluídas",IF(TODAY()=D287,"EM FÉRIAS (último dia)","EM FÉRIAS (faltam "&amp;(D287-TODAY())&amp;" dias)"))))))</f>
        <v/>
      </c>
      <c r="I287" s="53" t="str">
        <f aca="false">IF(OR(A287="",NOT(AND(ISNUMBER(C287),ISNUMBER(D287)))),"",IF(D287-C287+1&gt;30,"⚠ Período acima de 30 dias",IF(COUNTIFS($B$2:$B$301,B287,$C$2:$C$301,"&lt;="&amp;D287,$D$2:$D$301,"&gt;="&amp;C287)&gt;1,"⚠ Coincide com férias de outro do setor","")))</f>
        <v/>
      </c>
      <c r="K287" s="0" t="str">
        <f aca="true">IF(AND(ISNUMBER(C287),ISNUMBER(D287),C287&lt;=TODAY(),D287&gt;=TODAY()),D287+ROW()/100000,"")</f>
        <v/>
      </c>
      <c r="L287" s="0" t="str">
        <f aca="true">IF(AND(ISNUMBER(C287),C287&gt;TODAY(),C287&lt;=TODAY()+30),C287+ROW()/100000,"")</f>
        <v/>
      </c>
      <c r="M287" s="0" t="str">
        <f aca="false">IF(AND(ISNUMBER(C287),ISNUMBER(D287),C287&lt;=CALENDÁRIO!$L$4,D287&gt;=CALENDÁRIO!$L$4),ROW(),"")</f>
        <v/>
      </c>
    </row>
    <row r="288" customFormat="false" ht="15" hidden="false" customHeight="true" outlineLevel="0" collapsed="false">
      <c r="A288" s="52"/>
      <c r="B288" s="52"/>
      <c r="C288" s="51"/>
      <c r="D288" s="51"/>
      <c r="E288" s="52"/>
      <c r="F288" s="61" t="str">
        <f aca="false">IF(AND(ISNUMBER(C288),ISNUMBER(D288),D288&gt;=C288),D288-C288+1,"")</f>
        <v/>
      </c>
      <c r="G288" s="62" t="str">
        <f aca="false">IF(AND(ISNUMBER(C288),ISNUMBER(D288),D288&gt;=C288),WORKDAY(D288,1),"")</f>
        <v/>
      </c>
      <c r="H288" s="53" t="str">
        <f aca="true">IF(A288="","",IF(NOT(AND(ISNUMBER(C288),ISNUMBER(D288))),"Sem data definida",IF(D288&lt;C288,"⚠ Datas invertidas",IF(TODAY()&lt;C288,IF(C288-TODAY()=1,"Começa amanhã","Começa em "&amp;(C288-TODAY())&amp;" dias"),IF(TODAY()&gt;D288,"Concluídas",IF(TODAY()=D288,"EM FÉRIAS (último dia)","EM FÉRIAS (faltam "&amp;(D288-TODAY())&amp;" dias)"))))))</f>
        <v/>
      </c>
      <c r="I288" s="53" t="str">
        <f aca="false">IF(OR(A288="",NOT(AND(ISNUMBER(C288),ISNUMBER(D288)))),"",IF(D288-C288+1&gt;30,"⚠ Período acima de 30 dias",IF(COUNTIFS($B$2:$B$301,B288,$C$2:$C$301,"&lt;="&amp;D288,$D$2:$D$301,"&gt;="&amp;C288)&gt;1,"⚠ Coincide com férias de outro do setor","")))</f>
        <v/>
      </c>
      <c r="K288" s="0" t="str">
        <f aca="true">IF(AND(ISNUMBER(C288),ISNUMBER(D288),C288&lt;=TODAY(),D288&gt;=TODAY()),D288+ROW()/100000,"")</f>
        <v/>
      </c>
      <c r="L288" s="0" t="str">
        <f aca="true">IF(AND(ISNUMBER(C288),C288&gt;TODAY(),C288&lt;=TODAY()+30),C288+ROW()/100000,"")</f>
        <v/>
      </c>
      <c r="M288" s="0" t="str">
        <f aca="false">IF(AND(ISNUMBER(C288),ISNUMBER(D288),C288&lt;=CALENDÁRIO!$L$4,D288&gt;=CALENDÁRIO!$L$4),ROW(),"")</f>
        <v/>
      </c>
    </row>
    <row r="289" customFormat="false" ht="15" hidden="false" customHeight="true" outlineLevel="0" collapsed="false">
      <c r="A289" s="52"/>
      <c r="B289" s="52"/>
      <c r="C289" s="51"/>
      <c r="D289" s="51"/>
      <c r="E289" s="52"/>
      <c r="F289" s="61" t="str">
        <f aca="false">IF(AND(ISNUMBER(C289),ISNUMBER(D289),D289&gt;=C289),D289-C289+1,"")</f>
        <v/>
      </c>
      <c r="G289" s="62" t="str">
        <f aca="false">IF(AND(ISNUMBER(C289),ISNUMBER(D289),D289&gt;=C289),WORKDAY(D289,1),"")</f>
        <v/>
      </c>
      <c r="H289" s="53" t="str">
        <f aca="true">IF(A289="","",IF(NOT(AND(ISNUMBER(C289),ISNUMBER(D289))),"Sem data definida",IF(D289&lt;C289,"⚠ Datas invertidas",IF(TODAY()&lt;C289,IF(C289-TODAY()=1,"Começa amanhã","Começa em "&amp;(C289-TODAY())&amp;" dias"),IF(TODAY()&gt;D289,"Concluídas",IF(TODAY()=D289,"EM FÉRIAS (último dia)","EM FÉRIAS (faltam "&amp;(D289-TODAY())&amp;" dias)"))))))</f>
        <v/>
      </c>
      <c r="I289" s="53" t="str">
        <f aca="false">IF(OR(A289="",NOT(AND(ISNUMBER(C289),ISNUMBER(D289)))),"",IF(D289-C289+1&gt;30,"⚠ Período acima de 30 dias",IF(COUNTIFS($B$2:$B$301,B289,$C$2:$C$301,"&lt;="&amp;D289,$D$2:$D$301,"&gt;="&amp;C289)&gt;1,"⚠ Coincide com férias de outro do setor","")))</f>
        <v/>
      </c>
      <c r="K289" s="0" t="str">
        <f aca="true">IF(AND(ISNUMBER(C289),ISNUMBER(D289),C289&lt;=TODAY(),D289&gt;=TODAY()),D289+ROW()/100000,"")</f>
        <v/>
      </c>
      <c r="L289" s="0" t="str">
        <f aca="true">IF(AND(ISNUMBER(C289),C289&gt;TODAY(),C289&lt;=TODAY()+30),C289+ROW()/100000,"")</f>
        <v/>
      </c>
      <c r="M289" s="0" t="str">
        <f aca="false">IF(AND(ISNUMBER(C289),ISNUMBER(D289),C289&lt;=CALENDÁRIO!$L$4,D289&gt;=CALENDÁRIO!$L$4),ROW(),"")</f>
        <v/>
      </c>
    </row>
    <row r="290" customFormat="false" ht="15" hidden="false" customHeight="true" outlineLevel="0" collapsed="false">
      <c r="A290" s="52"/>
      <c r="B290" s="52"/>
      <c r="C290" s="51"/>
      <c r="D290" s="51"/>
      <c r="E290" s="52"/>
      <c r="F290" s="61" t="str">
        <f aca="false">IF(AND(ISNUMBER(C290),ISNUMBER(D290),D290&gt;=C290),D290-C290+1,"")</f>
        <v/>
      </c>
      <c r="G290" s="62" t="str">
        <f aca="false">IF(AND(ISNUMBER(C290),ISNUMBER(D290),D290&gt;=C290),WORKDAY(D290,1),"")</f>
        <v/>
      </c>
      <c r="H290" s="53" t="str">
        <f aca="true">IF(A290="","",IF(NOT(AND(ISNUMBER(C290),ISNUMBER(D290))),"Sem data definida",IF(D290&lt;C290,"⚠ Datas invertidas",IF(TODAY()&lt;C290,IF(C290-TODAY()=1,"Começa amanhã","Começa em "&amp;(C290-TODAY())&amp;" dias"),IF(TODAY()&gt;D290,"Concluídas",IF(TODAY()=D290,"EM FÉRIAS (último dia)","EM FÉRIAS (faltam "&amp;(D290-TODAY())&amp;" dias)"))))))</f>
        <v/>
      </c>
      <c r="I290" s="53" t="str">
        <f aca="false">IF(OR(A290="",NOT(AND(ISNUMBER(C290),ISNUMBER(D290)))),"",IF(D290-C290+1&gt;30,"⚠ Período acima de 30 dias",IF(COUNTIFS($B$2:$B$301,B290,$C$2:$C$301,"&lt;="&amp;D290,$D$2:$D$301,"&gt;="&amp;C290)&gt;1,"⚠ Coincide com férias de outro do setor","")))</f>
        <v/>
      </c>
      <c r="K290" s="0" t="str">
        <f aca="true">IF(AND(ISNUMBER(C290),ISNUMBER(D290),C290&lt;=TODAY(),D290&gt;=TODAY()),D290+ROW()/100000,"")</f>
        <v/>
      </c>
      <c r="L290" s="0" t="str">
        <f aca="true">IF(AND(ISNUMBER(C290),C290&gt;TODAY(),C290&lt;=TODAY()+30),C290+ROW()/100000,"")</f>
        <v/>
      </c>
      <c r="M290" s="0" t="str">
        <f aca="false">IF(AND(ISNUMBER(C290),ISNUMBER(D290),C290&lt;=CALENDÁRIO!$L$4,D290&gt;=CALENDÁRIO!$L$4),ROW(),"")</f>
        <v/>
      </c>
    </row>
    <row r="291" customFormat="false" ht="15" hidden="false" customHeight="true" outlineLevel="0" collapsed="false">
      <c r="A291" s="52"/>
      <c r="B291" s="52"/>
      <c r="C291" s="51"/>
      <c r="D291" s="51"/>
      <c r="E291" s="52"/>
      <c r="F291" s="61" t="str">
        <f aca="false">IF(AND(ISNUMBER(C291),ISNUMBER(D291),D291&gt;=C291),D291-C291+1,"")</f>
        <v/>
      </c>
      <c r="G291" s="62" t="str">
        <f aca="false">IF(AND(ISNUMBER(C291),ISNUMBER(D291),D291&gt;=C291),WORKDAY(D291,1),"")</f>
        <v/>
      </c>
      <c r="H291" s="53" t="str">
        <f aca="true">IF(A291="","",IF(NOT(AND(ISNUMBER(C291),ISNUMBER(D291))),"Sem data definida",IF(D291&lt;C291,"⚠ Datas invertidas",IF(TODAY()&lt;C291,IF(C291-TODAY()=1,"Começa amanhã","Começa em "&amp;(C291-TODAY())&amp;" dias"),IF(TODAY()&gt;D291,"Concluídas",IF(TODAY()=D291,"EM FÉRIAS (último dia)","EM FÉRIAS (faltam "&amp;(D291-TODAY())&amp;" dias)"))))))</f>
        <v/>
      </c>
      <c r="I291" s="53" t="str">
        <f aca="false">IF(OR(A291="",NOT(AND(ISNUMBER(C291),ISNUMBER(D291)))),"",IF(D291-C291+1&gt;30,"⚠ Período acima de 30 dias",IF(COUNTIFS($B$2:$B$301,B291,$C$2:$C$301,"&lt;="&amp;D291,$D$2:$D$301,"&gt;="&amp;C291)&gt;1,"⚠ Coincide com férias de outro do setor","")))</f>
        <v/>
      </c>
      <c r="K291" s="0" t="str">
        <f aca="true">IF(AND(ISNUMBER(C291),ISNUMBER(D291),C291&lt;=TODAY(),D291&gt;=TODAY()),D291+ROW()/100000,"")</f>
        <v/>
      </c>
      <c r="L291" s="0" t="str">
        <f aca="true">IF(AND(ISNUMBER(C291),C291&gt;TODAY(),C291&lt;=TODAY()+30),C291+ROW()/100000,"")</f>
        <v/>
      </c>
      <c r="M291" s="0" t="str">
        <f aca="false">IF(AND(ISNUMBER(C291),ISNUMBER(D291),C291&lt;=CALENDÁRIO!$L$4,D291&gt;=CALENDÁRIO!$L$4),ROW(),"")</f>
        <v/>
      </c>
    </row>
    <row r="292" customFormat="false" ht="15" hidden="false" customHeight="true" outlineLevel="0" collapsed="false">
      <c r="A292" s="52"/>
      <c r="B292" s="52"/>
      <c r="C292" s="51"/>
      <c r="D292" s="51"/>
      <c r="E292" s="52"/>
      <c r="F292" s="61" t="str">
        <f aca="false">IF(AND(ISNUMBER(C292),ISNUMBER(D292),D292&gt;=C292),D292-C292+1,"")</f>
        <v/>
      </c>
      <c r="G292" s="62" t="str">
        <f aca="false">IF(AND(ISNUMBER(C292),ISNUMBER(D292),D292&gt;=C292),WORKDAY(D292,1),"")</f>
        <v/>
      </c>
      <c r="H292" s="53" t="str">
        <f aca="true">IF(A292="","",IF(NOT(AND(ISNUMBER(C292),ISNUMBER(D292))),"Sem data definida",IF(D292&lt;C292,"⚠ Datas invertidas",IF(TODAY()&lt;C292,IF(C292-TODAY()=1,"Começa amanhã","Começa em "&amp;(C292-TODAY())&amp;" dias"),IF(TODAY()&gt;D292,"Concluídas",IF(TODAY()=D292,"EM FÉRIAS (último dia)","EM FÉRIAS (faltam "&amp;(D292-TODAY())&amp;" dias)"))))))</f>
        <v/>
      </c>
      <c r="I292" s="53" t="str">
        <f aca="false">IF(OR(A292="",NOT(AND(ISNUMBER(C292),ISNUMBER(D292)))),"",IF(D292-C292+1&gt;30,"⚠ Período acima de 30 dias",IF(COUNTIFS($B$2:$B$301,B292,$C$2:$C$301,"&lt;="&amp;D292,$D$2:$D$301,"&gt;="&amp;C292)&gt;1,"⚠ Coincide com férias de outro do setor","")))</f>
        <v/>
      </c>
      <c r="K292" s="0" t="str">
        <f aca="true">IF(AND(ISNUMBER(C292),ISNUMBER(D292),C292&lt;=TODAY(),D292&gt;=TODAY()),D292+ROW()/100000,"")</f>
        <v/>
      </c>
      <c r="L292" s="0" t="str">
        <f aca="true">IF(AND(ISNUMBER(C292),C292&gt;TODAY(),C292&lt;=TODAY()+30),C292+ROW()/100000,"")</f>
        <v/>
      </c>
      <c r="M292" s="0" t="str">
        <f aca="false">IF(AND(ISNUMBER(C292),ISNUMBER(D292),C292&lt;=CALENDÁRIO!$L$4,D292&gt;=CALENDÁRIO!$L$4),ROW(),"")</f>
        <v/>
      </c>
    </row>
    <row r="293" customFormat="false" ht="15" hidden="false" customHeight="true" outlineLevel="0" collapsed="false">
      <c r="A293" s="52"/>
      <c r="B293" s="52"/>
      <c r="C293" s="51"/>
      <c r="D293" s="51"/>
      <c r="E293" s="52"/>
      <c r="F293" s="61" t="str">
        <f aca="false">IF(AND(ISNUMBER(C293),ISNUMBER(D293),D293&gt;=C293),D293-C293+1,"")</f>
        <v/>
      </c>
      <c r="G293" s="62" t="str">
        <f aca="false">IF(AND(ISNUMBER(C293),ISNUMBER(D293),D293&gt;=C293),WORKDAY(D293,1),"")</f>
        <v/>
      </c>
      <c r="H293" s="53" t="str">
        <f aca="true">IF(A293="","",IF(NOT(AND(ISNUMBER(C293),ISNUMBER(D293))),"Sem data definida",IF(D293&lt;C293,"⚠ Datas invertidas",IF(TODAY()&lt;C293,IF(C293-TODAY()=1,"Começa amanhã","Começa em "&amp;(C293-TODAY())&amp;" dias"),IF(TODAY()&gt;D293,"Concluídas",IF(TODAY()=D293,"EM FÉRIAS (último dia)","EM FÉRIAS (faltam "&amp;(D293-TODAY())&amp;" dias)"))))))</f>
        <v/>
      </c>
      <c r="I293" s="53" t="str">
        <f aca="false">IF(OR(A293="",NOT(AND(ISNUMBER(C293),ISNUMBER(D293)))),"",IF(D293-C293+1&gt;30,"⚠ Período acima de 30 dias",IF(COUNTIFS($B$2:$B$301,B293,$C$2:$C$301,"&lt;="&amp;D293,$D$2:$D$301,"&gt;="&amp;C293)&gt;1,"⚠ Coincide com férias de outro do setor","")))</f>
        <v/>
      </c>
      <c r="K293" s="0" t="str">
        <f aca="true">IF(AND(ISNUMBER(C293),ISNUMBER(D293),C293&lt;=TODAY(),D293&gt;=TODAY()),D293+ROW()/100000,"")</f>
        <v/>
      </c>
      <c r="L293" s="0" t="str">
        <f aca="true">IF(AND(ISNUMBER(C293),C293&gt;TODAY(),C293&lt;=TODAY()+30),C293+ROW()/100000,"")</f>
        <v/>
      </c>
      <c r="M293" s="0" t="str">
        <f aca="false">IF(AND(ISNUMBER(C293),ISNUMBER(D293),C293&lt;=CALENDÁRIO!$L$4,D293&gt;=CALENDÁRIO!$L$4),ROW(),"")</f>
        <v/>
      </c>
    </row>
    <row r="294" customFormat="false" ht="15" hidden="false" customHeight="true" outlineLevel="0" collapsed="false">
      <c r="A294" s="52"/>
      <c r="B294" s="52"/>
      <c r="C294" s="51"/>
      <c r="D294" s="51"/>
      <c r="E294" s="52"/>
      <c r="F294" s="61" t="str">
        <f aca="false">IF(AND(ISNUMBER(C294),ISNUMBER(D294),D294&gt;=C294),D294-C294+1,"")</f>
        <v/>
      </c>
      <c r="G294" s="62" t="str">
        <f aca="false">IF(AND(ISNUMBER(C294),ISNUMBER(D294),D294&gt;=C294),WORKDAY(D294,1),"")</f>
        <v/>
      </c>
      <c r="H294" s="53" t="str">
        <f aca="true">IF(A294="","",IF(NOT(AND(ISNUMBER(C294),ISNUMBER(D294))),"Sem data definida",IF(D294&lt;C294,"⚠ Datas invertidas",IF(TODAY()&lt;C294,IF(C294-TODAY()=1,"Começa amanhã","Começa em "&amp;(C294-TODAY())&amp;" dias"),IF(TODAY()&gt;D294,"Concluídas",IF(TODAY()=D294,"EM FÉRIAS (último dia)","EM FÉRIAS (faltam "&amp;(D294-TODAY())&amp;" dias)"))))))</f>
        <v/>
      </c>
      <c r="I294" s="53" t="str">
        <f aca="false">IF(OR(A294="",NOT(AND(ISNUMBER(C294),ISNUMBER(D294)))),"",IF(D294-C294+1&gt;30,"⚠ Período acima de 30 dias",IF(COUNTIFS($B$2:$B$301,B294,$C$2:$C$301,"&lt;="&amp;D294,$D$2:$D$301,"&gt;="&amp;C294)&gt;1,"⚠ Coincide com férias de outro do setor","")))</f>
        <v/>
      </c>
      <c r="K294" s="0" t="str">
        <f aca="true">IF(AND(ISNUMBER(C294),ISNUMBER(D294),C294&lt;=TODAY(),D294&gt;=TODAY()),D294+ROW()/100000,"")</f>
        <v/>
      </c>
      <c r="L294" s="0" t="str">
        <f aca="true">IF(AND(ISNUMBER(C294),C294&gt;TODAY(),C294&lt;=TODAY()+30),C294+ROW()/100000,"")</f>
        <v/>
      </c>
      <c r="M294" s="0" t="str">
        <f aca="false">IF(AND(ISNUMBER(C294),ISNUMBER(D294),C294&lt;=CALENDÁRIO!$L$4,D294&gt;=CALENDÁRIO!$L$4),ROW(),"")</f>
        <v/>
      </c>
    </row>
    <row r="295" customFormat="false" ht="15" hidden="false" customHeight="true" outlineLevel="0" collapsed="false">
      <c r="A295" s="52"/>
      <c r="B295" s="52"/>
      <c r="C295" s="51"/>
      <c r="D295" s="51"/>
      <c r="E295" s="52"/>
      <c r="F295" s="61" t="str">
        <f aca="false">IF(AND(ISNUMBER(C295),ISNUMBER(D295),D295&gt;=C295),D295-C295+1,"")</f>
        <v/>
      </c>
      <c r="G295" s="62" t="str">
        <f aca="false">IF(AND(ISNUMBER(C295),ISNUMBER(D295),D295&gt;=C295),WORKDAY(D295,1),"")</f>
        <v/>
      </c>
      <c r="H295" s="53" t="str">
        <f aca="true">IF(A295="","",IF(NOT(AND(ISNUMBER(C295),ISNUMBER(D295))),"Sem data definida",IF(D295&lt;C295,"⚠ Datas invertidas",IF(TODAY()&lt;C295,IF(C295-TODAY()=1,"Começa amanhã","Começa em "&amp;(C295-TODAY())&amp;" dias"),IF(TODAY()&gt;D295,"Concluídas",IF(TODAY()=D295,"EM FÉRIAS (último dia)","EM FÉRIAS (faltam "&amp;(D295-TODAY())&amp;" dias)"))))))</f>
        <v/>
      </c>
      <c r="I295" s="53" t="str">
        <f aca="false">IF(OR(A295="",NOT(AND(ISNUMBER(C295),ISNUMBER(D295)))),"",IF(D295-C295+1&gt;30,"⚠ Período acima de 30 dias",IF(COUNTIFS($B$2:$B$301,B295,$C$2:$C$301,"&lt;="&amp;D295,$D$2:$D$301,"&gt;="&amp;C295)&gt;1,"⚠ Coincide com férias de outro do setor","")))</f>
        <v/>
      </c>
      <c r="K295" s="0" t="str">
        <f aca="true">IF(AND(ISNUMBER(C295),ISNUMBER(D295),C295&lt;=TODAY(),D295&gt;=TODAY()),D295+ROW()/100000,"")</f>
        <v/>
      </c>
      <c r="L295" s="0" t="str">
        <f aca="true">IF(AND(ISNUMBER(C295),C295&gt;TODAY(),C295&lt;=TODAY()+30),C295+ROW()/100000,"")</f>
        <v/>
      </c>
      <c r="M295" s="0" t="str">
        <f aca="false">IF(AND(ISNUMBER(C295),ISNUMBER(D295),C295&lt;=CALENDÁRIO!$L$4,D295&gt;=CALENDÁRIO!$L$4),ROW(),"")</f>
        <v/>
      </c>
    </row>
    <row r="296" customFormat="false" ht="15" hidden="false" customHeight="true" outlineLevel="0" collapsed="false">
      <c r="A296" s="52"/>
      <c r="B296" s="52"/>
      <c r="C296" s="51"/>
      <c r="D296" s="51"/>
      <c r="E296" s="52"/>
      <c r="F296" s="61" t="str">
        <f aca="false">IF(AND(ISNUMBER(C296),ISNUMBER(D296),D296&gt;=C296),D296-C296+1,"")</f>
        <v/>
      </c>
      <c r="G296" s="62" t="str">
        <f aca="false">IF(AND(ISNUMBER(C296),ISNUMBER(D296),D296&gt;=C296),WORKDAY(D296,1),"")</f>
        <v/>
      </c>
      <c r="H296" s="53" t="str">
        <f aca="true">IF(A296="","",IF(NOT(AND(ISNUMBER(C296),ISNUMBER(D296))),"Sem data definida",IF(D296&lt;C296,"⚠ Datas invertidas",IF(TODAY()&lt;C296,IF(C296-TODAY()=1,"Começa amanhã","Começa em "&amp;(C296-TODAY())&amp;" dias"),IF(TODAY()&gt;D296,"Concluídas",IF(TODAY()=D296,"EM FÉRIAS (último dia)","EM FÉRIAS (faltam "&amp;(D296-TODAY())&amp;" dias)"))))))</f>
        <v/>
      </c>
      <c r="I296" s="53" t="str">
        <f aca="false">IF(OR(A296="",NOT(AND(ISNUMBER(C296),ISNUMBER(D296)))),"",IF(D296-C296+1&gt;30,"⚠ Período acima de 30 dias",IF(COUNTIFS($B$2:$B$301,B296,$C$2:$C$301,"&lt;="&amp;D296,$D$2:$D$301,"&gt;="&amp;C296)&gt;1,"⚠ Coincide com férias de outro do setor","")))</f>
        <v/>
      </c>
      <c r="K296" s="0" t="str">
        <f aca="true">IF(AND(ISNUMBER(C296),ISNUMBER(D296),C296&lt;=TODAY(),D296&gt;=TODAY()),D296+ROW()/100000,"")</f>
        <v/>
      </c>
      <c r="L296" s="0" t="str">
        <f aca="true">IF(AND(ISNUMBER(C296),C296&gt;TODAY(),C296&lt;=TODAY()+30),C296+ROW()/100000,"")</f>
        <v/>
      </c>
      <c r="M296" s="0" t="str">
        <f aca="false">IF(AND(ISNUMBER(C296),ISNUMBER(D296),C296&lt;=CALENDÁRIO!$L$4,D296&gt;=CALENDÁRIO!$L$4),ROW(),"")</f>
        <v/>
      </c>
    </row>
    <row r="297" customFormat="false" ht="15" hidden="false" customHeight="true" outlineLevel="0" collapsed="false">
      <c r="A297" s="52"/>
      <c r="B297" s="52"/>
      <c r="C297" s="51"/>
      <c r="D297" s="51"/>
      <c r="E297" s="52"/>
      <c r="F297" s="61" t="str">
        <f aca="false">IF(AND(ISNUMBER(C297),ISNUMBER(D297),D297&gt;=C297),D297-C297+1,"")</f>
        <v/>
      </c>
      <c r="G297" s="62" t="str">
        <f aca="false">IF(AND(ISNUMBER(C297),ISNUMBER(D297),D297&gt;=C297),WORKDAY(D297,1),"")</f>
        <v/>
      </c>
      <c r="H297" s="53" t="str">
        <f aca="true">IF(A297="","",IF(NOT(AND(ISNUMBER(C297),ISNUMBER(D297))),"Sem data definida",IF(D297&lt;C297,"⚠ Datas invertidas",IF(TODAY()&lt;C297,IF(C297-TODAY()=1,"Começa amanhã","Começa em "&amp;(C297-TODAY())&amp;" dias"),IF(TODAY()&gt;D297,"Concluídas",IF(TODAY()=D297,"EM FÉRIAS (último dia)","EM FÉRIAS (faltam "&amp;(D297-TODAY())&amp;" dias)"))))))</f>
        <v/>
      </c>
      <c r="I297" s="53" t="str">
        <f aca="false">IF(OR(A297="",NOT(AND(ISNUMBER(C297),ISNUMBER(D297)))),"",IF(D297-C297+1&gt;30,"⚠ Período acima de 30 dias",IF(COUNTIFS($B$2:$B$301,B297,$C$2:$C$301,"&lt;="&amp;D297,$D$2:$D$301,"&gt;="&amp;C297)&gt;1,"⚠ Coincide com férias de outro do setor","")))</f>
        <v/>
      </c>
      <c r="K297" s="0" t="str">
        <f aca="true">IF(AND(ISNUMBER(C297),ISNUMBER(D297),C297&lt;=TODAY(),D297&gt;=TODAY()),D297+ROW()/100000,"")</f>
        <v/>
      </c>
      <c r="L297" s="0" t="str">
        <f aca="true">IF(AND(ISNUMBER(C297),C297&gt;TODAY(),C297&lt;=TODAY()+30),C297+ROW()/100000,"")</f>
        <v/>
      </c>
      <c r="M297" s="0" t="str">
        <f aca="false">IF(AND(ISNUMBER(C297),ISNUMBER(D297),C297&lt;=CALENDÁRIO!$L$4,D297&gt;=CALENDÁRIO!$L$4),ROW(),"")</f>
        <v/>
      </c>
    </row>
    <row r="298" customFormat="false" ht="15" hidden="false" customHeight="true" outlineLevel="0" collapsed="false">
      <c r="A298" s="52"/>
      <c r="B298" s="52"/>
      <c r="C298" s="51"/>
      <c r="D298" s="51"/>
      <c r="E298" s="52"/>
      <c r="F298" s="61" t="str">
        <f aca="false">IF(AND(ISNUMBER(C298),ISNUMBER(D298),D298&gt;=C298),D298-C298+1,"")</f>
        <v/>
      </c>
      <c r="G298" s="62" t="str">
        <f aca="false">IF(AND(ISNUMBER(C298),ISNUMBER(D298),D298&gt;=C298),WORKDAY(D298,1),"")</f>
        <v/>
      </c>
      <c r="H298" s="53" t="str">
        <f aca="true">IF(A298="","",IF(NOT(AND(ISNUMBER(C298),ISNUMBER(D298))),"Sem data definida",IF(D298&lt;C298,"⚠ Datas invertidas",IF(TODAY()&lt;C298,IF(C298-TODAY()=1,"Começa amanhã","Começa em "&amp;(C298-TODAY())&amp;" dias"),IF(TODAY()&gt;D298,"Concluídas",IF(TODAY()=D298,"EM FÉRIAS (último dia)","EM FÉRIAS (faltam "&amp;(D298-TODAY())&amp;" dias)"))))))</f>
        <v/>
      </c>
      <c r="I298" s="53" t="str">
        <f aca="false">IF(OR(A298="",NOT(AND(ISNUMBER(C298),ISNUMBER(D298)))),"",IF(D298-C298+1&gt;30,"⚠ Período acima de 30 dias",IF(COUNTIFS($B$2:$B$301,B298,$C$2:$C$301,"&lt;="&amp;D298,$D$2:$D$301,"&gt;="&amp;C298)&gt;1,"⚠ Coincide com férias de outro do setor","")))</f>
        <v/>
      </c>
      <c r="K298" s="0" t="str">
        <f aca="true">IF(AND(ISNUMBER(C298),ISNUMBER(D298),C298&lt;=TODAY(),D298&gt;=TODAY()),D298+ROW()/100000,"")</f>
        <v/>
      </c>
      <c r="L298" s="0" t="str">
        <f aca="true">IF(AND(ISNUMBER(C298),C298&gt;TODAY(),C298&lt;=TODAY()+30),C298+ROW()/100000,"")</f>
        <v/>
      </c>
      <c r="M298" s="0" t="str">
        <f aca="false">IF(AND(ISNUMBER(C298),ISNUMBER(D298),C298&lt;=CALENDÁRIO!$L$4,D298&gt;=CALENDÁRIO!$L$4),ROW(),"")</f>
        <v/>
      </c>
    </row>
    <row r="299" customFormat="false" ht="15" hidden="false" customHeight="true" outlineLevel="0" collapsed="false">
      <c r="A299" s="52"/>
      <c r="B299" s="52"/>
      <c r="C299" s="51"/>
      <c r="D299" s="51"/>
      <c r="E299" s="52"/>
      <c r="F299" s="61" t="str">
        <f aca="false">IF(AND(ISNUMBER(C299),ISNUMBER(D299),D299&gt;=C299),D299-C299+1,"")</f>
        <v/>
      </c>
      <c r="G299" s="62" t="str">
        <f aca="false">IF(AND(ISNUMBER(C299),ISNUMBER(D299),D299&gt;=C299),WORKDAY(D299,1),"")</f>
        <v/>
      </c>
      <c r="H299" s="53" t="str">
        <f aca="true">IF(A299="","",IF(NOT(AND(ISNUMBER(C299),ISNUMBER(D299))),"Sem data definida",IF(D299&lt;C299,"⚠ Datas invertidas",IF(TODAY()&lt;C299,IF(C299-TODAY()=1,"Começa amanhã","Começa em "&amp;(C299-TODAY())&amp;" dias"),IF(TODAY()&gt;D299,"Concluídas",IF(TODAY()=D299,"EM FÉRIAS (último dia)","EM FÉRIAS (faltam "&amp;(D299-TODAY())&amp;" dias)"))))))</f>
        <v/>
      </c>
      <c r="I299" s="53" t="str">
        <f aca="false">IF(OR(A299="",NOT(AND(ISNUMBER(C299),ISNUMBER(D299)))),"",IF(D299-C299+1&gt;30,"⚠ Período acima de 30 dias",IF(COUNTIFS($B$2:$B$301,B299,$C$2:$C$301,"&lt;="&amp;D299,$D$2:$D$301,"&gt;="&amp;C299)&gt;1,"⚠ Coincide com férias de outro do setor","")))</f>
        <v/>
      </c>
      <c r="K299" s="0" t="str">
        <f aca="true">IF(AND(ISNUMBER(C299),ISNUMBER(D299),C299&lt;=TODAY(),D299&gt;=TODAY()),D299+ROW()/100000,"")</f>
        <v/>
      </c>
      <c r="L299" s="0" t="str">
        <f aca="true">IF(AND(ISNUMBER(C299),C299&gt;TODAY(),C299&lt;=TODAY()+30),C299+ROW()/100000,"")</f>
        <v/>
      </c>
      <c r="M299" s="0" t="str">
        <f aca="false">IF(AND(ISNUMBER(C299),ISNUMBER(D299),C299&lt;=CALENDÁRIO!$L$4,D299&gt;=CALENDÁRIO!$L$4),ROW(),"")</f>
        <v/>
      </c>
    </row>
    <row r="300" customFormat="false" ht="15" hidden="false" customHeight="true" outlineLevel="0" collapsed="false">
      <c r="A300" s="52"/>
      <c r="B300" s="52"/>
      <c r="C300" s="51"/>
      <c r="D300" s="51"/>
      <c r="E300" s="52"/>
      <c r="F300" s="61" t="str">
        <f aca="false">IF(AND(ISNUMBER(C300),ISNUMBER(D300),D300&gt;=C300),D300-C300+1,"")</f>
        <v/>
      </c>
      <c r="G300" s="62" t="str">
        <f aca="false">IF(AND(ISNUMBER(C300),ISNUMBER(D300),D300&gt;=C300),WORKDAY(D300,1),"")</f>
        <v/>
      </c>
      <c r="H300" s="53" t="str">
        <f aca="true">IF(A300="","",IF(NOT(AND(ISNUMBER(C300),ISNUMBER(D300))),"Sem data definida",IF(D300&lt;C300,"⚠ Datas invertidas",IF(TODAY()&lt;C300,IF(C300-TODAY()=1,"Começa amanhã","Começa em "&amp;(C300-TODAY())&amp;" dias"),IF(TODAY()&gt;D300,"Concluídas",IF(TODAY()=D300,"EM FÉRIAS (último dia)","EM FÉRIAS (faltam "&amp;(D300-TODAY())&amp;" dias)"))))))</f>
        <v/>
      </c>
      <c r="I300" s="53" t="str">
        <f aca="false">IF(OR(A300="",NOT(AND(ISNUMBER(C300),ISNUMBER(D300)))),"",IF(D300-C300+1&gt;30,"⚠ Período acima de 30 dias",IF(COUNTIFS($B$2:$B$301,B300,$C$2:$C$301,"&lt;="&amp;D300,$D$2:$D$301,"&gt;="&amp;C300)&gt;1,"⚠ Coincide com férias de outro do setor","")))</f>
        <v/>
      </c>
      <c r="K300" s="0" t="str">
        <f aca="true">IF(AND(ISNUMBER(C300),ISNUMBER(D300),C300&lt;=TODAY(),D300&gt;=TODAY()),D300+ROW()/100000,"")</f>
        <v/>
      </c>
      <c r="L300" s="0" t="str">
        <f aca="true">IF(AND(ISNUMBER(C300),C300&gt;TODAY(),C300&lt;=TODAY()+30),C300+ROW()/100000,"")</f>
        <v/>
      </c>
      <c r="M300" s="0" t="str">
        <f aca="false">IF(AND(ISNUMBER(C300),ISNUMBER(D300),C300&lt;=CALENDÁRIO!$L$4,D300&gt;=CALENDÁRIO!$L$4),ROW(),"")</f>
        <v/>
      </c>
    </row>
    <row r="301" customFormat="false" ht="15" hidden="false" customHeight="true" outlineLevel="0" collapsed="false">
      <c r="A301" s="52"/>
      <c r="B301" s="52"/>
      <c r="C301" s="51"/>
      <c r="D301" s="51"/>
      <c r="E301" s="52"/>
      <c r="F301" s="61" t="str">
        <f aca="false">IF(AND(ISNUMBER(C301),ISNUMBER(D301),D301&gt;=C301),D301-C301+1,"")</f>
        <v/>
      </c>
      <c r="G301" s="62" t="str">
        <f aca="false">IF(AND(ISNUMBER(C301),ISNUMBER(D301),D301&gt;=C301),WORKDAY(D301,1),"")</f>
        <v/>
      </c>
      <c r="H301" s="53" t="str">
        <f aca="true">IF(A301="","",IF(NOT(AND(ISNUMBER(C301),ISNUMBER(D301))),"Sem data definida",IF(D301&lt;C301,"⚠ Datas invertidas",IF(TODAY()&lt;C301,IF(C301-TODAY()=1,"Começa amanhã","Começa em "&amp;(C301-TODAY())&amp;" dias"),IF(TODAY()&gt;D301,"Concluídas",IF(TODAY()=D301,"EM FÉRIAS (último dia)","EM FÉRIAS (faltam "&amp;(D301-TODAY())&amp;" dias)"))))))</f>
        <v/>
      </c>
      <c r="I301" s="53" t="str">
        <f aca="false">IF(OR(A301="",NOT(AND(ISNUMBER(C301),ISNUMBER(D301)))),"",IF(D301-C301+1&gt;30,"⚠ Período acima de 30 dias",IF(COUNTIFS($B$2:$B$301,B301,$C$2:$C$301,"&lt;="&amp;D301,$D$2:$D$301,"&gt;="&amp;C301)&gt;1,"⚠ Coincide com férias de outro do setor","")))</f>
        <v/>
      </c>
      <c r="K301" s="0" t="str">
        <f aca="true">IF(AND(ISNUMBER(C301),ISNUMBER(D301),C301&lt;=TODAY(),D301&gt;=TODAY()),D301+ROW()/100000,"")</f>
        <v/>
      </c>
      <c r="L301" s="0" t="str">
        <f aca="true">IF(AND(ISNUMBER(C301),C301&gt;TODAY(),C301&lt;=TODAY()+30),C301+ROW()/100000,"")</f>
        <v/>
      </c>
      <c r="M301" s="0" t="str">
        <f aca="false">IF(AND(ISNUMBER(C301),ISNUMBER(D301),C301&lt;=CALENDÁRIO!$L$4,D301&gt;=CALENDÁRIO!$L$4),ROW(),"")</f>
        <v/>
      </c>
    </row>
  </sheetData>
  <autoFilter ref="A1:I301"/>
  <conditionalFormatting sqref="A2:I301">
    <cfRule type="expression" priority="2" aboveAverage="0" equalAverage="0" bottom="0" percent="0" rank="0" text="" dxfId="1">
      <formula>AND(ISNUMBER($C2),ISNUMBER($D2),$C2&lt;=TODAY(),$D2&gt;=TODAY())</formula>
    </cfRule>
    <cfRule type="expression" priority="3" aboveAverage="0" equalAverage="0" bottom="0" percent="0" rank="0" text="" dxfId="6">
      <formula>AND(ISNUMBER($C2),$C2&gt;TODAY(),$C2&lt;=TODAY()+30)</formula>
    </cfRule>
    <cfRule type="expression" priority="4" aboveAverage="0" equalAverage="0" bottom="0" percent="0" rank="0" text="" dxfId="13">
      <formula>AND(ISNUMBER($D2),$D2&lt;TODAY())</formula>
    </cfRule>
    <cfRule type="expression" priority="5" aboveAverage="0" equalAverage="0" bottom="0" percent="0" rank="0" text="" dxfId="15">
      <formula>AND($A2&lt;&gt;"",OR(NOT(ISNUMBER($C2)),NOT(ISNUMBER($D2))))</formula>
    </cfRule>
  </conditionalFormatting>
  <conditionalFormatting sqref="I2:I301">
    <cfRule type="expression" priority="6" aboveAverage="0" equalAverage="0" bottom="0" percent="0" rank="0" text="" dxfId="2">
      <formula>LEFT($I2,1)="⚠"</formula>
    </cfRule>
  </conditionalFormatting>
  <conditionalFormatting sqref="H2:H301">
    <cfRule type="expression" priority="7" aboveAverage="0" equalAverage="0" bottom="0" percent="0" rank="0" text="" dxfId="2">
      <formula>LEFT($H2,1)="⚠"</formula>
    </cfRule>
  </conditionalFormatting>
  <dataValidations count="3"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LISTAS!$B$2:$B$20</formula1>
      <formula2>0</formula2>
    </dataValidation>
    <dataValidation allowBlank="true" error="Digite uma data válida no formato dd/mm/aaaa." errorStyle="stop" errorTitle="Data inválida" operator="between" prompt="Data de início das férias (dd/mm/aaaa)." promptTitle="Data" showDropDown="false" showErrorMessage="true" showInputMessage="true" sqref="C2:C301" type="date">
      <formula1>DATE(2020,1,1)</formula1>
      <formula2>DATE(2100,12,31)</formula2>
    </dataValidation>
    <dataValidation allowBlank="true" error="A data de fim precisa ser uma data válida e igual ou posterior ao início." errorStyle="stop" errorTitle="Data final inválida" operator="between" prompt="Último dia de férias (dd/mm/aaaa)." promptTitle="Data" showDropDown="false" showErrorMessage="true" showInputMessage="true" sqref="D2:D301" type="custom">
      <formula1>OR(D2="",AND(ISNUMBER(D2),D2&gt;=C2))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71" t="s">
        <v>93</v>
      </c>
      <c r="C2" s="71"/>
    </row>
    <row r="4" customFormat="false" ht="36" hidden="false" customHeight="true" outlineLevel="0" collapsed="false">
      <c r="B4" s="72" t="s">
        <v>94</v>
      </c>
      <c r="C4" s="73" t="s">
        <v>95</v>
      </c>
    </row>
    <row r="5" customFormat="false" ht="51" hidden="false" customHeight="true" outlineLevel="0" collapsed="false">
      <c r="B5" s="72" t="s">
        <v>96</v>
      </c>
      <c r="C5" s="73" t="s">
        <v>97</v>
      </c>
    </row>
    <row r="6" customFormat="false" ht="36" hidden="false" customHeight="true" outlineLevel="0" collapsed="false">
      <c r="B6" s="72" t="s">
        <v>98</v>
      </c>
      <c r="C6" s="73" t="s">
        <v>99</v>
      </c>
    </row>
    <row r="7" customFormat="false" ht="51" hidden="false" customHeight="true" outlineLevel="0" collapsed="false">
      <c r="B7" s="72" t="s">
        <v>100</v>
      </c>
      <c r="C7" s="73" t="s">
        <v>101</v>
      </c>
    </row>
    <row r="8" customFormat="false" ht="51" hidden="false" customHeight="true" outlineLevel="0" collapsed="false">
      <c r="B8" s="72" t="s">
        <v>102</v>
      </c>
      <c r="C8" s="73" t="s">
        <v>103</v>
      </c>
    </row>
    <row r="9" customFormat="false" ht="36" hidden="false" customHeight="true" outlineLevel="0" collapsed="false">
      <c r="B9" s="72" t="s">
        <v>104</v>
      </c>
      <c r="C9" s="73" t="s">
        <v>105</v>
      </c>
    </row>
    <row r="10" customFormat="false" ht="21" hidden="false" customHeight="true" outlineLevel="0" collapsed="false">
      <c r="B10" s="72" t="s">
        <v>106</v>
      </c>
      <c r="C10" s="73" t="s">
        <v>107</v>
      </c>
    </row>
    <row r="11" customFormat="false" ht="36" hidden="false" customHeight="true" outlineLevel="0" collapsed="false">
      <c r="B11" s="72" t="s">
        <v>108</v>
      </c>
      <c r="C11" s="73" t="s">
        <v>109</v>
      </c>
    </row>
    <row r="12" customFormat="false" ht="36" hidden="false" customHeight="true" outlineLevel="0" collapsed="false">
      <c r="B12" s="72" t="s">
        <v>110</v>
      </c>
      <c r="C12" s="73" t="s">
        <v>111</v>
      </c>
    </row>
    <row r="13" customFormat="false" ht="36" hidden="false" customHeight="true" outlineLevel="0" collapsed="false">
      <c r="B13" s="72" t="s">
        <v>112</v>
      </c>
      <c r="C13" s="73" t="s">
        <v>113</v>
      </c>
    </row>
    <row r="14" customFormat="false" ht="36" hidden="false" customHeight="true" outlineLevel="0" collapsed="false">
      <c r="B14" s="72" t="s">
        <v>114</v>
      </c>
      <c r="C14" s="73" t="s">
        <v>115</v>
      </c>
    </row>
    <row r="15" customFormat="false" ht="36" hidden="false" customHeight="true" outlineLevel="0" collapsed="false">
      <c r="B15" s="72" t="s">
        <v>116</v>
      </c>
      <c r="C15" s="73" t="s">
        <v>117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4" min="4" style="0" width="14"/>
  </cols>
  <sheetData>
    <row r="1" customFormat="false" ht="15" hidden="false" customHeight="true" outlineLevel="0" collapsed="false">
      <c r="A1" s="74" t="s">
        <v>73</v>
      </c>
      <c r="B1" s="41" t="s">
        <v>118</v>
      </c>
      <c r="D1" s="41" t="s">
        <v>119</v>
      </c>
    </row>
    <row r="2" customFormat="false" ht="15" hidden="false" customHeight="true" outlineLevel="0" collapsed="false">
      <c r="A2" s="46" t="s">
        <v>120</v>
      </c>
      <c r="B2" s="0" t="s">
        <v>82</v>
      </c>
      <c r="D2" s="0" t="s">
        <v>121</v>
      </c>
    </row>
    <row r="3" customFormat="false" ht="15" hidden="false" customHeight="true" outlineLevel="0" collapsed="false">
      <c r="A3" s="46" t="s">
        <v>122</v>
      </c>
      <c r="B3" s="0" t="s">
        <v>52</v>
      </c>
      <c r="D3" s="0" t="s">
        <v>123</v>
      </c>
    </row>
    <row r="4" customFormat="false" ht="15" hidden="false" customHeight="false" outlineLevel="0" collapsed="false">
      <c r="B4" s="0" t="s">
        <v>79</v>
      </c>
      <c r="D4" s="0" t="s">
        <v>124</v>
      </c>
    </row>
    <row r="5" customFormat="false" ht="15" hidden="false" customHeight="false" outlineLevel="0" collapsed="false">
      <c r="D5" s="0" t="s">
        <v>125</v>
      </c>
    </row>
    <row r="6" customFormat="false" ht="15" hidden="false" customHeight="false" outlineLevel="0" collapsed="false">
      <c r="D6" s="0" t="s">
        <v>126</v>
      </c>
    </row>
    <row r="7" customFormat="false" ht="15" hidden="false" customHeight="false" outlineLevel="0" collapsed="false">
      <c r="D7" s="0" t="s">
        <v>127</v>
      </c>
    </row>
    <row r="8" customFormat="false" ht="15" hidden="false" customHeight="false" outlineLevel="0" collapsed="false">
      <c r="D8" s="0" t="s">
        <v>128</v>
      </c>
    </row>
    <row r="9" customFormat="false" ht="15" hidden="false" customHeight="false" outlineLevel="0" collapsed="false">
      <c r="D9" s="0" t="s">
        <v>129</v>
      </c>
    </row>
    <row r="10" customFormat="false" ht="15" hidden="false" customHeight="false" outlineLevel="0" collapsed="false">
      <c r="D10" s="0" t="s">
        <v>130</v>
      </c>
    </row>
    <row r="11" customFormat="false" ht="15" hidden="false" customHeight="false" outlineLevel="0" collapsed="false">
      <c r="D11" s="0" t="s">
        <v>131</v>
      </c>
    </row>
    <row r="12" customFormat="false" ht="15" hidden="false" customHeight="false" outlineLevel="0" collapsed="false">
      <c r="D12" s="0" t="s">
        <v>132</v>
      </c>
    </row>
    <row r="13" customFormat="false" ht="15" hidden="false" customHeight="false" outlineLevel="0" collapsed="false">
      <c r="D13" s="0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2026-09-28T16:53:49Z</dcterms:created>
  <dc:creator>openpyxl</dc:creator>
  <dc:description/>
  <dc:language>pt-BR</dc:language>
  <cp:lastModifiedBy/>
  <dcterms:modified xsi:type="dcterms:W3CDTF">2026-10-06T20:03:34Z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